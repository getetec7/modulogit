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 24\"/>
    </mc:Choice>
  </mc:AlternateContent>
  <xr:revisionPtr revIDLastSave="0" documentId="13_ncr:1_{D70B2BBA-D055-47FC-9EC1-EEFCCF78DC97}" xr6:coauthVersionLast="47" xr6:coauthVersionMax="47" xr10:uidLastSave="{00000000-0000-0000-0000-000000000000}"/>
  <bookViews>
    <workbookView xWindow="-120" yWindow="-120" windowWidth="24240" windowHeight="17790" xr2:uid="{00000000-000D-0000-FFFF-FFFF00000000}"/>
  </bookViews>
  <sheets>
    <sheet name="SEND" sheetId="1" r:id="rId1"/>
    <sheet name="Settings" sheetId="12" r:id="rId2"/>
    <sheet name="Sheet1" sheetId="11" r:id="rId3"/>
    <sheet name="BASE" sheetId="10" r:id="rId4"/>
  </sheets>
  <functionGroups builtInGroupCount="19"/>
  <externalReferences>
    <externalReference r:id="rId5"/>
  </externalReferences>
  <definedNames>
    <definedName name="_xlnm._FilterDatabase" localSheetId="3" hidden="1">BASE!$D$12:$E$27</definedName>
    <definedName name="_xlnm._FilterDatabase" localSheetId="0" hidden="1">SEND!$A$2:$L$4</definedName>
    <definedName name="_xlnm._FilterDatabase" localSheetId="2" hidden="1">Sheet1!$A$1:$U$3842</definedName>
    <definedName name="tbl_dinamica">OFFSET(Sheet1!$A$1,0,0,COUNTA(Sheet1!$A:$A),COUNTA(Sheet1!$A$1:$IV$1))</definedName>
  </definedNames>
  <calcPr calcId="191029"/>
  <pivotCaches>
    <pivotCache cacheId="17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2" l="1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K6" i="10" l="1"/>
  <c r="K7" i="10" s="1"/>
  <c r="H192" i="10" l="1"/>
  <c r="G192" i="10"/>
  <c r="E192" i="10"/>
  <c r="D192" i="10"/>
  <c r="H191" i="10"/>
  <c r="G191" i="10"/>
  <c r="E191" i="10"/>
  <c r="D191" i="10"/>
  <c r="H190" i="10"/>
  <c r="G190" i="10"/>
  <c r="E190" i="10"/>
  <c r="D190" i="10"/>
  <c r="H189" i="10"/>
  <c r="G189" i="10"/>
  <c r="E189" i="10"/>
  <c r="D189" i="10"/>
  <c r="H188" i="10"/>
  <c r="G188" i="10"/>
  <c r="E188" i="10"/>
  <c r="D188" i="10"/>
  <c r="H187" i="10"/>
  <c r="G187" i="10"/>
  <c r="E187" i="10"/>
  <c r="D187" i="10"/>
  <c r="H186" i="10"/>
  <c r="G186" i="10"/>
  <c r="E186" i="10"/>
  <c r="D186" i="10"/>
  <c r="H185" i="10"/>
  <c r="G185" i="10"/>
  <c r="E185" i="10"/>
  <c r="D185" i="10"/>
  <c r="H184" i="10"/>
  <c r="G184" i="10"/>
  <c r="E184" i="10"/>
  <c r="D184" i="10"/>
  <c r="H183" i="10"/>
  <c r="G183" i="10"/>
  <c r="E183" i="10"/>
  <c r="D183" i="10"/>
  <c r="H182" i="10"/>
  <c r="G182" i="10"/>
  <c r="E182" i="10"/>
  <c r="D182" i="10"/>
  <c r="H181" i="10"/>
  <c r="G181" i="10"/>
  <c r="E181" i="10"/>
  <c r="D181" i="10"/>
  <c r="H180" i="10"/>
  <c r="G180" i="10"/>
  <c r="E180" i="10"/>
  <c r="D180" i="10"/>
  <c r="H179" i="10"/>
  <c r="G179" i="10"/>
  <c r="E179" i="10"/>
  <c r="D179" i="10"/>
  <c r="H178" i="10"/>
  <c r="G178" i="10"/>
  <c r="E178" i="10"/>
  <c r="D178" i="10"/>
  <c r="H177" i="10"/>
  <c r="G177" i="10"/>
  <c r="E177" i="10"/>
  <c r="D177" i="10"/>
  <c r="H176" i="10"/>
  <c r="G176" i="10"/>
  <c r="E176" i="10"/>
  <c r="D176" i="10"/>
  <c r="H175" i="10"/>
  <c r="G175" i="10"/>
  <c r="E175" i="10"/>
  <c r="D175" i="10"/>
  <c r="H174" i="10"/>
  <c r="G174" i="10"/>
  <c r="E174" i="10"/>
  <c r="D174" i="10"/>
  <c r="H173" i="10"/>
  <c r="G173" i="10"/>
  <c r="E173" i="10"/>
  <c r="D173" i="10"/>
  <c r="H172" i="10"/>
  <c r="G172" i="10"/>
  <c r="E172" i="10"/>
  <c r="D172" i="10"/>
  <c r="H171" i="10"/>
  <c r="G171" i="10"/>
  <c r="E171" i="10"/>
  <c r="D171" i="10"/>
  <c r="H170" i="10"/>
  <c r="G170" i="10"/>
  <c r="E170" i="10"/>
  <c r="D170" i="10"/>
  <c r="H169" i="10"/>
  <c r="G169" i="10"/>
  <c r="E169" i="10"/>
  <c r="D169" i="10"/>
  <c r="H168" i="10"/>
  <c r="G168" i="10"/>
  <c r="E168" i="10"/>
  <c r="D168" i="10"/>
  <c r="H167" i="10"/>
  <c r="G167" i="10"/>
  <c r="E167" i="10"/>
  <c r="D167" i="10"/>
  <c r="H166" i="10"/>
  <c r="G166" i="10"/>
  <c r="E166" i="10"/>
  <c r="D166" i="10"/>
  <c r="H165" i="10"/>
  <c r="G165" i="10"/>
  <c r="E165" i="10"/>
  <c r="D165" i="10"/>
  <c r="H164" i="10"/>
  <c r="G164" i="10"/>
  <c r="E164" i="10"/>
  <c r="D164" i="10"/>
  <c r="H163" i="10"/>
  <c r="G163" i="10"/>
  <c r="E163" i="10"/>
  <c r="D163" i="10"/>
  <c r="H162" i="10"/>
  <c r="G162" i="10"/>
  <c r="E162" i="10"/>
  <c r="D162" i="10"/>
  <c r="H161" i="10"/>
  <c r="G161" i="10"/>
  <c r="E161" i="10"/>
  <c r="D161" i="10"/>
  <c r="H160" i="10"/>
  <c r="G160" i="10"/>
  <c r="E160" i="10"/>
  <c r="D160" i="10"/>
  <c r="H159" i="10"/>
  <c r="G159" i="10"/>
  <c r="E159" i="10"/>
  <c r="D159" i="10"/>
  <c r="H158" i="10"/>
  <c r="G158" i="10"/>
  <c r="E158" i="10"/>
  <c r="D158" i="10"/>
  <c r="H157" i="10"/>
  <c r="G157" i="10"/>
  <c r="E157" i="10"/>
  <c r="D157" i="10"/>
  <c r="H156" i="10"/>
  <c r="G156" i="10"/>
  <c r="E156" i="10"/>
  <c r="D156" i="10"/>
  <c r="H155" i="10"/>
  <c r="G155" i="10"/>
  <c r="E155" i="10"/>
  <c r="D155" i="10"/>
  <c r="H154" i="10"/>
  <c r="G154" i="10"/>
  <c r="E154" i="10"/>
  <c r="D154" i="10"/>
  <c r="H153" i="10"/>
  <c r="G153" i="10"/>
  <c r="E153" i="10"/>
  <c r="D153" i="10"/>
  <c r="H152" i="10"/>
  <c r="G152" i="10"/>
  <c r="E152" i="10"/>
  <c r="D152" i="10"/>
  <c r="H151" i="10"/>
  <c r="G151" i="10"/>
  <c r="E151" i="10"/>
  <c r="D151" i="10"/>
  <c r="H150" i="10"/>
  <c r="G150" i="10"/>
  <c r="E150" i="10"/>
  <c r="D150" i="10"/>
  <c r="H149" i="10"/>
  <c r="G149" i="10"/>
  <c r="E149" i="10"/>
  <c r="D149" i="10"/>
  <c r="H148" i="10"/>
  <c r="G148" i="10"/>
  <c r="E148" i="10"/>
  <c r="D148" i="10"/>
  <c r="H147" i="10"/>
  <c r="G147" i="10"/>
  <c r="E147" i="10"/>
  <c r="D147" i="10"/>
  <c r="H146" i="10"/>
  <c r="G146" i="10"/>
  <c r="E146" i="10"/>
  <c r="D146" i="10"/>
  <c r="H145" i="10"/>
  <c r="G145" i="10"/>
  <c r="E145" i="10"/>
  <c r="D145" i="10"/>
  <c r="H144" i="10"/>
  <c r="G144" i="10"/>
  <c r="E144" i="10"/>
  <c r="D144" i="10"/>
  <c r="H143" i="10"/>
  <c r="G143" i="10"/>
  <c r="E143" i="10"/>
  <c r="D143" i="10"/>
  <c r="H142" i="10"/>
  <c r="G142" i="10"/>
  <c r="E142" i="10"/>
  <c r="D142" i="10"/>
  <c r="H141" i="10"/>
  <c r="G141" i="10"/>
  <c r="E141" i="10"/>
  <c r="D141" i="10"/>
  <c r="H140" i="10"/>
  <c r="G140" i="10"/>
  <c r="E140" i="10"/>
  <c r="D140" i="10"/>
  <c r="H139" i="10"/>
  <c r="G139" i="10"/>
  <c r="E139" i="10"/>
  <c r="D139" i="10"/>
  <c r="H138" i="10"/>
  <c r="G138" i="10"/>
  <c r="E138" i="10"/>
  <c r="D138" i="10"/>
  <c r="H137" i="10"/>
  <c r="G137" i="10"/>
  <c r="E137" i="10"/>
  <c r="D137" i="10"/>
  <c r="H136" i="10"/>
  <c r="G136" i="10"/>
  <c r="E136" i="10"/>
  <c r="D136" i="10"/>
  <c r="H135" i="10"/>
  <c r="G135" i="10"/>
  <c r="E135" i="10"/>
  <c r="D135" i="10"/>
  <c r="H134" i="10"/>
  <c r="G134" i="10"/>
  <c r="E134" i="10"/>
  <c r="D134" i="10"/>
  <c r="H133" i="10"/>
  <c r="G133" i="10"/>
  <c r="E133" i="10"/>
  <c r="D133" i="10"/>
  <c r="H132" i="10"/>
  <c r="G132" i="10"/>
  <c r="E132" i="10"/>
  <c r="D132" i="10"/>
  <c r="H131" i="10"/>
  <c r="G131" i="10"/>
  <c r="E131" i="10"/>
  <c r="D131" i="10"/>
  <c r="H130" i="10"/>
  <c r="G130" i="10"/>
  <c r="E130" i="10"/>
  <c r="D130" i="10"/>
  <c r="H129" i="10"/>
  <c r="G129" i="10"/>
  <c r="E129" i="10"/>
  <c r="D129" i="10"/>
  <c r="H128" i="10"/>
  <c r="G128" i="10"/>
  <c r="E128" i="10"/>
  <c r="D128" i="10"/>
  <c r="H127" i="10"/>
  <c r="G127" i="10"/>
  <c r="E127" i="10"/>
  <c r="D127" i="10"/>
  <c r="H126" i="10"/>
  <c r="G126" i="10"/>
  <c r="E126" i="10"/>
  <c r="D126" i="10"/>
  <c r="H125" i="10"/>
  <c r="G125" i="10"/>
  <c r="E125" i="10"/>
  <c r="D125" i="10"/>
  <c r="H124" i="10"/>
  <c r="G124" i="10"/>
  <c r="E124" i="10"/>
  <c r="D124" i="10"/>
  <c r="H123" i="10"/>
  <c r="G123" i="10"/>
  <c r="E123" i="10"/>
  <c r="D123" i="10"/>
  <c r="H122" i="10"/>
  <c r="G122" i="10"/>
  <c r="E122" i="10"/>
  <c r="D122" i="10"/>
  <c r="H121" i="10"/>
  <c r="G121" i="10"/>
  <c r="E121" i="10"/>
  <c r="D121" i="10"/>
  <c r="H120" i="10"/>
  <c r="G120" i="10"/>
  <c r="E120" i="10"/>
  <c r="D120" i="10"/>
  <c r="H119" i="10"/>
  <c r="G119" i="10"/>
  <c r="E119" i="10"/>
  <c r="D119" i="10"/>
  <c r="H118" i="10"/>
  <c r="G118" i="10"/>
  <c r="E118" i="10"/>
  <c r="D118" i="10"/>
  <c r="H117" i="10"/>
  <c r="G117" i="10"/>
  <c r="E117" i="10"/>
  <c r="D117" i="10"/>
  <c r="H116" i="10"/>
  <c r="G116" i="10"/>
  <c r="E116" i="10"/>
  <c r="D116" i="10"/>
  <c r="H115" i="10"/>
  <c r="G115" i="10"/>
  <c r="E115" i="10"/>
  <c r="D115" i="10"/>
  <c r="H114" i="10"/>
  <c r="G114" i="10"/>
  <c r="E114" i="10"/>
  <c r="D114" i="10"/>
  <c r="H113" i="10"/>
  <c r="G113" i="10"/>
  <c r="E113" i="10"/>
  <c r="D113" i="10"/>
  <c r="H112" i="10"/>
  <c r="G112" i="10"/>
  <c r="E112" i="10"/>
  <c r="D112" i="10"/>
  <c r="H111" i="10"/>
  <c r="G111" i="10"/>
  <c r="E111" i="10"/>
  <c r="D111" i="10"/>
  <c r="H110" i="10"/>
  <c r="G110" i="10"/>
  <c r="E110" i="10"/>
  <c r="D110" i="10"/>
  <c r="H109" i="10"/>
  <c r="G109" i="10"/>
  <c r="E109" i="10"/>
  <c r="D109" i="10"/>
  <c r="H108" i="10"/>
  <c r="G108" i="10"/>
  <c r="E108" i="10"/>
  <c r="D108" i="10"/>
  <c r="H107" i="10"/>
  <c r="G107" i="10"/>
  <c r="E107" i="10"/>
  <c r="D10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<sst xmlns="http://schemas.openxmlformats.org/spreadsheetml/2006/main" count="254" uniqueCount="170">
  <si>
    <t>CNPJ</t>
  </si>
  <si>
    <t>Origem</t>
  </si>
  <si>
    <t>Contagem de C2</t>
  </si>
  <si>
    <t>C1</t>
  </si>
  <si>
    <t>Total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</si>
  <si>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</si>
  <si>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</si>
  <si>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</si>
  <si>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</si>
  <si>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</si>
  <si>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</si>
  <si>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</si>
  <si>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</si>
  <si>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</si>
  <si>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</si>
  <si>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</si>
  <si>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</si>
  <si>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</si>
  <si>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Estab</t>
  </si>
  <si>
    <t>Serie</t>
  </si>
  <si>
    <t>Notas fiscais</t>
  </si>
  <si>
    <t>DCL</t>
  </si>
  <si>
    <t>Identificação</t>
  </si>
  <si>
    <t>Fornecedor Referência</t>
  </si>
  <si>
    <t>Destino Fiscal</t>
  </si>
  <si>
    <t>Destino FINAL</t>
  </si>
  <si>
    <t>Descarga (kg)</t>
  </si>
  <si>
    <t>Vagão</t>
  </si>
  <si>
    <t>Data</t>
  </si>
  <si>
    <t>Hora Descarga</t>
  </si>
  <si>
    <t>Bruto</t>
  </si>
  <si>
    <t>Tara</t>
  </si>
  <si>
    <t>Líquido</t>
  </si>
  <si>
    <t>Nota fiscal</t>
  </si>
  <si>
    <t>DOCUMENTO FISCAL (DCL)</t>
  </si>
  <si>
    <t>PLACA VAGAO</t>
  </si>
  <si>
    <t>Filial</t>
  </si>
  <si>
    <t>Terminal</t>
  </si>
  <si>
    <t>Data descarga</t>
  </si>
  <si>
    <t>Peso liquido Descarga</t>
  </si>
  <si>
    <t>C15</t>
  </si>
  <si>
    <t>C16</t>
  </si>
  <si>
    <t>C17</t>
  </si>
  <si>
    <t>C18</t>
  </si>
  <si>
    <t>C19</t>
  </si>
  <si>
    <t>C20</t>
  </si>
  <si>
    <t>------</t>
  </si>
  <si>
    <t>Igual coluna A</t>
  </si>
  <si>
    <t>UF</t>
  </si>
  <si>
    <t>Estab.</t>
  </si>
  <si>
    <t>Série</t>
  </si>
  <si>
    <t>SANTOS</t>
  </si>
  <si>
    <t>SP</t>
  </si>
  <si>
    <t>LONDRINA</t>
  </si>
  <si>
    <t>PR</t>
  </si>
  <si>
    <t>PORTO ALEGRE</t>
  </si>
  <si>
    <t>RS</t>
  </si>
  <si>
    <t>MARINGÁ</t>
  </si>
  <si>
    <t>LUIS EDUARDO MAGALHÃES</t>
  </si>
  <si>
    <t>BA</t>
  </si>
  <si>
    <t>JATAÍ</t>
  </si>
  <si>
    <t>GO</t>
  </si>
  <si>
    <t>NOVA UBIRATÃ</t>
  </si>
  <si>
    <t>MT</t>
  </si>
  <si>
    <t>PONTA GROSSA</t>
  </si>
  <si>
    <t>SINOP</t>
  </si>
  <si>
    <t>MATUPA</t>
  </si>
  <si>
    <t>NOVO MUNDO</t>
  </si>
  <si>
    <t>MARCELANDIA</t>
  </si>
  <si>
    <t>PARAGOMINAS</t>
  </si>
  <si>
    <t>PA</t>
  </si>
  <si>
    <t>SORRISO</t>
  </si>
  <si>
    <t>NOVA UBIRATÃ2</t>
  </si>
  <si>
    <t>CANARANA</t>
  </si>
  <si>
    <t>IPIRANGA DO NORTE</t>
  </si>
  <si>
    <t>SANTA CARMEN</t>
  </si>
  <si>
    <t>NOVA SANTA HELENA</t>
  </si>
  <si>
    <t>CLÁUDIA</t>
  </si>
  <si>
    <t>TANGARA DA SERRA</t>
  </si>
  <si>
    <t>IMBITUVA</t>
  </si>
  <si>
    <t>ARROIO GRANDE</t>
  </si>
  <si>
    <t>PALMEIRA DAS MISSÕES</t>
  </si>
  <si>
    <t>SILVANÓPOLIS</t>
  </si>
  <si>
    <t>TO</t>
  </si>
  <si>
    <t>SANTA ROSA DO TOCANTINS</t>
  </si>
  <si>
    <t>NOVA MUTUM</t>
  </si>
  <si>
    <t>CORRENTE</t>
  </si>
  <si>
    <t>PI</t>
  </si>
  <si>
    <t>UBERLÂNDIA</t>
  </si>
  <si>
    <t>MG</t>
  </si>
  <si>
    <t>BOTUCATU</t>
  </si>
  <si>
    <t>RONDONÓPOLIS</t>
  </si>
  <si>
    <t>PORTO ALEGRE2</t>
  </si>
  <si>
    <t>CAMPO VERDE</t>
  </si>
  <si>
    <t>NOVA MARINGA</t>
  </si>
  <si>
    <t>LUCAS DO RIO VERDE</t>
  </si>
  <si>
    <t>PRIMAVERA DO LESTE</t>
  </si>
  <si>
    <t>ITANHANGA</t>
  </si>
  <si>
    <t>DIAMANTINO</t>
  </si>
  <si>
    <t>PEDRA PRETA</t>
  </si>
  <si>
    <t>06315338000380</t>
  </si>
  <si>
    <t>06315338000542</t>
  </si>
  <si>
    <t>06315338001514</t>
  </si>
  <si>
    <t>06315338001603</t>
  </si>
  <si>
    <t>06315338001948</t>
  </si>
  <si>
    <t>06315338005005</t>
  </si>
  <si>
    <t>06315338002839</t>
  </si>
  <si>
    <t>06315338003053</t>
  </si>
  <si>
    <t>06315338003134</t>
  </si>
  <si>
    <t>06315338016546</t>
  </si>
  <si>
    <t>06315338016970</t>
  </si>
  <si>
    <t>06315338017194</t>
  </si>
  <si>
    <t>06315338017356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</si>
  <si>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</si>
  <si>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</si>
  <si>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</si>
  <si>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</si>
  <si>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</si>
  <si>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</si>
  <si>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</si>
  <si>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</si>
  <si>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06315338018832</t>
  </si>
  <si>
    <t>06315338019138</t>
  </si>
  <si>
    <t>06315338019723</t>
  </si>
  <si>
    <t>06315338019308</t>
  </si>
  <si>
    <t>06315338019480</t>
  </si>
  <si>
    <t>06315338020659</t>
  </si>
  <si>
    <t>06315338019561</t>
  </si>
  <si>
    <t>06315338017780</t>
  </si>
  <si>
    <t>06315338021540</t>
  </si>
  <si>
    <t>29332398001206</t>
  </si>
  <si>
    <t>29332398003675</t>
  </si>
  <si>
    <t>29332398000307</t>
  </si>
  <si>
    <t>29332398000730</t>
  </si>
  <si>
    <t>29332398000498</t>
  </si>
  <si>
    <t>29332398000226</t>
  </si>
  <si>
    <t>29332398001389</t>
  </si>
  <si>
    <t>29332398000811</t>
  </si>
  <si>
    <t>29332398000579</t>
  </si>
  <si>
    <t>29332398001036</t>
  </si>
  <si>
    <t>29332398001460</t>
  </si>
  <si>
    <t>1</t>
  </si>
  <si>
    <t>C21</t>
  </si>
  <si>
    <t>C22</t>
  </si>
  <si>
    <t>C23</t>
  </si>
  <si>
    <t>C24</t>
  </si>
  <si>
    <t>C25</t>
  </si>
  <si>
    <t>C26</t>
  </si>
  <si>
    <t>C27</t>
  </si>
  <si>
    <t>C28</t>
  </si>
  <si>
    <t>NOVAAGRI PIRAPORA</t>
  </si>
  <si>
    <t>SOJA EM GRAOS</t>
  </si>
  <si>
    <t>RR2 Declarado</t>
  </si>
  <si>
    <t>06.315.338/0177-80</t>
  </si>
  <si>
    <t>COFCO UBERLANDIA</t>
  </si>
  <si>
    <t>VLI</t>
  </si>
  <si>
    <t>HOO-4368</t>
  </si>
  <si>
    <t>TRANSBORDO ENTRADA</t>
  </si>
  <si>
    <t>E</t>
  </si>
  <si>
    <t>19/20</t>
  </si>
  <si>
    <t>19/02/2020 16:35</t>
  </si>
  <si>
    <t>55</t>
  </si>
  <si>
    <t>S</t>
  </si>
  <si>
    <t>H</t>
  </si>
  <si>
    <t>L</t>
  </si>
  <si>
    <t>R</t>
  </si>
  <si>
    <t>O</t>
  </si>
  <si>
    <t>09.077.252/0010-84</t>
  </si>
  <si>
    <t>HOO4368</t>
  </si>
  <si>
    <t>19/02/2020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</si>
</sst>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0409]#,##0"/>
    <numFmt numFmtId="165" formatCode="[$-416]dd\-mmm\-yy;@"/>
    <numFmt numFmtId="166" formatCode="#,##0.000"/>
    <numFmt numFmtId="167" formatCode="#,#00"/>
    <numFmt numFmtId="168" formatCode="dd/mm/yyyy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222222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charset val="1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rgb="FFE8DCDC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7" fillId="0" borderId="0"/>
    <xf numFmtId="0" fontId="8" fillId="0" borderId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</cellStyleXfs>
  <cellXfs count="83">
    <xf numFmtId="0" fontId="0" fillId="0" borderId="0" xfId="0"/>
    <xf numFmtId="49" fontId="0" fillId="0" borderId="0" xfId="0" applyNumberFormat="1"/>
    <xf numFmtId="0" fontId="5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right" vertical="top"/>
      <protection locked="0"/>
    </xf>
    <xf numFmtId="0" fontId="6" fillId="0" borderId="0" xfId="0" applyFont="1"/>
    <xf numFmtId="49" fontId="6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7" fillId="0" borderId="0" xfId="3"/>
    <xf numFmtId="0" fontId="0" fillId="0" borderId="0" xfId="0" quotePrefix="1"/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49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4" fontId="11" fillId="0" borderId="20" xfId="0" applyNumberFormat="1" applyFon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11" fillId="0" borderId="20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0" xfId="0" quotePrefix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4" fillId="0" borderId="0" xfId="0" applyFont="1"/>
    <xf numFmtId="0" fontId="16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0" fillId="8" borderId="20" xfId="0" applyFill="1" applyBorder="1" applyAlignment="1">
      <alignment horizontal="center" vertical="center"/>
    </xf>
    <xf numFmtId="0" fontId="0" fillId="8" borderId="20" xfId="0" applyNumberForma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6" fillId="6" borderId="0" xfId="0" quotePrefix="1" applyFont="1" applyFill="1" applyAlignment="1">
      <alignment horizontal="center" vertical="center" wrapText="1"/>
    </xf>
    <xf numFmtId="0" fontId="16" fillId="7" borderId="0" xfId="0" quotePrefix="1" applyFont="1" applyFill="1" applyAlignment="1">
      <alignment horizontal="center" vertical="center" wrapText="1"/>
    </xf>
    <xf numFmtId="166" fontId="0" fillId="9" borderId="25" xfId="0" applyNumberFormat="1" applyFill="1" applyBorder="1" applyAlignment="1">
      <alignment horizontal="right" wrapText="1"/>
    </xf>
    <xf numFmtId="166" fontId="0" fillId="9" borderId="0" xfId="0" applyNumberFormat="1" applyFill="1" applyAlignment="1">
      <alignment horizontal="right"/>
    </xf>
    <xf numFmtId="166" fontId="0" fillId="9" borderId="26" xfId="0" applyNumberFormat="1" applyFill="1" applyBorder="1"/>
    <xf numFmtId="0" fontId="0" fillId="9" borderId="26" xfId="0" applyFill="1" applyBorder="1" applyAlignment="1">
      <alignment horizontal="center"/>
    </xf>
    <xf numFmtId="164" fontId="0" fillId="8" borderId="20" xfId="0" applyNumberFormat="1" applyFill="1" applyBorder="1" applyAlignment="1">
      <alignment horizontal="center" vertical="center"/>
    </xf>
    <xf numFmtId="0" fontId="18" fillId="0" borderId="0" xfId="0" quotePrefix="1" applyFont="1"/>
    <xf numFmtId="167" fontId="0" fillId="0" borderId="0" xfId="0" applyNumberFormat="1"/>
    <xf numFmtId="49" fontId="0" fillId="0" borderId="4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  <xf numFmtId="0" fontId="19" fillId="0" borderId="27" xfId="0" applyFont="1" applyBorder="1" applyAlignment="1" applyProtection="1">
      <alignment horizontal="center" vertical="center" wrapText="1" readingOrder="1"/>
      <protection locked="0"/>
    </xf>
    <xf numFmtId="164" fontId="19" fillId="0" borderId="27" xfId="0" applyNumberFormat="1" applyFont="1" applyBorder="1" applyAlignment="1" applyProtection="1">
      <alignment horizontal="center" vertical="center" wrapText="1" readingOrder="1"/>
      <protection locked="0"/>
    </xf>
    <xf numFmtId="168" fontId="0" fillId="0" borderId="0" xfId="0" applyNumberFormat="1"/>
    <xf numFmtId="168" fontId="19" fillId="0" borderId="27" xfId="0" applyNumberFormat="1" applyFont="1" applyBorder="1" applyAlignment="1" applyProtection="1">
      <alignment horizontal="center" vertical="center" wrapText="1" readingOrder="1"/>
      <protection locked="0"/>
    </xf>
  </cellXfs>
  <cellStyles count="7">
    <cellStyle name="Incorreto" xfId="5" xr:uid="{00000000-0005-0000-0000-000000000000}"/>
    <cellStyle name="Neutra" xfId="6" xr:uid="{00000000-0005-0000-0000-000001000000}"/>
    <cellStyle name="Normal" xfId="0" builtinId="0"/>
    <cellStyle name="Normal 2" xfId="1" xr:uid="{00000000-0005-0000-0000-000003000000}"/>
    <cellStyle name="Normal 3" xfId="2" xr:uid="{00000000-0005-0000-0000-000004000000}"/>
    <cellStyle name="Normal 4" xfId="3" xr:uid="{00000000-0005-0000-0000-000005000000}"/>
    <cellStyle name="Normal 5" xfId="4" xr:uid="{00000000-0005-0000-0000-000006000000}"/>
  </cellStyles>
  <dxfs count="2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Diamond/BaixaDeTransito/Arquivos_DataSul/8%20-%20VLI%20-%20DESCARGA%20TRANSBORDO/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"/>
      <sheetName val=""/>
      <sheetName val="BASE"/>
      <sheetName val="dado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43.704185532406" createdVersion="6" refreshedVersion="7" minRefreshableVersion="3" recordCount="1" xr:uid="{00000000-000A-0000-FFFF-FFFF33000000}">
  <cacheSource type="worksheet">
    <worksheetSource name="=tbl_dinamica"/>
  </cacheSource>
  <cacheFields count="28">
    <cacheField name="C1" numFmtId="0">
      <sharedItems containsSemiMixedTypes="0" containsString="0" containsNumber="1" containsInteger="1" minValue="6208601" maxValue="6208601"/>
    </cacheField>
    <cacheField name="C2" numFmtId="0">
      <sharedItems/>
    </cacheField>
    <cacheField name="C3" numFmtId="0">
      <sharedItems/>
    </cacheField>
    <cacheField name="C4" numFmtId="0">
      <sharedItems/>
    </cacheField>
    <cacheField name="C5" numFmtId="0">
      <sharedItems count="2">
        <s v="06.315.338/0177-80"/>
        <s v="20/21" u="1"/>
      </sharedItems>
    </cacheField>
    <cacheField name="C6" numFmtId="0">
      <sharedItems/>
    </cacheField>
    <cacheField name="C7" numFmtId="0">
      <sharedItems/>
    </cacheField>
    <cacheField name="C8" numFmtId="0">
      <sharedItems/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168">
      <sharedItems/>
    </cacheField>
    <cacheField name="C13" numFmtId="164">
      <sharedItems containsSemiMixedTypes="0" containsString="0" containsNumber="1" containsInteger="1" minValue="56980" maxValue="56980"/>
    </cacheField>
    <cacheField name="C14" numFmtId="164">
      <sharedItems containsSemiMixedTypes="0" containsString="0" containsNumber="1" containsInteger="1" minValue="11493" maxValue="19470" count="2">
        <n v="19470"/>
        <n v="11493" u="1"/>
      </sharedItems>
    </cacheField>
    <cacheField name="C15" numFmtId="164">
      <sharedItems containsSemiMixedTypes="0" containsString="0" containsNumber="1" containsInteger="1" minValue="37510" maxValue="37510"/>
    </cacheField>
    <cacheField name="C16" numFmtId="164">
      <sharedItems containsSemiMixedTypes="0" containsString="0" containsNumber="1" containsInteger="1" minValue="37416" maxValue="37416"/>
    </cacheField>
    <cacheField name="C17" numFmtId="0">
      <sharedItems/>
    </cacheField>
    <cacheField name="C18" numFmtId="0">
      <sharedItems/>
    </cacheField>
    <cacheField name="C19" numFmtId="0">
      <sharedItems containsSemiMixedTypes="0" containsString="0" containsNumber="1" containsInteger="1" minValue="6922" maxValue="6922"/>
    </cacheField>
    <cacheField name="C20" numFmtId="164">
      <sharedItems containsSemiMixedTypes="0" containsString="0" containsNumber="1" containsInteger="1" minValue="37560" maxValue="37560"/>
    </cacheField>
    <cacheField name="C21" numFmtId="166">
      <sharedItems containsNonDate="0" containsString="0" containsBlank="1"/>
    </cacheField>
    <cacheField name="C22" numFmtId="166">
      <sharedItems containsNonDate="0" containsString="0" containsBlank="1"/>
    </cacheField>
    <cacheField name="C23" numFmtId="166">
      <sharedItems containsNonDate="0" containsString="0" containsBlank="1"/>
    </cacheField>
    <cacheField name="C24" numFmtId="166">
      <sharedItems containsNonDate="0" containsString="0" containsBlank="1"/>
    </cacheField>
    <cacheField name="C25" numFmtId="166">
      <sharedItems containsNonDate="0" containsString="0" containsBlank="1"/>
    </cacheField>
    <cacheField name="C26" numFmtId="166">
      <sharedItems containsNonDate="0" containsString="0" containsBlank="1"/>
    </cacheField>
    <cacheField name="C27" numFmtId="166">
      <sharedItems containsNonDate="0" containsString="0" containsBlank="1"/>
    </cacheField>
    <cacheField name="C28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6208601"/>
    <s v="NOVAAGRI PIRAPORA"/>
    <s v="SOJA EM GRAOS"/>
    <s v="RR2 Declarado"/>
    <x v="0"/>
    <s v="COFCO UBERLANDIA"/>
    <s v="VLI"/>
    <s v="HOO-4368"/>
    <s v="TRANSBORDO ENTRADA"/>
    <s v="E"/>
    <s v="19/20"/>
    <s v="19/02/2020 16:35"/>
    <n v="56980"/>
    <x v="0"/>
    <n v="37510"/>
    <n v="37416"/>
    <s v="55"/>
    <s v="1"/>
    <n v="6922"/>
    <n v="3756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" cacheId="17" dataOnRows="1" applyNumberFormats="0" applyBorderFormats="0" applyFontFormats="0" applyPatternFormats="0" applyAlignmentFormats="0" applyWidthHeightFormats="1" dataCaption="Dados" updatedVersion="7" showMemberPropertyTips="0" useAutoFormatting="1" rowGrandTotals="0" colGrandTotals="0" itemPrintTitles="1" createdVersion="1" indent="0" compact="0" compactData="0" gridDropZones="1">
  <location ref="L4:M6" firstHeaderRow="2" firstDataRow="2" firstDataCol="1"/>
  <pivotFields count="28">
    <pivotField compact="0" numFmtId="1" outline="0" showAll="0" includeNewItemsInFilter="1"/>
    <pivotField dataField="1" compact="0" numFmtId="14" outline="0" showAll="0" includeNewItemsInFilter="1"/>
    <pivotField compact="0" outline="0" showAll="0" includeNewItemsInFilter="1"/>
    <pivotField compact="0" numFmtId="164" outline="0" showAll="0" includeNewItemsInFilter="1"/>
    <pivotField axis="axisRow" compact="0" numFmtId="164" outline="0" showAll="0" includeNewItemsInFilter="1">
      <items count="3">
        <item m="1" x="1"/>
        <item x="0"/>
        <item t="default"/>
      </items>
    </pivotField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3">
        <item x="0"/>
        <item m="1"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outline="0" showAll="0" includeNewItemsInFilter="1"/>
  </pivotFields>
  <rowFields count="1">
    <field x="4"/>
  </rowFields>
  <rowItems count="1">
    <i>
      <x v="1"/>
    </i>
  </rowItems>
  <colItems count="1">
    <i/>
  </colItems>
  <dataFields count="1">
    <dataField name="Contagem de C2" fld="1" subtotal="count" baseField="0" baseItem="0"/>
  </dataFields>
  <formats count="20">
    <format dxfId="19">
      <pivotArea type="all" dataOnly="0" outline="0" fieldPosition="0"/>
    </format>
    <format dxfId="18">
      <pivotArea outline="0" fieldPosition="0"/>
    </format>
    <format dxfId="17">
      <pivotArea type="origin" dataOnly="0" labelOnly="1" outline="0" fieldPosition="0"/>
    </format>
    <format dxfId="16">
      <pivotArea field="13" type="button" dataOnly="0" labelOnly="1" outline="0"/>
    </format>
    <format dxfId="15">
      <pivotArea type="topRight" dataOnly="0" labelOnly="1" outline="0" fieldPosition="0"/>
    </format>
    <format dxfId="14">
      <pivotArea type="all" dataOnly="0" outline="0" fieldPosition="0"/>
    </format>
    <format dxfId="13">
      <pivotArea outline="0" fieldPosition="0"/>
    </format>
    <format dxfId="12">
      <pivotArea type="origin" dataOnly="0" labelOnly="1" outline="0" fieldPosition="0"/>
    </format>
    <format dxfId="11">
      <pivotArea field="13" type="button" dataOnly="0" labelOnly="1" outline="0"/>
    </format>
    <format dxfId="10">
      <pivotArea type="topRight" dataOnly="0" labelOnly="1" outline="0" fieldPosition="0"/>
    </format>
    <format dxfId="9">
      <pivotArea type="all" dataOnly="0" outline="0" fieldPosition="0"/>
    </format>
    <format dxfId="8">
      <pivotArea outline="0" fieldPosition="0"/>
    </format>
    <format dxfId="7">
      <pivotArea type="origin" dataOnly="0" labelOnly="1" outline="0" fieldPosition="0"/>
    </format>
    <format dxfId="6">
      <pivotArea field="13" type="button" dataOnly="0" labelOnly="1" outline="0"/>
    </format>
    <format dxfId="5">
      <pivotArea type="topRight" dataOnly="0" labelOnly="1" outline="0" fieldPosition="0"/>
    </format>
    <format dxfId="4">
      <pivotArea type="all" dataOnly="0" outline="0" fieldPosition="0"/>
    </format>
    <format dxfId="3">
      <pivotArea outline="0" fieldPosition="0"/>
    </format>
    <format dxfId="2">
      <pivotArea type="origin" dataOnly="0" labelOnly="1" outline="0" fieldPosition="0"/>
    </format>
    <format dxfId="1">
      <pivotArea field="13" type="button" dataOnly="0" labelOnly="1" outline="0"/>
    </format>
    <format dxfId="0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1:P5"/>
  <sheetViews>
    <sheetView tabSelected="1" zoomScaleNormal="100" workbookViewId="0">
      <selection activeCell="I5" sqref="I5"/>
    </sheetView>
  </sheetViews>
  <sheetFormatPr defaultRowHeight="15" x14ac:dyDescent="0.25"/>
  <cols>
    <col min="1" max="1" width="20.42578125" style="8" bestFit="1" customWidth="1"/>
    <col min="2" max="2" width="11" customWidth="1"/>
    <col min="3" max="3" width="18" bestFit="1" customWidth="1"/>
    <col min="4" max="4" width="24.5703125" bestFit="1" customWidth="1"/>
    <col min="5" max="5" width="13.85546875" bestFit="1" customWidth="1"/>
    <col min="6" max="6" width="15.140625" customWidth="1"/>
    <col min="7" max="7" width="18" bestFit="1" customWidth="1"/>
    <col min="8" max="8" width="17.5703125" bestFit="1" customWidth="1"/>
    <col min="9" max="9" width="19.85546875" customWidth="1"/>
    <col min="10" max="10" width="13.28515625" bestFit="1" customWidth="1"/>
    <col min="11" max="11" width="13.5703125" bestFit="1" customWidth="1"/>
    <col min="12" max="12" width="5.85546875" bestFit="1" customWidth="1"/>
    <col min="13" max="13" width="4.7109375" bestFit="1" customWidth="1"/>
    <col min="14" max="14" width="21.5703125" customWidth="1"/>
  </cols>
  <sheetData>
    <row r="1" spans="1:16" x14ac:dyDescent="0.25">
      <c r="A1" s="69" t="s">
        <v>18</v>
      </c>
      <c r="B1" s="71" t="s">
        <v>19</v>
      </c>
      <c r="C1" s="73" t="s">
        <v>20</v>
      </c>
      <c r="D1" s="75" t="s">
        <v>21</v>
      </c>
      <c r="E1" s="11" t="s">
        <v>22</v>
      </c>
      <c r="F1" s="77" t="s">
        <v>23</v>
      </c>
      <c r="G1" s="64" t="s">
        <v>1</v>
      </c>
      <c r="H1" s="64" t="s">
        <v>24</v>
      </c>
      <c r="I1" s="64" t="s">
        <v>25</v>
      </c>
      <c r="J1" s="66" t="s">
        <v>26</v>
      </c>
      <c r="K1" s="67"/>
      <c r="L1" s="67"/>
      <c r="M1" s="67"/>
      <c r="N1" s="68"/>
      <c r="P1" s="2"/>
    </row>
    <row r="2" spans="1:16" ht="15.75" thickBot="1" x14ac:dyDescent="0.3">
      <c r="A2" s="70"/>
      <c r="B2" s="72"/>
      <c r="C2" s="74"/>
      <c r="D2" s="76"/>
      <c r="E2" s="12" t="s">
        <v>27</v>
      </c>
      <c r="F2" s="78"/>
      <c r="G2" s="65"/>
      <c r="H2" s="65"/>
      <c r="I2" s="65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6" ht="15.75" thickTop="1" x14ac:dyDescent="0.25">
      <c r="A3" s="17">
        <v>2</v>
      </c>
      <c r="B3" s="18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  <c r="O3" s="3"/>
    </row>
    <row r="4" spans="1:16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28" t="s">
        <v>25</v>
      </c>
      <c r="J4" s="33" t="s">
        <v>38</v>
      </c>
      <c r="K4" s="29" t="s">
        <v>29</v>
      </c>
      <c r="L4" s="34"/>
      <c r="M4" s="34"/>
      <c r="N4" s="35" t="s">
        <v>39</v>
      </c>
    </row>
    <row r="5" spans="1:16" x14ac:dyDescent="0.25">
      <c r="A5" s="8" t="s">
        <v>153</v>
      </c>
      <c r="B5" t="s">
        <v>141</v>
      </c>
      <c r="C5">
        <v>6922</v>
      </c>
      <c r="E5" s="10" t="s">
        <v>168</v>
      </c>
      <c r="G5" t="s">
        <v>153</v>
      </c>
      <c r="I5" t="s">
        <v>167</v>
      </c>
      <c r="J5" s="82" t="s">
        <v>169</v>
      </c>
      <c r="N5" s="63">
        <v>37510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N14"/>
  <sheetViews>
    <sheetView workbookViewId="0">
      <selection activeCell="I5" sqref="I5"/>
    </sheetView>
  </sheetViews>
  <sheetFormatPr defaultRowHeight="15" x14ac:dyDescent="0.25"/>
  <cols>
    <col min="1" max="1" width="13.28515625" customWidth="1"/>
    <col min="2" max="2" width="12.7109375" customWidth="1"/>
    <col min="3" max="3" width="12.42578125" customWidth="1"/>
    <col min="4" max="4" width="21.85546875" customWidth="1"/>
    <col min="5" max="5" width="18.7109375" customWidth="1"/>
    <col min="6" max="6" width="12.5703125" customWidth="1"/>
    <col min="7" max="7" width="16.85546875" customWidth="1"/>
    <col min="8" max="8" width="15.85546875" customWidth="1"/>
    <col min="9" max="9" width="19" customWidth="1"/>
    <col min="10" max="10" width="13.28515625" bestFit="1" customWidth="1"/>
    <col min="11" max="11" width="15.5703125" customWidth="1"/>
    <col min="14" max="14" width="18.85546875" customWidth="1"/>
  </cols>
  <sheetData>
    <row r="1" spans="1:14" x14ac:dyDescent="0.25">
      <c r="A1" s="69" t="s">
        <v>18</v>
      </c>
      <c r="B1" s="71" t="s">
        <v>19</v>
      </c>
      <c r="C1" s="73" t="s">
        <v>20</v>
      </c>
      <c r="D1" s="75" t="s">
        <v>21</v>
      </c>
      <c r="E1" s="11" t="s">
        <v>22</v>
      </c>
      <c r="F1" s="77" t="s">
        <v>23</v>
      </c>
      <c r="G1" s="64" t="s">
        <v>1</v>
      </c>
      <c r="H1" s="64" t="s">
        <v>24</v>
      </c>
      <c r="I1" s="64" t="s">
        <v>25</v>
      </c>
      <c r="J1" s="66" t="s">
        <v>26</v>
      </c>
      <c r="K1" s="67"/>
      <c r="L1" s="67"/>
      <c r="M1" s="67"/>
      <c r="N1" s="68"/>
    </row>
    <row r="2" spans="1:14" ht="15.75" thickBot="1" x14ac:dyDescent="0.3">
      <c r="A2" s="70"/>
      <c r="B2" s="72"/>
      <c r="C2" s="74"/>
      <c r="D2" s="76"/>
      <c r="E2" s="12" t="s">
        <v>27</v>
      </c>
      <c r="F2" s="78"/>
      <c r="G2" s="65"/>
      <c r="H2" s="65"/>
      <c r="I2" s="65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4" ht="15.75" thickTop="1" x14ac:dyDescent="0.25">
      <c r="A3" s="36"/>
      <c r="B3" s="37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</row>
    <row r="4" spans="1:14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62" t="str">
        <f>I6</f>
        <v>09.077.252/0010-84</v>
      </c>
      <c r="J4" s="33" t="s">
        <v>38</v>
      </c>
      <c r="K4" s="29" t="s">
        <v>29</v>
      </c>
      <c r="L4" s="34"/>
      <c r="M4" s="34"/>
      <c r="N4" s="35" t="s">
        <v>39</v>
      </c>
    </row>
    <row r="5" spans="1:14" x14ac:dyDescent="0.25">
      <c r="A5" s="40" t="s">
        <v>158</v>
      </c>
      <c r="B5" s="40" t="s">
        <v>165</v>
      </c>
      <c r="C5" s="40" t="s">
        <v>162</v>
      </c>
      <c r="D5" s="40"/>
      <c r="E5" s="41" t="s">
        <v>163</v>
      </c>
      <c r="F5" s="40"/>
      <c r="G5" s="40"/>
      <c r="H5" s="40"/>
      <c r="I5" s="40"/>
      <c r="J5" s="40" t="s">
        <v>164</v>
      </c>
      <c r="K5" s="40"/>
      <c r="L5" s="40"/>
      <c r="M5" s="40"/>
      <c r="N5" s="40" t="s">
        <v>166</v>
      </c>
    </row>
    <row r="6" spans="1:14" x14ac:dyDescent="0.25">
      <c r="A6" s="38" t="s">
        <v>158</v>
      </c>
      <c r="B6" s="38" t="s">
        <v>165</v>
      </c>
      <c r="C6" s="38" t="s">
        <v>162</v>
      </c>
      <c r="D6" s="39" t="s">
        <v>46</v>
      </c>
      <c r="E6" s="38" t="s">
        <v>163</v>
      </c>
      <c r="F6" s="39" t="s">
        <v>46</v>
      </c>
      <c r="G6" s="38" t="s">
        <v>47</v>
      </c>
      <c r="H6" s="39" t="s">
        <v>46</v>
      </c>
      <c r="I6" s="39" t="s">
        <v>167</v>
      </c>
      <c r="J6" s="38" t="s">
        <v>164</v>
      </c>
      <c r="K6" s="39" t="s">
        <v>46</v>
      </c>
      <c r="L6" s="39" t="s">
        <v>46</v>
      </c>
      <c r="M6" s="39" t="s">
        <v>46</v>
      </c>
      <c r="N6" s="38" t="s">
        <v>166</v>
      </c>
    </row>
    <row r="14" spans="1:14" x14ac:dyDescent="0.25">
      <c r="I14" s="42"/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dataValidations count="2">
    <dataValidation type="list" allowBlank="1" showInputMessage="1" showErrorMessage="1" sqref="A6 C6 E6 J6" xr:uid="{00000000-0002-0000-0100-000000000000}">
      <formula1>"A,B,C,D,E,F,G,H,I,J,K,L,M,N,O,P,Q,R,S,T,U,V,X,Z"</formula1>
    </dataValidation>
    <dataValidation type="list" allowBlank="1" showInputMessage="1" showErrorMessage="1" sqref="N6" xr:uid="{6E08A00C-F98B-4668-B1BF-37D43788885A}">
      <formula1>"A,B,C,D,E,F,G,H,I,J,K,L,M,N,O,P,Q,R,S,T,U,V,W,X,Y,Z"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B3842"/>
  <sheetViews>
    <sheetView workbookViewId="0">
      <selection activeCell="L2" sqref="L2"/>
    </sheetView>
  </sheetViews>
  <sheetFormatPr defaultColWidth="84.85546875" defaultRowHeight="15" x14ac:dyDescent="0.25"/>
  <cols>
    <col min="1" max="1" width="3.140625" style="81" bestFit="1" customWidth="1"/>
    <col min="2" max="2" width="21.140625" bestFit="1" customWidth="1"/>
    <col min="3" max="3" width="16.7109375" bestFit="1" customWidth="1"/>
    <col min="4" max="4" width="13.5703125" bestFit="1" customWidth="1"/>
    <col min="5" max="5" width="17.5703125" bestFit="1" customWidth="1"/>
    <col min="6" max="7" width="20.140625" bestFit="1" customWidth="1"/>
    <col min="8" max="8" width="12.85546875" bestFit="1" customWidth="1"/>
    <col min="9" max="9" width="23.5703125" bestFit="1" customWidth="1"/>
    <col min="10" max="10" width="4.140625" bestFit="1" customWidth="1"/>
    <col min="11" max="11" width="5.5703125" bestFit="1" customWidth="1"/>
    <col min="12" max="12" width="15.42578125" style="81" bestFit="1" customWidth="1"/>
    <col min="13" max="16" width="6.5703125" bestFit="1" customWidth="1"/>
    <col min="17" max="18" width="4.140625" bestFit="1" customWidth="1"/>
    <col min="19" max="19" width="5" bestFit="1" customWidth="1"/>
    <col min="20" max="20" width="6.5703125" bestFit="1" customWidth="1"/>
    <col min="21" max="28" width="4.140625" bestFit="1" customWidth="1"/>
  </cols>
  <sheetData>
    <row r="1" spans="1:28" x14ac:dyDescent="0.25">
      <c r="A1" s="81" t="s">
        <v>3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s="81" t="s">
        <v>15</v>
      </c>
      <c r="M1" t="s">
        <v>16</v>
      </c>
      <c r="N1" t="s">
        <v>17</v>
      </c>
      <c r="O1" t="s">
        <v>40</v>
      </c>
      <c r="P1" t="s">
        <v>41</v>
      </c>
      <c r="Q1" t="s">
        <v>42</v>
      </c>
      <c r="R1" t="s">
        <v>43</v>
      </c>
      <c r="S1" t="s">
        <v>44</v>
      </c>
      <c r="T1" t="s">
        <v>45</v>
      </c>
      <c r="U1" t="s">
        <v>142</v>
      </c>
      <c r="V1" t="s">
        <v>143</v>
      </c>
      <c r="W1" t="s">
        <v>144</v>
      </c>
      <c r="X1" t="s">
        <v>145</v>
      </c>
      <c r="Y1" t="s">
        <v>146</v>
      </c>
      <c r="Z1" t="s">
        <v>147</v>
      </c>
      <c r="AA1" t="s">
        <v>148</v>
      </c>
      <c r="AB1" t="s">
        <v>149</v>
      </c>
    </row>
    <row r="2" spans="1:28" x14ac:dyDescent="0.25">
      <c r="A2" s="79">
        <v>6208601</v>
      </c>
      <c r="B2" s="79" t="s">
        <v>150</v>
      </c>
      <c r="C2" s="79" t="s">
        <v>151</v>
      </c>
      <c r="D2" s="79" t="s">
        <v>152</v>
      </c>
      <c r="E2" s="79" t="s">
        <v>153</v>
      </c>
      <c r="F2" s="79" t="s">
        <v>154</v>
      </c>
      <c r="G2" s="79" t="s">
        <v>155</v>
      </c>
      <c r="H2" s="79" t="s">
        <v>156</v>
      </c>
      <c r="I2" s="79" t="s">
        <v>157</v>
      </c>
      <c r="J2" s="79" t="s">
        <v>158</v>
      </c>
      <c r="K2" s="79" t="s">
        <v>159</v>
      </c>
      <c r="L2" s="82" t="s">
        <v>160</v>
      </c>
      <c r="M2" s="80">
        <v>56980</v>
      </c>
      <c r="N2" s="80">
        <v>19470</v>
      </c>
      <c r="O2" s="80">
        <v>37510</v>
      </c>
      <c r="P2" s="80">
        <v>37416</v>
      </c>
      <c r="Q2" s="79" t="s">
        <v>161</v>
      </c>
      <c r="R2" s="79" t="s">
        <v>141</v>
      </c>
      <c r="S2" s="79">
        <v>6922</v>
      </c>
      <c r="T2" s="80">
        <v>37560</v>
      </c>
      <c r="U2" s="57"/>
      <c r="V2" s="57"/>
      <c r="W2" s="58"/>
      <c r="X2" s="59"/>
      <c r="Y2" s="59"/>
      <c r="Z2" s="59"/>
      <c r="AA2" s="59"/>
      <c r="AB2" s="60"/>
    </row>
    <row r="3" spans="1:28" hidden="1" x14ac:dyDescent="0.25"/>
    <row r="4" spans="1:28" hidden="1" x14ac:dyDescent="0.25"/>
    <row r="5" spans="1:28" hidden="1" x14ac:dyDescent="0.25"/>
    <row r="6" spans="1:28" hidden="1" x14ac:dyDescent="0.25"/>
    <row r="7" spans="1:28" hidden="1" x14ac:dyDescent="0.25"/>
    <row r="8" spans="1:28" hidden="1" x14ac:dyDescent="0.25"/>
    <row r="9" spans="1:28" hidden="1" x14ac:dyDescent="0.25"/>
    <row r="10" spans="1:28" hidden="1" x14ac:dyDescent="0.25"/>
    <row r="11" spans="1:28" hidden="1" x14ac:dyDescent="0.25"/>
    <row r="12" spans="1:28" hidden="1" x14ac:dyDescent="0.25"/>
    <row r="13" spans="1:28" hidden="1" x14ac:dyDescent="0.25"/>
    <row r="14" spans="1:28" hidden="1" x14ac:dyDescent="0.25"/>
    <row r="15" spans="1:28" hidden="1" x14ac:dyDescent="0.25"/>
    <row r="16" spans="1:28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</sheetData>
  <autoFilter ref="A1:U3842" xr:uid="{00000000-0001-0000-0200-000000000000}">
    <filterColumn colId="4">
      <filters>
        <filter val="06.315.338/0177-80"/>
      </filters>
    </filterColumn>
  </autoFilter>
  <phoneticPr fontId="17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M192"/>
  <sheetViews>
    <sheetView topLeftCell="B1" zoomScale="85" zoomScaleNormal="85" workbookViewId="0">
      <selection activeCell="C46" sqref="C46"/>
    </sheetView>
  </sheetViews>
  <sheetFormatPr defaultRowHeight="15" x14ac:dyDescent="0.25"/>
  <cols>
    <col min="1" max="1" width="43.85546875" style="1" customWidth="1"/>
    <col min="2" max="2" width="21.85546875" customWidth="1"/>
    <col min="3" max="3" width="15.5703125" customWidth="1"/>
    <col min="4" max="4" width="11" customWidth="1"/>
    <col min="5" max="5" width="32.5703125" customWidth="1"/>
    <col min="6" max="6" width="11" customWidth="1"/>
    <col min="8" max="8" width="7.140625" customWidth="1"/>
    <col min="9" max="9" width="8.85546875" customWidth="1"/>
    <col min="11" max="11" width="21.28515625" customWidth="1"/>
    <col min="12" max="12" width="18.140625" bestFit="1" customWidth="1"/>
    <col min="13" max="13" width="5.85546875" bestFit="1" customWidth="1"/>
    <col min="14" max="14" width="5.85546875" customWidth="1"/>
  </cols>
  <sheetData>
    <row r="1" spans="1:13" ht="15.75" x14ac:dyDescent="0.25">
      <c r="A1" s="52" t="s">
        <v>36</v>
      </c>
      <c r="B1" s="53" t="s">
        <v>48</v>
      </c>
      <c r="C1" s="53" t="s">
        <v>49</v>
      </c>
      <c r="D1" s="54" t="s">
        <v>50</v>
      </c>
      <c r="E1" s="53" t="s">
        <v>0</v>
      </c>
      <c r="F1" s="54" t="s">
        <v>50</v>
      </c>
    </row>
    <row r="2" spans="1:13" ht="15.75" x14ac:dyDescent="0.25">
      <c r="A2" s="43" t="s">
        <v>51</v>
      </c>
      <c r="B2" s="44" t="s">
        <v>52</v>
      </c>
      <c r="C2" s="45">
        <v>101</v>
      </c>
      <c r="D2" s="43">
        <v>2</v>
      </c>
      <c r="E2" s="55" t="s">
        <v>100</v>
      </c>
      <c r="F2" s="43">
        <v>2</v>
      </c>
      <c r="H2" s="4"/>
      <c r="L2" s="9"/>
      <c r="M2" s="9"/>
    </row>
    <row r="3" spans="1:13" ht="15.75" x14ac:dyDescent="0.25">
      <c r="A3" s="46" t="s">
        <v>53</v>
      </c>
      <c r="B3" s="47" t="s">
        <v>54</v>
      </c>
      <c r="C3" s="48">
        <v>103</v>
      </c>
      <c r="D3" s="46">
        <v>1</v>
      </c>
      <c r="E3" s="56" t="s">
        <v>101</v>
      </c>
      <c r="F3" s="46">
        <v>1</v>
      </c>
      <c r="H3" s="4"/>
      <c r="L3" s="9"/>
      <c r="M3" s="9"/>
    </row>
    <row r="4" spans="1:13" ht="15.75" x14ac:dyDescent="0.25">
      <c r="A4" s="43" t="s">
        <v>55</v>
      </c>
      <c r="B4" s="44" t="s">
        <v>56</v>
      </c>
      <c r="C4" s="45">
        <v>108</v>
      </c>
      <c r="D4" s="43">
        <v>1</v>
      </c>
      <c r="E4" s="55" t="s">
        <v>102</v>
      </c>
      <c r="F4" s="43">
        <v>1</v>
      </c>
      <c r="H4" s="4"/>
      <c r="I4" s="5"/>
      <c r="K4" s="49"/>
      <c r="L4" s="49" t="s">
        <v>2</v>
      </c>
      <c r="M4" s="49"/>
    </row>
    <row r="5" spans="1:13" ht="15.75" x14ac:dyDescent="0.25">
      <c r="A5" s="46" t="s">
        <v>57</v>
      </c>
      <c r="B5" s="47" t="s">
        <v>54</v>
      </c>
      <c r="C5" s="48">
        <v>110</v>
      </c>
      <c r="D5" s="46">
        <v>1</v>
      </c>
      <c r="E5" s="56" t="s">
        <v>103</v>
      </c>
      <c r="F5" s="46">
        <v>1</v>
      </c>
      <c r="H5" s="6"/>
      <c r="I5" s="1"/>
      <c r="K5" s="49" t="s">
        <v>153</v>
      </c>
      <c r="L5" s="49" t="s">
        <v>8</v>
      </c>
      <c r="M5" s="49" t="s">
        <v>4</v>
      </c>
    </row>
    <row r="6" spans="1:13" ht="15.75" x14ac:dyDescent="0.25">
      <c r="A6" s="43" t="s">
        <v>58</v>
      </c>
      <c r="B6" s="44" t="s">
        <v>59</v>
      </c>
      <c r="C6" s="45">
        <v>116</v>
      </c>
      <c r="D6" s="43">
        <v>6</v>
      </c>
      <c r="E6" s="55" t="s">
        <v>104</v>
      </c>
      <c r="F6" s="43">
        <v>6</v>
      </c>
      <c r="H6" s="6"/>
      <c r="I6" s="7"/>
      <c r="K6" s="51" t="str">
        <f>SUBSTITUTE(SUBSTITUTE(SUBSTITUTE(K5,".",""),"-",""),"/","")</f>
        <v>06315338017780</v>
      </c>
      <c r="L6" s="61" t="s">
        <v>153</v>
      </c>
      <c r="M6" s="50">
        <v>1</v>
      </c>
    </row>
    <row r="7" spans="1:13" ht="15.75" x14ac:dyDescent="0.25">
      <c r="A7" s="46" t="s">
        <v>60</v>
      </c>
      <c r="B7" s="47" t="s">
        <v>61</v>
      </c>
      <c r="C7" s="48">
        <v>131</v>
      </c>
      <c r="D7" s="46">
        <v>2</v>
      </c>
      <c r="E7" s="56" t="s">
        <v>106</v>
      </c>
      <c r="F7" s="46">
        <v>2</v>
      </c>
      <c r="H7" s="4"/>
      <c r="K7" s="49">
        <f>IFERROR(VLOOKUP(K6,E2:F99,2,0),1)</f>
        <v>1</v>
      </c>
    </row>
    <row r="8" spans="1:13" ht="15.75" x14ac:dyDescent="0.25">
      <c r="A8" s="43" t="s">
        <v>62</v>
      </c>
      <c r="B8" s="44" t="s">
        <v>63</v>
      </c>
      <c r="C8" s="45">
        <v>135</v>
      </c>
      <c r="D8" s="43">
        <v>1</v>
      </c>
      <c r="E8" s="55" t="s">
        <v>105</v>
      </c>
      <c r="F8" s="43">
        <v>1</v>
      </c>
      <c r="K8" s="49"/>
    </row>
    <row r="9" spans="1:13" ht="15.75" x14ac:dyDescent="0.25">
      <c r="A9" s="46" t="s">
        <v>64</v>
      </c>
      <c r="B9" s="47" t="s">
        <v>54</v>
      </c>
      <c r="C9" s="48">
        <v>137</v>
      </c>
      <c r="D9" s="46">
        <v>1</v>
      </c>
      <c r="E9" s="56" t="s">
        <v>107</v>
      </c>
      <c r="F9" s="46">
        <v>1</v>
      </c>
      <c r="K9" s="49"/>
    </row>
    <row r="10" spans="1:13" ht="15.75" x14ac:dyDescent="0.25">
      <c r="A10" s="43" t="s">
        <v>65</v>
      </c>
      <c r="B10" s="44" t="s">
        <v>63</v>
      </c>
      <c r="C10" s="45">
        <v>139</v>
      </c>
      <c r="D10" s="43">
        <v>1</v>
      </c>
      <c r="E10" s="55" t="s">
        <v>108</v>
      </c>
      <c r="F10" s="43">
        <v>1</v>
      </c>
      <c r="K10" s="49"/>
    </row>
    <row r="11" spans="1:13" ht="15.75" x14ac:dyDescent="0.25">
      <c r="A11" s="46" t="s">
        <v>66</v>
      </c>
      <c r="B11" s="47" t="s">
        <v>63</v>
      </c>
      <c r="C11" s="48">
        <v>144</v>
      </c>
      <c r="D11" s="46">
        <v>1</v>
      </c>
      <c r="E11" s="56" t="s">
        <v>109</v>
      </c>
      <c r="F11" s="46">
        <v>1</v>
      </c>
      <c r="K11" s="49"/>
    </row>
    <row r="12" spans="1:13" ht="15.75" x14ac:dyDescent="0.25">
      <c r="A12" s="43" t="s">
        <v>67</v>
      </c>
      <c r="B12" s="44" t="s">
        <v>63</v>
      </c>
      <c r="C12" s="45">
        <v>148</v>
      </c>
      <c r="D12" s="43">
        <v>1</v>
      </c>
      <c r="E12" s="55" t="s">
        <v>110</v>
      </c>
      <c r="F12" s="43">
        <v>1</v>
      </c>
      <c r="K12" s="49"/>
    </row>
    <row r="13" spans="1:13" ht="15.75" x14ac:dyDescent="0.25">
      <c r="A13" s="46" t="s">
        <v>68</v>
      </c>
      <c r="B13" s="47" t="s">
        <v>63</v>
      </c>
      <c r="C13" s="48">
        <v>179</v>
      </c>
      <c r="D13" s="46">
        <v>1</v>
      </c>
      <c r="E13" s="56" t="s">
        <v>111</v>
      </c>
      <c r="F13" s="46">
        <v>1</v>
      </c>
      <c r="K13" s="49"/>
    </row>
    <row r="14" spans="1:13" ht="15.75" x14ac:dyDescent="0.25">
      <c r="A14" s="43" t="s">
        <v>69</v>
      </c>
      <c r="B14" s="44" t="s">
        <v>70</v>
      </c>
      <c r="C14" s="45">
        <v>182</v>
      </c>
      <c r="D14" s="43">
        <v>1</v>
      </c>
      <c r="E14" s="55" t="s">
        <v>112</v>
      </c>
      <c r="F14" s="43">
        <v>1</v>
      </c>
      <c r="K14" s="49"/>
    </row>
    <row r="15" spans="1:13" ht="15.75" x14ac:dyDescent="0.25">
      <c r="A15" s="46" t="s">
        <v>71</v>
      </c>
      <c r="B15" s="47" t="s">
        <v>63</v>
      </c>
      <c r="C15" s="48">
        <v>190</v>
      </c>
      <c r="D15" s="46">
        <v>1</v>
      </c>
      <c r="E15" s="56" t="s">
        <v>113</v>
      </c>
      <c r="F15" s="46">
        <v>1</v>
      </c>
      <c r="K15" s="49"/>
    </row>
    <row r="16" spans="1:13" ht="15.75" x14ac:dyDescent="0.25">
      <c r="A16" s="43" t="s">
        <v>72</v>
      </c>
      <c r="B16" s="44" t="s">
        <v>63</v>
      </c>
      <c r="C16" s="45">
        <v>192</v>
      </c>
      <c r="D16" s="43">
        <v>1</v>
      </c>
      <c r="E16" s="55" t="s">
        <v>114</v>
      </c>
      <c r="F16" s="43">
        <v>1</v>
      </c>
    </row>
    <row r="17" spans="1:6" ht="15.75" x14ac:dyDescent="0.25">
      <c r="A17" s="46" t="s">
        <v>73</v>
      </c>
      <c r="B17" s="47" t="s">
        <v>63</v>
      </c>
      <c r="C17" s="48">
        <v>193</v>
      </c>
      <c r="D17" s="46">
        <v>1</v>
      </c>
      <c r="E17" s="56" t="s">
        <v>115</v>
      </c>
      <c r="F17" s="46">
        <v>1</v>
      </c>
    </row>
    <row r="18" spans="1:6" ht="15.75" x14ac:dyDescent="0.25">
      <c r="A18" s="43" t="s">
        <v>74</v>
      </c>
      <c r="B18" s="44" t="s">
        <v>63</v>
      </c>
      <c r="C18" s="45">
        <v>194</v>
      </c>
      <c r="D18" s="43">
        <v>1</v>
      </c>
      <c r="E18" s="55" t="s">
        <v>116</v>
      </c>
      <c r="F18" s="43">
        <v>1</v>
      </c>
    </row>
    <row r="19" spans="1:6" ht="15.75" x14ac:dyDescent="0.25">
      <c r="A19" s="46" t="s">
        <v>75</v>
      </c>
      <c r="B19" s="47" t="s">
        <v>63</v>
      </c>
      <c r="C19" s="48">
        <v>195</v>
      </c>
      <c r="D19" s="46">
        <v>1</v>
      </c>
      <c r="E19" s="56" t="s">
        <v>117</v>
      </c>
      <c r="F19" s="46">
        <v>1</v>
      </c>
    </row>
    <row r="20" spans="1:6" ht="15.75" x14ac:dyDescent="0.25">
      <c r="A20" s="43" t="s">
        <v>76</v>
      </c>
      <c r="B20" s="44" t="s">
        <v>63</v>
      </c>
      <c r="C20" s="45">
        <v>196</v>
      </c>
      <c r="D20" s="43">
        <v>1</v>
      </c>
      <c r="E20" s="55" t="s">
        <v>118</v>
      </c>
      <c r="F20" s="43">
        <v>1</v>
      </c>
    </row>
    <row r="21" spans="1:6" ht="15.75" x14ac:dyDescent="0.25">
      <c r="A21" s="46" t="s">
        <v>77</v>
      </c>
      <c r="B21" s="47" t="s">
        <v>63</v>
      </c>
      <c r="C21" s="48">
        <v>197</v>
      </c>
      <c r="D21" s="46">
        <v>1</v>
      </c>
      <c r="E21" s="56" t="s">
        <v>119</v>
      </c>
      <c r="F21" s="46">
        <v>1</v>
      </c>
    </row>
    <row r="22" spans="1:6" ht="15.75" x14ac:dyDescent="0.25">
      <c r="A22" s="43" t="s">
        <v>78</v>
      </c>
      <c r="B22" s="44" t="s">
        <v>63</v>
      </c>
      <c r="C22" s="45">
        <v>198</v>
      </c>
      <c r="D22" s="43">
        <v>1</v>
      </c>
      <c r="E22" s="55" t="s">
        <v>120</v>
      </c>
      <c r="F22" s="43">
        <v>1</v>
      </c>
    </row>
    <row r="23" spans="1:6" ht="15.75" x14ac:dyDescent="0.25">
      <c r="A23" s="46" t="s">
        <v>79</v>
      </c>
      <c r="B23" s="47" t="s">
        <v>54</v>
      </c>
      <c r="C23" s="48">
        <v>201</v>
      </c>
      <c r="D23" s="46">
        <v>1</v>
      </c>
      <c r="E23" s="56" t="s">
        <v>121</v>
      </c>
      <c r="F23" s="46">
        <v>1</v>
      </c>
    </row>
    <row r="24" spans="1:6" ht="15.75" x14ac:dyDescent="0.25">
      <c r="A24" s="43" t="s">
        <v>80</v>
      </c>
      <c r="B24" s="44" t="s">
        <v>56</v>
      </c>
      <c r="C24" s="45">
        <v>203</v>
      </c>
      <c r="D24" s="43">
        <v>1</v>
      </c>
      <c r="E24" s="55" t="s">
        <v>122</v>
      </c>
      <c r="F24" s="43">
        <v>1</v>
      </c>
    </row>
    <row r="25" spans="1:6" ht="15.75" x14ac:dyDescent="0.25">
      <c r="A25" s="46" t="s">
        <v>81</v>
      </c>
      <c r="B25" s="47" t="s">
        <v>56</v>
      </c>
      <c r="C25" s="48">
        <v>204</v>
      </c>
      <c r="D25" s="46">
        <v>1</v>
      </c>
      <c r="E25" s="56" t="s">
        <v>123</v>
      </c>
      <c r="F25" s="46">
        <v>1</v>
      </c>
    </row>
    <row r="26" spans="1:6" ht="15.75" x14ac:dyDescent="0.25">
      <c r="A26" s="43" t="s">
        <v>82</v>
      </c>
      <c r="B26" s="44" t="s">
        <v>83</v>
      </c>
      <c r="C26" s="45">
        <v>206</v>
      </c>
      <c r="D26" s="43">
        <v>1</v>
      </c>
      <c r="E26" s="55" t="s">
        <v>124</v>
      </c>
      <c r="F26" s="43">
        <v>1</v>
      </c>
    </row>
    <row r="27" spans="1:6" ht="15.75" x14ac:dyDescent="0.25">
      <c r="A27" s="46" t="s">
        <v>84</v>
      </c>
      <c r="B27" s="47" t="s">
        <v>83</v>
      </c>
      <c r="C27" s="48">
        <v>207</v>
      </c>
      <c r="D27" s="46">
        <v>1</v>
      </c>
      <c r="E27" s="56" t="s">
        <v>125</v>
      </c>
      <c r="F27" s="46">
        <v>1</v>
      </c>
    </row>
    <row r="28" spans="1:6" ht="15.75" x14ac:dyDescent="0.25">
      <c r="A28" s="43" t="s">
        <v>85</v>
      </c>
      <c r="B28" s="44" t="s">
        <v>63</v>
      </c>
      <c r="C28" s="45">
        <v>210</v>
      </c>
      <c r="D28" s="43">
        <v>1</v>
      </c>
      <c r="E28" s="55" t="s">
        <v>126</v>
      </c>
      <c r="F28" s="43">
        <v>1</v>
      </c>
    </row>
    <row r="29" spans="1:6" ht="15.75" x14ac:dyDescent="0.25">
      <c r="A29" s="46" t="s">
        <v>86</v>
      </c>
      <c r="B29" s="47" t="s">
        <v>87</v>
      </c>
      <c r="C29" s="48">
        <v>216</v>
      </c>
      <c r="D29" s="46">
        <v>1</v>
      </c>
      <c r="E29" s="56" t="s">
        <v>127</v>
      </c>
      <c r="F29" s="46">
        <v>1</v>
      </c>
    </row>
    <row r="30" spans="1:6" ht="15.75" x14ac:dyDescent="0.25">
      <c r="A30" s="43" t="s">
        <v>88</v>
      </c>
      <c r="B30" s="44" t="s">
        <v>89</v>
      </c>
      <c r="C30" s="45">
        <v>218</v>
      </c>
      <c r="D30" s="43">
        <v>1</v>
      </c>
      <c r="E30" s="55" t="s">
        <v>128</v>
      </c>
      <c r="F30" s="43">
        <v>1</v>
      </c>
    </row>
    <row r="31" spans="1:6" ht="15.75" x14ac:dyDescent="0.25">
      <c r="A31" s="46" t="s">
        <v>90</v>
      </c>
      <c r="B31" s="47" t="s">
        <v>52</v>
      </c>
      <c r="C31" s="48">
        <v>222</v>
      </c>
      <c r="D31" s="46">
        <v>1</v>
      </c>
      <c r="E31" s="56" t="s">
        <v>129</v>
      </c>
      <c r="F31" s="46">
        <v>1</v>
      </c>
    </row>
    <row r="32" spans="1:6" ht="15.75" x14ac:dyDescent="0.25">
      <c r="A32" s="43" t="s">
        <v>91</v>
      </c>
      <c r="B32" s="44" t="s">
        <v>63</v>
      </c>
      <c r="C32" s="45">
        <v>906</v>
      </c>
      <c r="D32" s="43">
        <v>1</v>
      </c>
      <c r="E32" s="55" t="s">
        <v>130</v>
      </c>
      <c r="F32" s="43">
        <v>1</v>
      </c>
    </row>
    <row r="33" spans="1:6" ht="15.75" x14ac:dyDescent="0.25">
      <c r="A33" s="46" t="s">
        <v>92</v>
      </c>
      <c r="B33" s="47" t="s">
        <v>56</v>
      </c>
      <c r="C33" s="48">
        <v>908</v>
      </c>
      <c r="D33" s="46">
        <v>1</v>
      </c>
      <c r="E33" s="56" t="s">
        <v>131</v>
      </c>
      <c r="F33" s="46">
        <v>1</v>
      </c>
    </row>
    <row r="34" spans="1:6" ht="15.75" x14ac:dyDescent="0.25">
      <c r="A34" s="43" t="s">
        <v>93</v>
      </c>
      <c r="B34" s="44" t="s">
        <v>63</v>
      </c>
      <c r="C34" s="45">
        <v>911</v>
      </c>
      <c r="D34" s="43">
        <v>1</v>
      </c>
      <c r="E34" s="55" t="s">
        <v>132</v>
      </c>
      <c r="F34" s="43">
        <v>1</v>
      </c>
    </row>
    <row r="35" spans="1:6" ht="15.75" x14ac:dyDescent="0.25">
      <c r="A35" s="46" t="s">
        <v>94</v>
      </c>
      <c r="B35" s="47" t="s">
        <v>63</v>
      </c>
      <c r="C35" s="48">
        <v>914</v>
      </c>
      <c r="D35" s="46">
        <v>1</v>
      </c>
      <c r="E35" s="56" t="s">
        <v>133</v>
      </c>
      <c r="F35" s="46">
        <v>1</v>
      </c>
    </row>
    <row r="36" spans="1:6" ht="15.75" x14ac:dyDescent="0.25">
      <c r="A36" s="43" t="s">
        <v>71</v>
      </c>
      <c r="B36" s="44" t="s">
        <v>63</v>
      </c>
      <c r="C36" s="45">
        <v>915</v>
      </c>
      <c r="D36" s="43">
        <v>1</v>
      </c>
      <c r="E36" s="55" t="s">
        <v>134</v>
      </c>
      <c r="F36" s="43">
        <v>1</v>
      </c>
    </row>
    <row r="37" spans="1:6" ht="15.75" x14ac:dyDescent="0.25">
      <c r="A37" s="46" t="s">
        <v>91</v>
      </c>
      <c r="B37" s="47" t="s">
        <v>63</v>
      </c>
      <c r="C37" s="48">
        <v>930</v>
      </c>
      <c r="D37" s="46">
        <v>10</v>
      </c>
      <c r="E37" s="56" t="s">
        <v>135</v>
      </c>
      <c r="F37" s="46">
        <v>10</v>
      </c>
    </row>
    <row r="38" spans="1:6" ht="15.75" x14ac:dyDescent="0.25">
      <c r="A38" s="43" t="s">
        <v>95</v>
      </c>
      <c r="B38" s="44" t="s">
        <v>63</v>
      </c>
      <c r="C38" s="45">
        <v>932</v>
      </c>
      <c r="D38" s="43">
        <v>1</v>
      </c>
      <c r="E38" s="55" t="s">
        <v>136</v>
      </c>
      <c r="F38" s="43">
        <v>1</v>
      </c>
    </row>
    <row r="39" spans="1:6" ht="15.75" x14ac:dyDescent="0.25">
      <c r="A39" s="46" t="s">
        <v>96</v>
      </c>
      <c r="B39" s="47" t="s">
        <v>63</v>
      </c>
      <c r="C39" s="48">
        <v>934</v>
      </c>
      <c r="D39" s="46">
        <v>1</v>
      </c>
      <c r="E39" s="56" t="s">
        <v>137</v>
      </c>
      <c r="F39" s="46">
        <v>1</v>
      </c>
    </row>
    <row r="40" spans="1:6" ht="15.75" x14ac:dyDescent="0.25">
      <c r="A40" s="43" t="s">
        <v>97</v>
      </c>
      <c r="B40" s="44" t="s">
        <v>63</v>
      </c>
      <c r="C40" s="45">
        <v>949</v>
      </c>
      <c r="D40" s="43">
        <v>1</v>
      </c>
      <c r="E40" s="55" t="s">
        <v>138</v>
      </c>
      <c r="F40" s="43">
        <v>1</v>
      </c>
    </row>
    <row r="41" spans="1:6" ht="15.75" x14ac:dyDescent="0.25">
      <c r="A41" s="46" t="s">
        <v>98</v>
      </c>
      <c r="B41" s="47" t="s">
        <v>63</v>
      </c>
      <c r="C41" s="48">
        <v>984</v>
      </c>
      <c r="D41" s="46">
        <v>1</v>
      </c>
      <c r="E41" s="56" t="s">
        <v>139</v>
      </c>
      <c r="F41" s="46">
        <v>1</v>
      </c>
    </row>
    <row r="42" spans="1:6" ht="15.75" x14ac:dyDescent="0.25">
      <c r="A42" s="43" t="s">
        <v>99</v>
      </c>
      <c r="B42" s="44" t="s">
        <v>63</v>
      </c>
      <c r="C42" s="45">
        <v>985</v>
      </c>
      <c r="D42" s="43">
        <v>1</v>
      </c>
      <c r="E42" s="55" t="s">
        <v>140</v>
      </c>
      <c r="F42" s="43">
        <v>1</v>
      </c>
    </row>
    <row r="43" spans="1:6" x14ac:dyDescent="0.25">
      <c r="A43"/>
    </row>
    <row r="44" spans="1:6" x14ac:dyDescent="0.25">
      <c r="A44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1" x14ac:dyDescent="0.25">
      <c r="A49"/>
    </row>
    <row r="50" spans="1:1" x14ac:dyDescent="0.25">
      <c r="A50" s="1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</row>
    <row r="74" spans="1:6" x14ac:dyDescent="0.25">
      <c r="A74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  <c r="D78" s="10"/>
      <c r="F78" s="10"/>
    </row>
    <row r="79" spans="1:6" x14ac:dyDescent="0.25">
      <c r="A79"/>
    </row>
    <row r="80" spans="1:6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8" x14ac:dyDescent="0.25">
      <c r="A97"/>
    </row>
    <row r="98" spans="1:8" x14ac:dyDescent="0.25">
      <c r="A98"/>
    </row>
    <row r="99" spans="1:8" x14ac:dyDescent="0.25">
      <c r="A99"/>
    </row>
    <row r="100" spans="1:8" x14ac:dyDescent="0.25">
      <c r="A100"/>
    </row>
    <row r="107" spans="1:8" x14ac:dyDescent="0.25">
      <c r="D107" t="e">
        <f>IF([1]BASE!D108="","",[1]BASE!D108)</f>
        <v>#REF!</v>
      </c>
      <c r="E107" t="e">
        <f>IF([1]BASE!E108="","",[1]BASE!E108)</f>
        <v>#REF!</v>
      </c>
      <c r="F107" t="e">
        <f>IF([1]BASE!F108="","",[1]BASE!F108)</f>
        <v>#REF!</v>
      </c>
      <c r="G107" t="e">
        <f>IF([1]BASE!G108="","",[1]BASE!G108)</f>
        <v>#REF!</v>
      </c>
      <c r="H107" t="e">
        <f>IF([1]BASE!H108="","",[1]BASE!H108)</f>
        <v>#REF!</v>
      </c>
    </row>
    <row r="108" spans="1:8" x14ac:dyDescent="0.25">
      <c r="D108" t="e">
        <f>IF([1]BASE!D109="","",[1]BASE!D109)</f>
        <v>#REF!</v>
      </c>
      <c r="E108" t="e">
        <f>IF([1]BASE!E109="","",[1]BASE!E109)</f>
        <v>#REF!</v>
      </c>
      <c r="F108" t="e">
        <f>IF([1]BASE!F109="","",[1]BASE!F109)</f>
        <v>#REF!</v>
      </c>
      <c r="G108" t="e">
        <f>IF([1]BASE!G109="","",[1]BASE!G109)</f>
        <v>#REF!</v>
      </c>
      <c r="H108" t="e">
        <f>IF([1]BASE!H109="","",[1]BASE!H109)</f>
        <v>#REF!</v>
      </c>
    </row>
    <row r="109" spans="1:8" x14ac:dyDescent="0.25">
      <c r="D109" t="e">
        <f>IF([1]BASE!D110="","",[1]BASE!D110)</f>
        <v>#REF!</v>
      </c>
      <c r="E109" t="e">
        <f>IF([1]BASE!E110="","",[1]BASE!E110)</f>
        <v>#REF!</v>
      </c>
      <c r="F109" t="e">
        <f>IF([1]BASE!F110="","",[1]BASE!F110)</f>
        <v>#REF!</v>
      </c>
      <c r="G109" t="e">
        <f>IF([1]BASE!G110="","",[1]BASE!G110)</f>
        <v>#REF!</v>
      </c>
      <c r="H109" t="e">
        <f>IF([1]BASE!H110="","",[1]BASE!H110)</f>
        <v>#REF!</v>
      </c>
    </row>
    <row r="110" spans="1:8" x14ac:dyDescent="0.25">
      <c r="D110" t="e">
        <f>IF([1]BASE!D111="","",[1]BASE!D111)</f>
        <v>#REF!</v>
      </c>
      <c r="E110" t="e">
        <f>IF([1]BASE!E111="","",[1]BASE!E111)</f>
        <v>#REF!</v>
      </c>
      <c r="F110" t="e">
        <f>IF([1]BASE!F111="","",[1]BASE!F111)</f>
        <v>#REF!</v>
      </c>
      <c r="G110" t="e">
        <f>IF([1]BASE!G111="","",[1]BASE!G111)</f>
        <v>#REF!</v>
      </c>
      <c r="H110" t="e">
        <f>IF([1]BASE!H111="","",[1]BASE!H111)</f>
        <v>#REF!</v>
      </c>
    </row>
    <row r="111" spans="1:8" x14ac:dyDescent="0.25">
      <c r="D111" t="e">
        <f>IF([1]BASE!D112="","",[1]BASE!D112)</f>
        <v>#REF!</v>
      </c>
      <c r="E111" t="e">
        <f>IF([1]BASE!E112="","",[1]BASE!E112)</f>
        <v>#REF!</v>
      </c>
      <c r="F111" t="e">
        <f>IF([1]BASE!F112="","",[1]BASE!F112)</f>
        <v>#REF!</v>
      </c>
      <c r="G111" t="e">
        <f>IF([1]BASE!G112="","",[1]BASE!G112)</f>
        <v>#REF!</v>
      </c>
      <c r="H111" t="e">
        <f>IF([1]BASE!H112="","",[1]BASE!H112)</f>
        <v>#REF!</v>
      </c>
    </row>
    <row r="112" spans="1:8" x14ac:dyDescent="0.25">
      <c r="D112" t="e">
        <f>IF([1]BASE!D113="","",[1]BASE!D113)</f>
        <v>#REF!</v>
      </c>
      <c r="E112" t="e">
        <f>IF([1]BASE!E113="","",[1]BASE!E113)</f>
        <v>#REF!</v>
      </c>
      <c r="F112" t="e">
        <f>IF([1]BASE!F113="","",[1]BASE!F113)</f>
        <v>#REF!</v>
      </c>
      <c r="G112" t="e">
        <f>IF([1]BASE!G113="","",[1]BASE!G113)</f>
        <v>#REF!</v>
      </c>
      <c r="H112" t="e">
        <f>IF([1]BASE!H113="","",[1]BASE!H113)</f>
        <v>#REF!</v>
      </c>
    </row>
    <row r="113" spans="4:8" x14ac:dyDescent="0.25">
      <c r="D113" t="e">
        <f>IF([1]BASE!D114="","",[1]BASE!D114)</f>
        <v>#REF!</v>
      </c>
      <c r="E113" t="e">
        <f>IF([1]BASE!E114="","",[1]BASE!E114)</f>
        <v>#REF!</v>
      </c>
      <c r="F113" t="e">
        <f>IF([1]BASE!F114="","",[1]BASE!F114)</f>
        <v>#REF!</v>
      </c>
      <c r="G113" t="e">
        <f>IF([1]BASE!G114="","",[1]BASE!G114)</f>
        <v>#REF!</v>
      </c>
      <c r="H113" t="e">
        <f>IF([1]BASE!H114="","",[1]BASE!H114)</f>
        <v>#REF!</v>
      </c>
    </row>
    <row r="114" spans="4:8" x14ac:dyDescent="0.25">
      <c r="D114" t="e">
        <f>IF([1]BASE!D115="","",[1]BASE!D115)</f>
        <v>#REF!</v>
      </c>
      <c r="E114" t="e">
        <f>IF([1]BASE!E115="","",[1]BASE!E115)</f>
        <v>#REF!</v>
      </c>
      <c r="F114" t="e">
        <f>IF([1]BASE!F115="","",[1]BASE!F115)</f>
        <v>#REF!</v>
      </c>
      <c r="G114" t="e">
        <f>IF([1]BASE!G115="","",[1]BASE!G115)</f>
        <v>#REF!</v>
      </c>
      <c r="H114" t="e">
        <f>IF([1]BASE!H115="","",[1]BASE!H115)</f>
        <v>#REF!</v>
      </c>
    </row>
    <row r="115" spans="4:8" x14ac:dyDescent="0.25">
      <c r="D115" t="e">
        <f>IF([1]BASE!D116="","",[1]BASE!D116)</f>
        <v>#REF!</v>
      </c>
      <c r="E115" t="e">
        <f>IF([1]BASE!E116="","",[1]BASE!E116)</f>
        <v>#REF!</v>
      </c>
      <c r="F115" t="e">
        <f>IF([1]BASE!F116="","",[1]BASE!F116)</f>
        <v>#REF!</v>
      </c>
      <c r="G115" t="e">
        <f>IF([1]BASE!G116="","",[1]BASE!G116)</f>
        <v>#REF!</v>
      </c>
      <c r="H115" t="e">
        <f>IF([1]BASE!H116="","",[1]BASE!H116)</f>
        <v>#REF!</v>
      </c>
    </row>
    <row r="116" spans="4:8" x14ac:dyDescent="0.25">
      <c r="D116" t="e">
        <f>IF([1]BASE!D117="","",[1]BASE!D117)</f>
        <v>#REF!</v>
      </c>
      <c r="E116" t="e">
        <f>IF([1]BASE!E117="","",[1]BASE!E117)</f>
        <v>#REF!</v>
      </c>
      <c r="F116" t="e">
        <f>IF([1]BASE!F117="","",[1]BASE!F117)</f>
        <v>#REF!</v>
      </c>
      <c r="G116" t="e">
        <f>IF([1]BASE!G117="","",[1]BASE!G117)</f>
        <v>#REF!</v>
      </c>
      <c r="H116" t="e">
        <f>IF([1]BASE!H117="","",[1]BASE!H117)</f>
        <v>#REF!</v>
      </c>
    </row>
    <row r="117" spans="4:8" x14ac:dyDescent="0.25">
      <c r="D117" t="e">
        <f>IF([1]BASE!D118="","",[1]BASE!D118)</f>
        <v>#REF!</v>
      </c>
      <c r="E117" t="e">
        <f>IF([1]BASE!E118="","",[1]BASE!E118)</f>
        <v>#REF!</v>
      </c>
      <c r="F117" t="e">
        <f>IF([1]BASE!F118="","",[1]BASE!F118)</f>
        <v>#REF!</v>
      </c>
      <c r="G117" t="e">
        <f>IF([1]BASE!G118="","",[1]BASE!G118)</f>
        <v>#REF!</v>
      </c>
      <c r="H117" t="e">
        <f>IF([1]BASE!H118="","",[1]BASE!H118)</f>
        <v>#REF!</v>
      </c>
    </row>
    <row r="118" spans="4:8" x14ac:dyDescent="0.25">
      <c r="D118" t="e">
        <f>IF([1]BASE!D119="","",[1]BASE!D119)</f>
        <v>#REF!</v>
      </c>
      <c r="E118" t="e">
        <f>IF([1]BASE!E119="","",[1]BASE!E119)</f>
        <v>#REF!</v>
      </c>
      <c r="F118" t="e">
        <f>IF([1]BASE!F119="","",[1]BASE!F119)</f>
        <v>#REF!</v>
      </c>
      <c r="G118" t="e">
        <f>IF([1]BASE!G119="","",[1]BASE!G119)</f>
        <v>#REF!</v>
      </c>
      <c r="H118" t="e">
        <f>IF([1]BASE!H119="","",[1]BASE!H119)</f>
        <v>#REF!</v>
      </c>
    </row>
    <row r="119" spans="4:8" x14ac:dyDescent="0.25">
      <c r="D119" t="e">
        <f>IF([1]BASE!D120="","",[1]BASE!D120)</f>
        <v>#REF!</v>
      </c>
      <c r="E119" t="e">
        <f>IF([1]BASE!E120="","",[1]BASE!E120)</f>
        <v>#REF!</v>
      </c>
      <c r="F119" t="e">
        <f>IF([1]BASE!F120="","",[1]BASE!F120)</f>
        <v>#REF!</v>
      </c>
      <c r="G119" t="e">
        <f>IF([1]BASE!G120="","",[1]BASE!G120)</f>
        <v>#REF!</v>
      </c>
      <c r="H119" t="e">
        <f>IF([1]BASE!H120="","",[1]BASE!H120)</f>
        <v>#REF!</v>
      </c>
    </row>
    <row r="120" spans="4:8" x14ac:dyDescent="0.25">
      <c r="D120" t="e">
        <f>IF([1]BASE!D121="","",[1]BASE!D121)</f>
        <v>#REF!</v>
      </c>
      <c r="E120" t="e">
        <f>IF([1]BASE!E121="","",[1]BASE!E121)</f>
        <v>#REF!</v>
      </c>
      <c r="F120" t="e">
        <f>IF([1]BASE!F121="","",[1]BASE!F121)</f>
        <v>#REF!</v>
      </c>
      <c r="G120" t="e">
        <f>IF([1]BASE!G121="","",[1]BASE!G121)</f>
        <v>#REF!</v>
      </c>
      <c r="H120" t="e">
        <f>IF([1]BASE!H121="","",[1]BASE!H121)</f>
        <v>#REF!</v>
      </c>
    </row>
    <row r="121" spans="4:8" x14ac:dyDescent="0.25">
      <c r="D121" t="e">
        <f>IF([1]BASE!D122="","",[1]BASE!D122)</f>
        <v>#REF!</v>
      </c>
      <c r="E121" t="e">
        <f>IF([1]BASE!E122="","",[1]BASE!E122)</f>
        <v>#REF!</v>
      </c>
      <c r="F121" t="e">
        <f>IF([1]BASE!F122="","",[1]BASE!F122)</f>
        <v>#REF!</v>
      </c>
      <c r="G121" t="e">
        <f>IF([1]BASE!G122="","",[1]BASE!G122)</f>
        <v>#REF!</v>
      </c>
      <c r="H121" t="e">
        <f>IF([1]BASE!H122="","",[1]BASE!H122)</f>
        <v>#REF!</v>
      </c>
    </row>
    <row r="122" spans="4:8" x14ac:dyDescent="0.25">
      <c r="D122" t="e">
        <f>IF([1]BASE!D123="","",[1]BASE!D123)</f>
        <v>#REF!</v>
      </c>
      <c r="E122" t="e">
        <f>IF([1]BASE!E123="","",[1]BASE!E123)</f>
        <v>#REF!</v>
      </c>
      <c r="F122" t="e">
        <f>IF([1]BASE!F123="","",[1]BASE!F123)</f>
        <v>#REF!</v>
      </c>
      <c r="G122" t="e">
        <f>IF([1]BASE!G123="","",[1]BASE!G123)</f>
        <v>#REF!</v>
      </c>
      <c r="H122" t="e">
        <f>IF([1]BASE!H123="","",[1]BASE!H123)</f>
        <v>#REF!</v>
      </c>
    </row>
    <row r="123" spans="4:8" x14ac:dyDescent="0.25">
      <c r="D123" t="e">
        <f>IF([1]BASE!D124="","",[1]BASE!D124)</f>
        <v>#REF!</v>
      </c>
      <c r="E123" t="e">
        <f>IF([1]BASE!E124="","",[1]BASE!E124)</f>
        <v>#REF!</v>
      </c>
      <c r="F123" t="e">
        <f>IF([1]BASE!F124="","",[1]BASE!F124)</f>
        <v>#REF!</v>
      </c>
      <c r="G123" t="e">
        <f>IF([1]BASE!G124="","",[1]BASE!G124)</f>
        <v>#REF!</v>
      </c>
      <c r="H123" t="e">
        <f>IF([1]BASE!H124="","",[1]BASE!H124)</f>
        <v>#REF!</v>
      </c>
    </row>
    <row r="124" spans="4:8" x14ac:dyDescent="0.25">
      <c r="D124" t="e">
        <f>IF([1]BASE!D125="","",[1]BASE!D125)</f>
        <v>#REF!</v>
      </c>
      <c r="E124" t="e">
        <f>IF([1]BASE!E125="","",[1]BASE!E125)</f>
        <v>#REF!</v>
      </c>
      <c r="F124" t="e">
        <f>IF([1]BASE!F125="","",[1]BASE!F125)</f>
        <v>#REF!</v>
      </c>
      <c r="G124" t="e">
        <f>IF([1]BASE!G125="","",[1]BASE!G125)</f>
        <v>#REF!</v>
      </c>
      <c r="H124" t="e">
        <f>IF([1]BASE!H125="","",[1]BASE!H125)</f>
        <v>#REF!</v>
      </c>
    </row>
    <row r="125" spans="4:8" x14ac:dyDescent="0.25">
      <c r="D125" t="e">
        <f>IF([1]BASE!D126="","",[1]BASE!D126)</f>
        <v>#REF!</v>
      </c>
      <c r="E125" t="e">
        <f>IF([1]BASE!E126="","",[1]BASE!E126)</f>
        <v>#REF!</v>
      </c>
      <c r="F125" t="e">
        <f>IF([1]BASE!F126="","",[1]BASE!F126)</f>
        <v>#REF!</v>
      </c>
      <c r="G125" t="e">
        <f>IF([1]BASE!G126="","",[1]BASE!G126)</f>
        <v>#REF!</v>
      </c>
      <c r="H125" t="e">
        <f>IF([1]BASE!H126="","",[1]BASE!H126)</f>
        <v>#REF!</v>
      </c>
    </row>
    <row r="126" spans="4:8" x14ac:dyDescent="0.25">
      <c r="D126" t="e">
        <f>IF([1]BASE!D127="","",[1]BASE!D127)</f>
        <v>#REF!</v>
      </c>
      <c r="E126" t="e">
        <f>IF([1]BASE!E127="","",[1]BASE!E127)</f>
        <v>#REF!</v>
      </c>
      <c r="F126" t="e">
        <f>IF([1]BASE!F127="","",[1]BASE!F127)</f>
        <v>#REF!</v>
      </c>
      <c r="G126" t="e">
        <f>IF([1]BASE!G127="","",[1]BASE!G127)</f>
        <v>#REF!</v>
      </c>
      <c r="H126" t="e">
        <f>IF([1]BASE!H127="","",[1]BASE!H127)</f>
        <v>#REF!</v>
      </c>
    </row>
    <row r="127" spans="4:8" x14ac:dyDescent="0.25">
      <c r="D127" t="e">
        <f>IF([1]BASE!D128="","",[1]BASE!D128)</f>
        <v>#REF!</v>
      </c>
      <c r="E127" t="e">
        <f>IF([1]BASE!E128="","",[1]BASE!E128)</f>
        <v>#REF!</v>
      </c>
      <c r="F127" t="e">
        <f>IF([1]BASE!F128="","",[1]BASE!F128)</f>
        <v>#REF!</v>
      </c>
      <c r="G127" t="e">
        <f>IF([1]BASE!G128="","",[1]BASE!G128)</f>
        <v>#REF!</v>
      </c>
      <c r="H127" t="e">
        <f>IF([1]BASE!H128="","",[1]BASE!H128)</f>
        <v>#REF!</v>
      </c>
    </row>
    <row r="128" spans="4:8" x14ac:dyDescent="0.25">
      <c r="D128" t="e">
        <f>IF([1]BASE!D129="","",[1]BASE!D129)</f>
        <v>#REF!</v>
      </c>
      <c r="E128" t="e">
        <f>IF([1]BASE!E129="","",[1]BASE!E129)</f>
        <v>#REF!</v>
      </c>
      <c r="F128" t="e">
        <f>IF([1]BASE!F129="","",[1]BASE!F129)</f>
        <v>#REF!</v>
      </c>
      <c r="G128" t="e">
        <f>IF([1]BASE!G129="","",[1]BASE!G129)</f>
        <v>#REF!</v>
      </c>
      <c r="H128" t="e">
        <f>IF([1]BASE!H129="","",[1]BASE!H129)</f>
        <v>#REF!</v>
      </c>
    </row>
    <row r="129" spans="4:8" x14ac:dyDescent="0.25">
      <c r="D129" t="e">
        <f>IF([1]BASE!D130="","",[1]BASE!D130)</f>
        <v>#REF!</v>
      </c>
      <c r="E129" t="e">
        <f>IF([1]BASE!E130="","",[1]BASE!E130)</f>
        <v>#REF!</v>
      </c>
      <c r="F129" t="e">
        <f>IF([1]BASE!F130="","",[1]BASE!F130)</f>
        <v>#REF!</v>
      </c>
      <c r="G129" t="e">
        <f>IF([1]BASE!G130="","",[1]BASE!G130)</f>
        <v>#REF!</v>
      </c>
      <c r="H129" t="e">
        <f>IF([1]BASE!H130="","",[1]BASE!H130)</f>
        <v>#REF!</v>
      </c>
    </row>
    <row r="130" spans="4:8" x14ac:dyDescent="0.25">
      <c r="D130" t="e">
        <f>IF([1]BASE!D131="","",[1]BASE!D131)</f>
        <v>#REF!</v>
      </c>
      <c r="E130" t="e">
        <f>IF([1]BASE!E131="","",[1]BASE!E131)</f>
        <v>#REF!</v>
      </c>
      <c r="F130" t="e">
        <f>IF([1]BASE!F131="","",[1]BASE!F131)</f>
        <v>#REF!</v>
      </c>
      <c r="G130" t="e">
        <f>IF([1]BASE!G131="","",[1]BASE!G131)</f>
        <v>#REF!</v>
      </c>
      <c r="H130" t="e">
        <f>IF([1]BASE!H131="","",[1]BASE!H131)</f>
        <v>#REF!</v>
      </c>
    </row>
    <row r="131" spans="4:8" x14ac:dyDescent="0.25">
      <c r="D131" t="e">
        <f>IF([1]BASE!D132="","",[1]BASE!D132)</f>
        <v>#REF!</v>
      </c>
      <c r="E131" t="e">
        <f>IF([1]BASE!E132="","",[1]BASE!E132)</f>
        <v>#REF!</v>
      </c>
      <c r="F131" t="e">
        <f>IF([1]BASE!F132="","",[1]BASE!F132)</f>
        <v>#REF!</v>
      </c>
      <c r="G131" t="e">
        <f>IF([1]BASE!G132="","",[1]BASE!G132)</f>
        <v>#REF!</v>
      </c>
      <c r="H131" t="e">
        <f>IF([1]BASE!H132="","",[1]BASE!H132)</f>
        <v>#REF!</v>
      </c>
    </row>
    <row r="132" spans="4:8" x14ac:dyDescent="0.25">
      <c r="D132" t="e">
        <f>IF([1]BASE!D133="","",[1]BASE!D133)</f>
        <v>#REF!</v>
      </c>
      <c r="E132" t="e">
        <f>IF([1]BASE!E133="","",[1]BASE!E133)</f>
        <v>#REF!</v>
      </c>
      <c r="F132" t="e">
        <f>IF([1]BASE!F133="","",[1]BASE!F133)</f>
        <v>#REF!</v>
      </c>
      <c r="G132" t="e">
        <f>IF([1]BASE!G133="","",[1]BASE!G133)</f>
        <v>#REF!</v>
      </c>
      <c r="H132" t="e">
        <f>IF([1]BASE!H133="","",[1]BASE!H133)</f>
        <v>#REF!</v>
      </c>
    </row>
    <row r="133" spans="4:8" x14ac:dyDescent="0.25">
      <c r="D133" t="e">
        <f>IF([1]BASE!D134="","",[1]BASE!D134)</f>
        <v>#REF!</v>
      </c>
      <c r="E133" t="e">
        <f>IF([1]BASE!E134="","",[1]BASE!E134)</f>
        <v>#REF!</v>
      </c>
      <c r="F133" t="e">
        <f>IF([1]BASE!F134="","",[1]BASE!F134)</f>
        <v>#REF!</v>
      </c>
      <c r="G133" t="e">
        <f>IF([1]BASE!G134="","",[1]BASE!G134)</f>
        <v>#REF!</v>
      </c>
      <c r="H133" t="e">
        <f>IF([1]BASE!H134="","",[1]BASE!H134)</f>
        <v>#REF!</v>
      </c>
    </row>
    <row r="134" spans="4:8" x14ac:dyDescent="0.25">
      <c r="D134" t="e">
        <f>IF([1]BASE!D135="","",[1]BASE!D135)</f>
        <v>#REF!</v>
      </c>
      <c r="E134" t="e">
        <f>IF([1]BASE!E135="","",[1]BASE!E135)</f>
        <v>#REF!</v>
      </c>
      <c r="F134" t="e">
        <f>IF([1]BASE!F135="","",[1]BASE!F135)</f>
        <v>#REF!</v>
      </c>
      <c r="G134" t="e">
        <f>IF([1]BASE!G135="","",[1]BASE!G135)</f>
        <v>#REF!</v>
      </c>
      <c r="H134" t="e">
        <f>IF([1]BASE!H135="","",[1]BASE!H135)</f>
        <v>#REF!</v>
      </c>
    </row>
    <row r="135" spans="4:8" x14ac:dyDescent="0.25">
      <c r="D135" t="e">
        <f>IF([1]BASE!D136="","",[1]BASE!D136)</f>
        <v>#REF!</v>
      </c>
      <c r="E135" t="e">
        <f>IF([1]BASE!E136="","",[1]BASE!E136)</f>
        <v>#REF!</v>
      </c>
      <c r="F135" t="e">
        <f>IF([1]BASE!F136="","",[1]BASE!F136)</f>
        <v>#REF!</v>
      </c>
      <c r="G135" t="e">
        <f>IF([1]BASE!G136="","",[1]BASE!G136)</f>
        <v>#REF!</v>
      </c>
      <c r="H135" t="e">
        <f>IF([1]BASE!H136="","",[1]BASE!H136)</f>
        <v>#REF!</v>
      </c>
    </row>
    <row r="136" spans="4:8" x14ac:dyDescent="0.25">
      <c r="D136" t="e">
        <f>IF([1]BASE!D137="","",[1]BASE!D137)</f>
        <v>#REF!</v>
      </c>
      <c r="E136" t="e">
        <f>IF([1]BASE!E137="","",[1]BASE!E137)</f>
        <v>#REF!</v>
      </c>
      <c r="F136" t="e">
        <f>IF([1]BASE!F137="","",[1]BASE!F137)</f>
        <v>#REF!</v>
      </c>
      <c r="G136" t="e">
        <f>IF([1]BASE!G137="","",[1]BASE!G137)</f>
        <v>#REF!</v>
      </c>
      <c r="H136" t="e">
        <f>IF([1]BASE!H137="","",[1]BASE!H137)</f>
        <v>#REF!</v>
      </c>
    </row>
    <row r="137" spans="4:8" x14ac:dyDescent="0.25">
      <c r="D137" t="e">
        <f>IF([1]BASE!D138="","",[1]BASE!D138)</f>
        <v>#REF!</v>
      </c>
      <c r="E137" t="e">
        <f>IF([1]BASE!E138="","",[1]BASE!E138)</f>
        <v>#REF!</v>
      </c>
      <c r="F137" t="e">
        <f>IF([1]BASE!F138="","",[1]BASE!F138)</f>
        <v>#REF!</v>
      </c>
      <c r="G137" t="e">
        <f>IF([1]BASE!G138="","",[1]BASE!G138)</f>
        <v>#REF!</v>
      </c>
      <c r="H137" t="e">
        <f>IF([1]BASE!H138="","",[1]BASE!H138)</f>
        <v>#REF!</v>
      </c>
    </row>
    <row r="138" spans="4:8" x14ac:dyDescent="0.25">
      <c r="D138" t="e">
        <f>IF([1]BASE!D139="","",[1]BASE!D139)</f>
        <v>#REF!</v>
      </c>
      <c r="E138" t="e">
        <f>IF([1]BASE!E139="","",[1]BASE!E139)</f>
        <v>#REF!</v>
      </c>
      <c r="F138" t="e">
        <f>IF([1]BASE!F139="","",[1]BASE!F139)</f>
        <v>#REF!</v>
      </c>
      <c r="G138" t="e">
        <f>IF([1]BASE!G139="","",[1]BASE!G139)</f>
        <v>#REF!</v>
      </c>
      <c r="H138" t="e">
        <f>IF([1]BASE!H139="","",[1]BASE!H139)</f>
        <v>#REF!</v>
      </c>
    </row>
    <row r="139" spans="4:8" x14ac:dyDescent="0.25">
      <c r="D139" t="e">
        <f>IF([1]BASE!D140="","",[1]BASE!D140)</f>
        <v>#REF!</v>
      </c>
      <c r="E139" t="e">
        <f>IF([1]BASE!E140="","",[1]BASE!E140)</f>
        <v>#REF!</v>
      </c>
      <c r="F139" t="e">
        <f>IF([1]BASE!F140="","",[1]BASE!F140)</f>
        <v>#REF!</v>
      </c>
      <c r="G139" t="e">
        <f>IF([1]BASE!G140="","",[1]BASE!G140)</f>
        <v>#REF!</v>
      </c>
      <c r="H139" t="e">
        <f>IF([1]BASE!H140="","",[1]BASE!H140)</f>
        <v>#REF!</v>
      </c>
    </row>
    <row r="140" spans="4:8" x14ac:dyDescent="0.25">
      <c r="D140" t="e">
        <f>IF([1]BASE!D141="","",[1]BASE!D141)</f>
        <v>#REF!</v>
      </c>
      <c r="E140" t="e">
        <f>IF([1]BASE!E141="","",[1]BASE!E141)</f>
        <v>#REF!</v>
      </c>
      <c r="F140" t="e">
        <f>IF([1]BASE!F141="","",[1]BASE!F141)</f>
        <v>#REF!</v>
      </c>
      <c r="G140" t="e">
        <f>IF([1]BASE!G141="","",[1]BASE!G141)</f>
        <v>#REF!</v>
      </c>
      <c r="H140" t="e">
        <f>IF([1]BASE!H141="","",[1]BASE!H141)</f>
        <v>#REF!</v>
      </c>
    </row>
    <row r="141" spans="4:8" x14ac:dyDescent="0.25">
      <c r="D141" t="e">
        <f>IF([1]BASE!D142="","",[1]BASE!D142)</f>
        <v>#REF!</v>
      </c>
      <c r="E141" t="e">
        <f>IF([1]BASE!E142="","",[1]BASE!E142)</f>
        <v>#REF!</v>
      </c>
      <c r="F141" t="e">
        <f>IF([1]BASE!F142="","",[1]BASE!F142)</f>
        <v>#REF!</v>
      </c>
      <c r="G141" t="e">
        <f>IF([1]BASE!G142="","",[1]BASE!G142)</f>
        <v>#REF!</v>
      </c>
      <c r="H141" t="e">
        <f>IF([1]BASE!H142="","",[1]BASE!H142)</f>
        <v>#REF!</v>
      </c>
    </row>
    <row r="142" spans="4:8" x14ac:dyDescent="0.25">
      <c r="D142" t="e">
        <f>IF([1]BASE!D143="","",[1]BASE!D143)</f>
        <v>#REF!</v>
      </c>
      <c r="E142" t="e">
        <f>IF([1]BASE!E143="","",[1]BASE!E143)</f>
        <v>#REF!</v>
      </c>
      <c r="F142" t="e">
        <f>IF([1]BASE!F143="","",[1]BASE!F143)</f>
        <v>#REF!</v>
      </c>
      <c r="G142" t="e">
        <f>IF([1]BASE!G143="","",[1]BASE!G143)</f>
        <v>#REF!</v>
      </c>
      <c r="H142" t="e">
        <f>IF([1]BASE!H143="","",[1]BASE!H143)</f>
        <v>#REF!</v>
      </c>
    </row>
    <row r="143" spans="4:8" x14ac:dyDescent="0.25">
      <c r="D143" t="e">
        <f>IF([1]BASE!D144="","",[1]BASE!D144)</f>
        <v>#REF!</v>
      </c>
      <c r="E143" t="e">
        <f>IF([1]BASE!E144="","",[1]BASE!E144)</f>
        <v>#REF!</v>
      </c>
      <c r="F143" t="e">
        <f>IF([1]BASE!F144="","",[1]BASE!F144)</f>
        <v>#REF!</v>
      </c>
      <c r="G143" t="e">
        <f>IF([1]BASE!G144="","",[1]BASE!G144)</f>
        <v>#REF!</v>
      </c>
      <c r="H143" t="e">
        <f>IF([1]BASE!H144="","",[1]BASE!H144)</f>
        <v>#REF!</v>
      </c>
    </row>
    <row r="144" spans="4:8" x14ac:dyDescent="0.25">
      <c r="D144" t="e">
        <f>IF([1]BASE!D145="","",[1]BASE!D145)</f>
        <v>#REF!</v>
      </c>
      <c r="E144" t="e">
        <f>IF([1]BASE!E145="","",[1]BASE!E145)</f>
        <v>#REF!</v>
      </c>
      <c r="F144" t="e">
        <f>IF([1]BASE!F145="","",[1]BASE!F145)</f>
        <v>#REF!</v>
      </c>
      <c r="G144" t="e">
        <f>IF([1]BASE!G145="","",[1]BASE!G145)</f>
        <v>#REF!</v>
      </c>
      <c r="H144" t="e">
        <f>IF([1]BASE!H145="","",[1]BASE!H145)</f>
        <v>#REF!</v>
      </c>
    </row>
    <row r="145" spans="4:8" x14ac:dyDescent="0.25">
      <c r="D145" t="e">
        <f>IF([1]BASE!D146="","",[1]BASE!D146)</f>
        <v>#REF!</v>
      </c>
      <c r="E145" t="e">
        <f>IF([1]BASE!E146="","",[1]BASE!E146)</f>
        <v>#REF!</v>
      </c>
      <c r="F145" t="e">
        <f>IF([1]BASE!F146="","",[1]BASE!F146)</f>
        <v>#REF!</v>
      </c>
      <c r="G145" t="e">
        <f>IF([1]BASE!G146="","",[1]BASE!G146)</f>
        <v>#REF!</v>
      </c>
      <c r="H145" t="e">
        <f>IF([1]BASE!H146="","",[1]BASE!H146)</f>
        <v>#REF!</v>
      </c>
    </row>
    <row r="146" spans="4:8" x14ac:dyDescent="0.25">
      <c r="D146" t="e">
        <f>IF([1]BASE!D147="","",[1]BASE!D147)</f>
        <v>#REF!</v>
      </c>
      <c r="E146" t="e">
        <f>IF([1]BASE!E147="","",[1]BASE!E147)</f>
        <v>#REF!</v>
      </c>
      <c r="F146" t="e">
        <f>IF([1]BASE!F147="","",[1]BASE!F147)</f>
        <v>#REF!</v>
      </c>
      <c r="G146" t="e">
        <f>IF([1]BASE!G147="","",[1]BASE!G147)</f>
        <v>#REF!</v>
      </c>
      <c r="H146" t="e">
        <f>IF([1]BASE!H147="","",[1]BASE!H147)</f>
        <v>#REF!</v>
      </c>
    </row>
    <row r="147" spans="4:8" x14ac:dyDescent="0.25">
      <c r="D147" t="e">
        <f>IF([1]BASE!D148="","",[1]BASE!D148)</f>
        <v>#REF!</v>
      </c>
      <c r="E147" t="e">
        <f>IF([1]BASE!E148="","",[1]BASE!E148)</f>
        <v>#REF!</v>
      </c>
      <c r="F147" t="e">
        <f>IF([1]BASE!F148="","",[1]BASE!F148)</f>
        <v>#REF!</v>
      </c>
      <c r="G147" t="e">
        <f>IF([1]BASE!G148="","",[1]BASE!G148)</f>
        <v>#REF!</v>
      </c>
      <c r="H147" t="e">
        <f>IF([1]BASE!H148="","",[1]BASE!H148)</f>
        <v>#REF!</v>
      </c>
    </row>
    <row r="148" spans="4:8" x14ac:dyDescent="0.25">
      <c r="D148" t="e">
        <f>IF([1]BASE!D149="","",[1]BASE!D149)</f>
        <v>#REF!</v>
      </c>
      <c r="E148" t="e">
        <f>IF([1]BASE!E149="","",[1]BASE!E149)</f>
        <v>#REF!</v>
      </c>
      <c r="F148" t="e">
        <f>IF([1]BASE!F149="","",[1]BASE!F149)</f>
        <v>#REF!</v>
      </c>
      <c r="G148" t="e">
        <f>IF([1]BASE!G149="","",[1]BASE!G149)</f>
        <v>#REF!</v>
      </c>
      <c r="H148" t="e">
        <f>IF([1]BASE!H149="","",[1]BASE!H149)</f>
        <v>#REF!</v>
      </c>
    </row>
    <row r="149" spans="4:8" x14ac:dyDescent="0.25">
      <c r="D149" t="e">
        <f>IF([1]BASE!D150="","",[1]BASE!D150)</f>
        <v>#REF!</v>
      </c>
      <c r="E149" t="e">
        <f>IF([1]BASE!E150="","",[1]BASE!E150)</f>
        <v>#REF!</v>
      </c>
      <c r="F149" t="e">
        <f>IF([1]BASE!F150="","",[1]BASE!F150)</f>
        <v>#REF!</v>
      </c>
      <c r="G149" t="e">
        <f>IF([1]BASE!G150="","",[1]BASE!G150)</f>
        <v>#REF!</v>
      </c>
      <c r="H149" t="e">
        <f>IF([1]BASE!H150="","",[1]BASE!H150)</f>
        <v>#REF!</v>
      </c>
    </row>
    <row r="150" spans="4:8" x14ac:dyDescent="0.25">
      <c r="D150" t="e">
        <f>IF([1]BASE!D151="","",[1]BASE!D151)</f>
        <v>#REF!</v>
      </c>
      <c r="E150" t="e">
        <f>IF([1]BASE!E151="","",[1]BASE!E151)</f>
        <v>#REF!</v>
      </c>
      <c r="F150" t="e">
        <f>IF([1]BASE!F151="","",[1]BASE!F151)</f>
        <v>#REF!</v>
      </c>
      <c r="G150" t="e">
        <f>IF([1]BASE!G151="","",[1]BASE!G151)</f>
        <v>#REF!</v>
      </c>
      <c r="H150" t="e">
        <f>IF([1]BASE!H151="","",[1]BASE!H151)</f>
        <v>#REF!</v>
      </c>
    </row>
    <row r="151" spans="4:8" x14ac:dyDescent="0.25">
      <c r="D151" t="e">
        <f>IF([1]BASE!D152="","",[1]BASE!D152)</f>
        <v>#REF!</v>
      </c>
      <c r="E151" t="e">
        <f>IF([1]BASE!E152="","",[1]BASE!E152)</f>
        <v>#REF!</v>
      </c>
      <c r="F151" t="e">
        <f>IF([1]BASE!F152="","",[1]BASE!F152)</f>
        <v>#REF!</v>
      </c>
      <c r="G151" t="e">
        <f>IF([1]BASE!G152="","",[1]BASE!G152)</f>
        <v>#REF!</v>
      </c>
      <c r="H151" t="e">
        <f>IF([1]BASE!H152="","",[1]BASE!H152)</f>
        <v>#REF!</v>
      </c>
    </row>
    <row r="152" spans="4:8" x14ac:dyDescent="0.25">
      <c r="D152" t="e">
        <f>IF([1]BASE!D153="","",[1]BASE!D153)</f>
        <v>#REF!</v>
      </c>
      <c r="E152" t="e">
        <f>IF([1]BASE!E153="","",[1]BASE!E153)</f>
        <v>#REF!</v>
      </c>
      <c r="F152" t="e">
        <f>IF([1]BASE!F153="","",[1]BASE!F153)</f>
        <v>#REF!</v>
      </c>
      <c r="G152" t="e">
        <f>IF([1]BASE!G153="","",[1]BASE!G153)</f>
        <v>#REF!</v>
      </c>
      <c r="H152" t="e">
        <f>IF([1]BASE!H153="","",[1]BASE!H153)</f>
        <v>#REF!</v>
      </c>
    </row>
    <row r="153" spans="4:8" x14ac:dyDescent="0.25">
      <c r="D153" t="e">
        <f>IF([1]BASE!D154="","",[1]BASE!D154)</f>
        <v>#REF!</v>
      </c>
      <c r="E153" t="e">
        <f>IF([1]BASE!E154="","",[1]BASE!E154)</f>
        <v>#REF!</v>
      </c>
      <c r="F153" t="e">
        <f>IF([1]BASE!F154="","",[1]BASE!F154)</f>
        <v>#REF!</v>
      </c>
      <c r="G153" t="e">
        <f>IF([1]BASE!G154="","",[1]BASE!G154)</f>
        <v>#REF!</v>
      </c>
      <c r="H153" t="e">
        <f>IF([1]BASE!H154="","",[1]BASE!H154)</f>
        <v>#REF!</v>
      </c>
    </row>
    <row r="154" spans="4:8" x14ac:dyDescent="0.25">
      <c r="D154" t="e">
        <f>IF([1]BASE!D155="","",[1]BASE!D155)</f>
        <v>#REF!</v>
      </c>
      <c r="E154" t="e">
        <f>IF([1]BASE!E155="","",[1]BASE!E155)</f>
        <v>#REF!</v>
      </c>
      <c r="F154" t="e">
        <f>IF([1]BASE!F155="","",[1]BASE!F155)</f>
        <v>#REF!</v>
      </c>
      <c r="G154" t="e">
        <f>IF([1]BASE!G155="","",[1]BASE!G155)</f>
        <v>#REF!</v>
      </c>
      <c r="H154" t="e">
        <f>IF([1]BASE!H155="","",[1]BASE!H155)</f>
        <v>#REF!</v>
      </c>
    </row>
    <row r="155" spans="4:8" x14ac:dyDescent="0.25">
      <c r="D155" t="e">
        <f>IF([1]BASE!D156="","",[1]BASE!D156)</f>
        <v>#REF!</v>
      </c>
      <c r="E155" t="e">
        <f>IF([1]BASE!E156="","",[1]BASE!E156)</f>
        <v>#REF!</v>
      </c>
      <c r="F155" t="e">
        <f>IF([1]BASE!F156="","",[1]BASE!F156)</f>
        <v>#REF!</v>
      </c>
      <c r="G155" t="e">
        <f>IF([1]BASE!G156="","",[1]BASE!G156)</f>
        <v>#REF!</v>
      </c>
      <c r="H155" t="e">
        <f>IF([1]BASE!H156="","",[1]BASE!H156)</f>
        <v>#REF!</v>
      </c>
    </row>
    <row r="156" spans="4:8" x14ac:dyDescent="0.25">
      <c r="D156" t="e">
        <f>IF([1]BASE!D157="","",[1]BASE!D157)</f>
        <v>#REF!</v>
      </c>
      <c r="E156" t="e">
        <f>IF([1]BASE!E157="","",[1]BASE!E157)</f>
        <v>#REF!</v>
      </c>
      <c r="F156" t="e">
        <f>IF([1]BASE!F157="","",[1]BASE!F157)</f>
        <v>#REF!</v>
      </c>
      <c r="G156" t="e">
        <f>IF([1]BASE!G157="","",[1]BASE!G157)</f>
        <v>#REF!</v>
      </c>
      <c r="H156" t="e">
        <f>IF([1]BASE!H157="","",[1]BASE!H157)</f>
        <v>#REF!</v>
      </c>
    </row>
    <row r="157" spans="4:8" x14ac:dyDescent="0.25">
      <c r="D157" t="e">
        <f>IF([1]BASE!D158="","",[1]BASE!D158)</f>
        <v>#REF!</v>
      </c>
      <c r="E157" t="e">
        <f>IF([1]BASE!E158="","",[1]BASE!E158)</f>
        <v>#REF!</v>
      </c>
      <c r="F157" t="e">
        <f>IF([1]BASE!F158="","",[1]BASE!F158)</f>
        <v>#REF!</v>
      </c>
      <c r="G157" t="e">
        <f>IF([1]BASE!G158="","",[1]BASE!G158)</f>
        <v>#REF!</v>
      </c>
      <c r="H157" t="e">
        <f>IF([1]BASE!H158="","",[1]BASE!H158)</f>
        <v>#REF!</v>
      </c>
    </row>
    <row r="158" spans="4:8" x14ac:dyDescent="0.25">
      <c r="D158" t="e">
        <f>IF([1]BASE!D159="","",[1]BASE!D159)</f>
        <v>#REF!</v>
      </c>
      <c r="E158" t="e">
        <f>IF([1]BASE!E159="","",[1]BASE!E159)</f>
        <v>#REF!</v>
      </c>
      <c r="F158" t="e">
        <f>IF([1]BASE!F159="","",[1]BASE!F159)</f>
        <v>#REF!</v>
      </c>
      <c r="G158" t="e">
        <f>IF([1]BASE!G159="","",[1]BASE!G159)</f>
        <v>#REF!</v>
      </c>
      <c r="H158" t="e">
        <f>IF([1]BASE!H159="","",[1]BASE!H159)</f>
        <v>#REF!</v>
      </c>
    </row>
    <row r="159" spans="4:8" x14ac:dyDescent="0.25">
      <c r="D159" t="e">
        <f>IF([1]BASE!D160="","",[1]BASE!D160)</f>
        <v>#REF!</v>
      </c>
      <c r="E159" t="e">
        <f>IF([1]BASE!E160="","",[1]BASE!E160)</f>
        <v>#REF!</v>
      </c>
      <c r="F159" t="e">
        <f>IF([1]BASE!F160="","",[1]BASE!F160)</f>
        <v>#REF!</v>
      </c>
      <c r="G159" t="e">
        <f>IF([1]BASE!G160="","",[1]BASE!G160)</f>
        <v>#REF!</v>
      </c>
      <c r="H159" t="e">
        <f>IF([1]BASE!H160="","",[1]BASE!H160)</f>
        <v>#REF!</v>
      </c>
    </row>
    <row r="160" spans="4:8" x14ac:dyDescent="0.25">
      <c r="D160" t="e">
        <f>IF([1]BASE!D161="","",[1]BASE!D161)</f>
        <v>#REF!</v>
      </c>
      <c r="E160" t="e">
        <f>IF([1]BASE!E161="","",[1]BASE!E161)</f>
        <v>#REF!</v>
      </c>
      <c r="F160" t="e">
        <f>IF([1]BASE!F161="","",[1]BASE!F161)</f>
        <v>#REF!</v>
      </c>
      <c r="G160" t="e">
        <f>IF([1]BASE!G161="","",[1]BASE!G161)</f>
        <v>#REF!</v>
      </c>
      <c r="H160" t="e">
        <f>IF([1]BASE!H161="","",[1]BASE!H161)</f>
        <v>#REF!</v>
      </c>
    </row>
    <row r="161" spans="4:8" x14ac:dyDescent="0.25">
      <c r="D161" t="e">
        <f>IF([1]BASE!D162="","",[1]BASE!D162)</f>
        <v>#REF!</v>
      </c>
      <c r="E161" t="e">
        <f>IF([1]BASE!E162="","",[1]BASE!E162)</f>
        <v>#REF!</v>
      </c>
      <c r="F161" t="e">
        <f>IF([1]BASE!F162="","",[1]BASE!F162)</f>
        <v>#REF!</v>
      </c>
      <c r="G161" t="e">
        <f>IF([1]BASE!G162="","",[1]BASE!G162)</f>
        <v>#REF!</v>
      </c>
      <c r="H161" t="e">
        <f>IF([1]BASE!H162="","",[1]BASE!H162)</f>
        <v>#REF!</v>
      </c>
    </row>
    <row r="162" spans="4:8" x14ac:dyDescent="0.25">
      <c r="D162" t="e">
        <f>IF([1]BASE!D163="","",[1]BASE!D163)</f>
        <v>#REF!</v>
      </c>
      <c r="E162" t="e">
        <f>IF([1]BASE!E163="","",[1]BASE!E163)</f>
        <v>#REF!</v>
      </c>
      <c r="F162" t="e">
        <f>IF([1]BASE!F163="","",[1]BASE!F163)</f>
        <v>#REF!</v>
      </c>
      <c r="G162" t="e">
        <f>IF([1]BASE!G163="","",[1]BASE!G163)</f>
        <v>#REF!</v>
      </c>
      <c r="H162" t="e">
        <f>IF([1]BASE!H163="","",[1]BASE!H163)</f>
        <v>#REF!</v>
      </c>
    </row>
    <row r="163" spans="4:8" x14ac:dyDescent="0.25">
      <c r="D163" t="e">
        <f>IF([1]BASE!D164="","",[1]BASE!D164)</f>
        <v>#REF!</v>
      </c>
      <c r="E163" t="e">
        <f>IF([1]BASE!E164="","",[1]BASE!E164)</f>
        <v>#REF!</v>
      </c>
      <c r="F163" t="e">
        <f>IF([1]BASE!F164="","",[1]BASE!F164)</f>
        <v>#REF!</v>
      </c>
      <c r="G163" t="e">
        <f>IF([1]BASE!G164="","",[1]BASE!G164)</f>
        <v>#REF!</v>
      </c>
      <c r="H163" t="e">
        <f>IF([1]BASE!H164="","",[1]BASE!H164)</f>
        <v>#REF!</v>
      </c>
    </row>
    <row r="164" spans="4:8" x14ac:dyDescent="0.25">
      <c r="D164" t="e">
        <f>IF([1]BASE!D165="","",[1]BASE!D165)</f>
        <v>#REF!</v>
      </c>
      <c r="E164" t="e">
        <f>IF([1]BASE!E165="","",[1]BASE!E165)</f>
        <v>#REF!</v>
      </c>
      <c r="F164" t="e">
        <f>IF([1]BASE!F165="","",[1]BASE!F165)</f>
        <v>#REF!</v>
      </c>
      <c r="G164" t="e">
        <f>IF([1]BASE!G165="","",[1]BASE!G165)</f>
        <v>#REF!</v>
      </c>
      <c r="H164" t="e">
        <f>IF([1]BASE!H165="","",[1]BASE!H165)</f>
        <v>#REF!</v>
      </c>
    </row>
    <row r="165" spans="4:8" x14ac:dyDescent="0.25">
      <c r="D165" t="e">
        <f>IF([1]BASE!D166="","",[1]BASE!D166)</f>
        <v>#REF!</v>
      </c>
      <c r="E165" t="e">
        <f>IF([1]BASE!E166="","",[1]BASE!E166)</f>
        <v>#REF!</v>
      </c>
      <c r="F165" t="e">
        <f>IF([1]BASE!F166="","",[1]BASE!F166)</f>
        <v>#REF!</v>
      </c>
      <c r="G165" t="e">
        <f>IF([1]BASE!G166="","",[1]BASE!G166)</f>
        <v>#REF!</v>
      </c>
      <c r="H165" t="e">
        <f>IF([1]BASE!H166="","",[1]BASE!H166)</f>
        <v>#REF!</v>
      </c>
    </row>
    <row r="166" spans="4:8" x14ac:dyDescent="0.25">
      <c r="D166" t="e">
        <f>IF([1]BASE!D167="","",[1]BASE!D167)</f>
        <v>#REF!</v>
      </c>
      <c r="E166" t="e">
        <f>IF([1]BASE!E167="","",[1]BASE!E167)</f>
        <v>#REF!</v>
      </c>
      <c r="F166" t="e">
        <f>IF([1]BASE!F167="","",[1]BASE!F167)</f>
        <v>#REF!</v>
      </c>
      <c r="G166" t="e">
        <f>IF([1]BASE!G167="","",[1]BASE!G167)</f>
        <v>#REF!</v>
      </c>
      <c r="H166" t="e">
        <f>IF([1]BASE!H167="","",[1]BASE!H167)</f>
        <v>#REF!</v>
      </c>
    </row>
    <row r="167" spans="4:8" x14ac:dyDescent="0.25">
      <c r="D167" t="e">
        <f>IF([1]BASE!D168="","",[1]BASE!D168)</f>
        <v>#REF!</v>
      </c>
      <c r="E167" t="e">
        <f>IF([1]BASE!E168="","",[1]BASE!E168)</f>
        <v>#REF!</v>
      </c>
      <c r="F167" t="e">
        <f>IF([1]BASE!F168="","",[1]BASE!F168)</f>
        <v>#REF!</v>
      </c>
      <c r="G167" t="e">
        <f>IF([1]BASE!G168="","",[1]BASE!G168)</f>
        <v>#REF!</v>
      </c>
      <c r="H167" t="e">
        <f>IF([1]BASE!H168="","",[1]BASE!H168)</f>
        <v>#REF!</v>
      </c>
    </row>
    <row r="168" spans="4:8" x14ac:dyDescent="0.25">
      <c r="D168" t="e">
        <f>IF([1]BASE!D169="","",[1]BASE!D169)</f>
        <v>#REF!</v>
      </c>
      <c r="E168" t="e">
        <f>IF([1]BASE!E169="","",[1]BASE!E169)</f>
        <v>#REF!</v>
      </c>
      <c r="F168" t="e">
        <f>IF([1]BASE!F169="","",[1]BASE!F169)</f>
        <v>#REF!</v>
      </c>
      <c r="G168" t="e">
        <f>IF([1]BASE!G169="","",[1]BASE!G169)</f>
        <v>#REF!</v>
      </c>
      <c r="H168" t="e">
        <f>IF([1]BASE!H169="","",[1]BASE!H169)</f>
        <v>#REF!</v>
      </c>
    </row>
    <row r="169" spans="4:8" x14ac:dyDescent="0.25">
      <c r="D169" t="e">
        <f>IF([1]BASE!D170="","",[1]BASE!D170)</f>
        <v>#REF!</v>
      </c>
      <c r="E169" t="e">
        <f>IF([1]BASE!E170="","",[1]BASE!E170)</f>
        <v>#REF!</v>
      </c>
      <c r="F169" t="e">
        <f>IF([1]BASE!F170="","",[1]BASE!F170)</f>
        <v>#REF!</v>
      </c>
      <c r="G169" t="e">
        <f>IF([1]BASE!G170="","",[1]BASE!G170)</f>
        <v>#REF!</v>
      </c>
      <c r="H169" t="e">
        <f>IF([1]BASE!H170="","",[1]BASE!H170)</f>
        <v>#REF!</v>
      </c>
    </row>
    <row r="170" spans="4:8" x14ac:dyDescent="0.25">
      <c r="D170" t="e">
        <f>IF([1]BASE!D171="","",[1]BASE!D171)</f>
        <v>#REF!</v>
      </c>
      <c r="E170" t="e">
        <f>IF([1]BASE!E171="","",[1]BASE!E171)</f>
        <v>#REF!</v>
      </c>
      <c r="F170" t="e">
        <f>IF([1]BASE!F171="","",[1]BASE!F171)</f>
        <v>#REF!</v>
      </c>
      <c r="G170" t="e">
        <f>IF([1]BASE!G171="","",[1]BASE!G171)</f>
        <v>#REF!</v>
      </c>
      <c r="H170" t="e">
        <f>IF([1]BASE!H171="","",[1]BASE!H171)</f>
        <v>#REF!</v>
      </c>
    </row>
    <row r="171" spans="4:8" x14ac:dyDescent="0.25">
      <c r="D171" t="e">
        <f>IF([1]BASE!D172="","",[1]BASE!D172)</f>
        <v>#REF!</v>
      </c>
      <c r="E171" t="e">
        <f>IF([1]BASE!E172="","",[1]BASE!E172)</f>
        <v>#REF!</v>
      </c>
      <c r="F171" t="e">
        <f>IF([1]BASE!F172="","",[1]BASE!F172)</f>
        <v>#REF!</v>
      </c>
      <c r="G171" t="e">
        <f>IF([1]BASE!G172="","",[1]BASE!G172)</f>
        <v>#REF!</v>
      </c>
      <c r="H171" t="e">
        <f>IF([1]BASE!H172="","",[1]BASE!H172)</f>
        <v>#REF!</v>
      </c>
    </row>
    <row r="172" spans="4:8" x14ac:dyDescent="0.25">
      <c r="D172" t="e">
        <f>IF([1]BASE!D173="","",[1]BASE!D173)</f>
        <v>#REF!</v>
      </c>
      <c r="E172" t="e">
        <f>IF([1]BASE!E173="","",[1]BASE!E173)</f>
        <v>#REF!</v>
      </c>
      <c r="F172" t="e">
        <f>IF([1]BASE!F173="","",[1]BASE!F173)</f>
        <v>#REF!</v>
      </c>
      <c r="G172" t="e">
        <f>IF([1]BASE!G173="","",[1]BASE!G173)</f>
        <v>#REF!</v>
      </c>
      <c r="H172" t="e">
        <f>IF([1]BASE!H173="","",[1]BASE!H173)</f>
        <v>#REF!</v>
      </c>
    </row>
    <row r="173" spans="4:8" x14ac:dyDescent="0.25">
      <c r="D173" t="e">
        <f>IF([1]BASE!D174="","",[1]BASE!D174)</f>
        <v>#REF!</v>
      </c>
      <c r="E173" t="e">
        <f>IF([1]BASE!E174="","",[1]BASE!E174)</f>
        <v>#REF!</v>
      </c>
      <c r="F173" t="e">
        <f>IF([1]BASE!F174="","",[1]BASE!F174)</f>
        <v>#REF!</v>
      </c>
      <c r="G173" t="e">
        <f>IF([1]BASE!G174="","",[1]BASE!G174)</f>
        <v>#REF!</v>
      </c>
      <c r="H173" t="e">
        <f>IF([1]BASE!H174="","",[1]BASE!H174)</f>
        <v>#REF!</v>
      </c>
    </row>
    <row r="174" spans="4:8" x14ac:dyDescent="0.25">
      <c r="D174" t="e">
        <f>IF([1]BASE!D175="","",[1]BASE!D175)</f>
        <v>#REF!</v>
      </c>
      <c r="E174" t="e">
        <f>IF([1]BASE!E175="","",[1]BASE!E175)</f>
        <v>#REF!</v>
      </c>
      <c r="F174" t="e">
        <f>IF([1]BASE!F175="","",[1]BASE!F175)</f>
        <v>#REF!</v>
      </c>
      <c r="G174" t="e">
        <f>IF([1]BASE!G175="","",[1]BASE!G175)</f>
        <v>#REF!</v>
      </c>
      <c r="H174" t="e">
        <f>IF([1]BASE!H175="","",[1]BASE!H175)</f>
        <v>#REF!</v>
      </c>
    </row>
    <row r="175" spans="4:8" x14ac:dyDescent="0.25">
      <c r="D175" t="e">
        <f>IF([1]BASE!D176="","",[1]BASE!D176)</f>
        <v>#REF!</v>
      </c>
      <c r="E175" t="e">
        <f>IF([1]BASE!E176="","",[1]BASE!E176)</f>
        <v>#REF!</v>
      </c>
      <c r="F175" t="e">
        <f>IF([1]BASE!F176="","",[1]BASE!F176)</f>
        <v>#REF!</v>
      </c>
      <c r="G175" t="e">
        <f>IF([1]BASE!G176="","",[1]BASE!G176)</f>
        <v>#REF!</v>
      </c>
      <c r="H175" t="e">
        <f>IF([1]BASE!H176="","",[1]BASE!H176)</f>
        <v>#REF!</v>
      </c>
    </row>
    <row r="176" spans="4:8" x14ac:dyDescent="0.25">
      <c r="D176" t="e">
        <f>IF([1]BASE!D177="","",[1]BASE!D177)</f>
        <v>#REF!</v>
      </c>
      <c r="E176" t="e">
        <f>IF([1]BASE!E177="","",[1]BASE!E177)</f>
        <v>#REF!</v>
      </c>
      <c r="F176" t="e">
        <f>IF([1]BASE!F177="","",[1]BASE!F177)</f>
        <v>#REF!</v>
      </c>
      <c r="G176" t="e">
        <f>IF([1]BASE!G177="","",[1]BASE!G177)</f>
        <v>#REF!</v>
      </c>
      <c r="H176" t="e">
        <f>IF([1]BASE!H177="","",[1]BASE!H177)</f>
        <v>#REF!</v>
      </c>
    </row>
    <row r="177" spans="4:8" x14ac:dyDescent="0.25">
      <c r="D177" t="e">
        <f>IF([1]BASE!D178="","",[1]BASE!D178)</f>
        <v>#REF!</v>
      </c>
      <c r="E177" t="e">
        <f>IF([1]BASE!E178="","",[1]BASE!E178)</f>
        <v>#REF!</v>
      </c>
      <c r="F177" t="e">
        <f>IF([1]BASE!F178="","",[1]BASE!F178)</f>
        <v>#REF!</v>
      </c>
      <c r="G177" t="e">
        <f>IF([1]BASE!G178="","",[1]BASE!G178)</f>
        <v>#REF!</v>
      </c>
      <c r="H177" t="e">
        <f>IF([1]BASE!H178="","",[1]BASE!H178)</f>
        <v>#REF!</v>
      </c>
    </row>
    <row r="178" spans="4:8" x14ac:dyDescent="0.25">
      <c r="D178" t="e">
        <f>IF([1]BASE!D179="","",[1]BASE!D179)</f>
        <v>#REF!</v>
      </c>
      <c r="E178" t="e">
        <f>IF([1]BASE!E179="","",[1]BASE!E179)</f>
        <v>#REF!</v>
      </c>
      <c r="F178" t="e">
        <f>IF([1]BASE!F179="","",[1]BASE!F179)</f>
        <v>#REF!</v>
      </c>
      <c r="G178" t="e">
        <f>IF([1]BASE!G179="","",[1]BASE!G179)</f>
        <v>#REF!</v>
      </c>
      <c r="H178" t="e">
        <f>IF([1]BASE!H179="","",[1]BASE!H179)</f>
        <v>#REF!</v>
      </c>
    </row>
    <row r="179" spans="4:8" x14ac:dyDescent="0.25">
      <c r="D179" t="e">
        <f>IF([1]BASE!D180="","",[1]BASE!D180)</f>
        <v>#REF!</v>
      </c>
      <c r="E179" t="e">
        <f>IF([1]BASE!E180="","",[1]BASE!E180)</f>
        <v>#REF!</v>
      </c>
      <c r="F179" t="e">
        <f>IF([1]BASE!F180="","",[1]BASE!F180)</f>
        <v>#REF!</v>
      </c>
      <c r="G179" t="e">
        <f>IF([1]BASE!G180="","",[1]BASE!G180)</f>
        <v>#REF!</v>
      </c>
      <c r="H179" t="e">
        <f>IF([1]BASE!H180="","",[1]BASE!H180)</f>
        <v>#REF!</v>
      </c>
    </row>
    <row r="180" spans="4:8" x14ac:dyDescent="0.25">
      <c r="D180" t="e">
        <f>IF([1]BASE!D181="","",[1]BASE!D181)</f>
        <v>#REF!</v>
      </c>
      <c r="E180" t="e">
        <f>IF([1]BASE!E181="","",[1]BASE!E181)</f>
        <v>#REF!</v>
      </c>
      <c r="F180" t="e">
        <f>IF([1]BASE!F181="","",[1]BASE!F181)</f>
        <v>#REF!</v>
      </c>
      <c r="G180" t="e">
        <f>IF([1]BASE!G181="","",[1]BASE!G181)</f>
        <v>#REF!</v>
      </c>
      <c r="H180" t="e">
        <f>IF([1]BASE!H181="","",[1]BASE!H181)</f>
        <v>#REF!</v>
      </c>
    </row>
    <row r="181" spans="4:8" x14ac:dyDescent="0.25">
      <c r="D181" t="e">
        <f>IF([1]BASE!D182="","",[1]BASE!D182)</f>
        <v>#REF!</v>
      </c>
      <c r="E181" t="e">
        <f>IF([1]BASE!E182="","",[1]BASE!E182)</f>
        <v>#REF!</v>
      </c>
      <c r="F181" t="e">
        <f>IF([1]BASE!F182="","",[1]BASE!F182)</f>
        <v>#REF!</v>
      </c>
      <c r="G181" t="e">
        <f>IF([1]BASE!G182="","",[1]BASE!G182)</f>
        <v>#REF!</v>
      </c>
      <c r="H181" t="e">
        <f>IF([1]BASE!H182="","",[1]BASE!H182)</f>
        <v>#REF!</v>
      </c>
    </row>
    <row r="182" spans="4:8" x14ac:dyDescent="0.25">
      <c r="D182" t="e">
        <f>IF([1]BASE!D183="","",[1]BASE!D183)</f>
        <v>#REF!</v>
      </c>
      <c r="E182" t="e">
        <f>IF([1]BASE!E183="","",[1]BASE!E183)</f>
        <v>#REF!</v>
      </c>
      <c r="F182" t="e">
        <f>IF([1]BASE!F183="","",[1]BASE!F183)</f>
        <v>#REF!</v>
      </c>
      <c r="G182" t="e">
        <f>IF([1]BASE!G183="","",[1]BASE!G183)</f>
        <v>#REF!</v>
      </c>
      <c r="H182" t="e">
        <f>IF([1]BASE!H183="","",[1]BASE!H183)</f>
        <v>#REF!</v>
      </c>
    </row>
    <row r="183" spans="4:8" x14ac:dyDescent="0.25">
      <c r="D183" t="e">
        <f>IF([1]BASE!D184="","",[1]BASE!D184)</f>
        <v>#REF!</v>
      </c>
      <c r="E183" t="e">
        <f>IF([1]BASE!E184="","",[1]BASE!E184)</f>
        <v>#REF!</v>
      </c>
      <c r="F183" t="e">
        <f>IF([1]BASE!F184="","",[1]BASE!F184)</f>
        <v>#REF!</v>
      </c>
      <c r="G183" t="e">
        <f>IF([1]BASE!G184="","",[1]BASE!G184)</f>
        <v>#REF!</v>
      </c>
      <c r="H183" t="e">
        <f>IF([1]BASE!H184="","",[1]BASE!H184)</f>
        <v>#REF!</v>
      </c>
    </row>
    <row r="184" spans="4:8" x14ac:dyDescent="0.25">
      <c r="D184" t="e">
        <f>IF([1]BASE!D185="","",[1]BASE!D185)</f>
        <v>#REF!</v>
      </c>
      <c r="E184" t="e">
        <f>IF([1]BASE!E185="","",[1]BASE!E185)</f>
        <v>#REF!</v>
      </c>
      <c r="F184" t="e">
        <f>IF([1]BASE!F185="","",[1]BASE!F185)</f>
        <v>#REF!</v>
      </c>
      <c r="G184" t="e">
        <f>IF([1]BASE!G185="","",[1]BASE!G185)</f>
        <v>#REF!</v>
      </c>
      <c r="H184" t="e">
        <f>IF([1]BASE!H185="","",[1]BASE!H185)</f>
        <v>#REF!</v>
      </c>
    </row>
    <row r="185" spans="4:8" x14ac:dyDescent="0.25">
      <c r="D185" t="e">
        <f>IF([1]BASE!D186="","",[1]BASE!D186)</f>
        <v>#REF!</v>
      </c>
      <c r="E185" t="e">
        <f>IF([1]BASE!E186="","",[1]BASE!E186)</f>
        <v>#REF!</v>
      </c>
      <c r="F185" t="e">
        <f>IF([1]BASE!F186="","",[1]BASE!F186)</f>
        <v>#REF!</v>
      </c>
      <c r="G185" t="e">
        <f>IF([1]BASE!G186="","",[1]BASE!G186)</f>
        <v>#REF!</v>
      </c>
      <c r="H185" t="e">
        <f>IF([1]BASE!H186="","",[1]BASE!H186)</f>
        <v>#REF!</v>
      </c>
    </row>
    <row r="186" spans="4:8" x14ac:dyDescent="0.25">
      <c r="D186" t="e">
        <f>IF([1]BASE!D187="","",[1]BASE!D187)</f>
        <v>#REF!</v>
      </c>
      <c r="E186" t="e">
        <f>IF([1]BASE!E187="","",[1]BASE!E187)</f>
        <v>#REF!</v>
      </c>
      <c r="F186" t="e">
        <f>IF([1]BASE!F187="","",[1]BASE!F187)</f>
        <v>#REF!</v>
      </c>
      <c r="G186" t="e">
        <f>IF([1]BASE!G187="","",[1]BASE!G187)</f>
        <v>#REF!</v>
      </c>
      <c r="H186" t="e">
        <f>IF([1]BASE!H187="","",[1]BASE!H187)</f>
        <v>#REF!</v>
      </c>
    </row>
    <row r="187" spans="4:8" x14ac:dyDescent="0.25">
      <c r="D187" t="e">
        <f>IF([1]BASE!D188="","",[1]BASE!D188)</f>
        <v>#REF!</v>
      </c>
      <c r="E187" t="e">
        <f>IF([1]BASE!E188="","",[1]BASE!E188)</f>
        <v>#REF!</v>
      </c>
      <c r="F187" t="e">
        <f>IF([1]BASE!F188="","",[1]BASE!F188)</f>
        <v>#REF!</v>
      </c>
      <c r="G187" t="e">
        <f>IF([1]BASE!G188="","",[1]BASE!G188)</f>
        <v>#REF!</v>
      </c>
      <c r="H187" t="e">
        <f>IF([1]BASE!H188="","",[1]BASE!H188)</f>
        <v>#REF!</v>
      </c>
    </row>
    <row r="188" spans="4:8" x14ac:dyDescent="0.25">
      <c r="D188" t="e">
        <f>IF([1]BASE!D189="","",[1]BASE!D189)</f>
        <v>#REF!</v>
      </c>
      <c r="E188" t="e">
        <f>IF([1]BASE!E189="","",[1]BASE!E189)</f>
        <v>#REF!</v>
      </c>
      <c r="F188" t="e">
        <f>IF([1]BASE!F189="","",[1]BASE!F189)</f>
        <v>#REF!</v>
      </c>
      <c r="G188" t="e">
        <f>IF([1]BASE!G189="","",[1]BASE!G189)</f>
        <v>#REF!</v>
      </c>
      <c r="H188" t="e">
        <f>IF([1]BASE!H189="","",[1]BASE!H189)</f>
        <v>#REF!</v>
      </c>
    </row>
    <row r="189" spans="4:8" x14ac:dyDescent="0.25">
      <c r="D189" t="e">
        <f>IF([1]BASE!D190="","",[1]BASE!D190)</f>
        <v>#REF!</v>
      </c>
      <c r="E189" t="e">
        <f>IF([1]BASE!E190="","",[1]BASE!E190)</f>
        <v>#REF!</v>
      </c>
      <c r="F189" t="e">
        <f>IF([1]BASE!F190="","",[1]BASE!F190)</f>
        <v>#REF!</v>
      </c>
      <c r="G189" t="e">
        <f>IF([1]BASE!G190="","",[1]BASE!G190)</f>
        <v>#REF!</v>
      </c>
      <c r="H189" t="e">
        <f>IF([1]BASE!H190="","",[1]BASE!H190)</f>
        <v>#REF!</v>
      </c>
    </row>
    <row r="190" spans="4:8" x14ac:dyDescent="0.25">
      <c r="D190" t="e">
        <f>IF([1]BASE!D191="","",[1]BASE!D191)</f>
        <v>#REF!</v>
      </c>
      <c r="E190" t="e">
        <f>IF([1]BASE!E191="","",[1]BASE!E191)</f>
        <v>#REF!</v>
      </c>
      <c r="F190" t="e">
        <f>IF([1]BASE!F191="","",[1]BASE!F191)</f>
        <v>#REF!</v>
      </c>
      <c r="G190" t="e">
        <f>IF([1]BASE!G191="","",[1]BASE!G191)</f>
        <v>#REF!</v>
      </c>
      <c r="H190" t="e">
        <f>IF([1]BASE!H191="","",[1]BASE!H191)</f>
        <v>#REF!</v>
      </c>
    </row>
    <row r="191" spans="4:8" x14ac:dyDescent="0.25">
      <c r="D191" t="e">
        <f>IF([1]BASE!D192="","",[1]BASE!D192)</f>
        <v>#REF!</v>
      </c>
      <c r="E191" t="e">
        <f>IF([1]BASE!E192="","",[1]BASE!E192)</f>
        <v>#REF!</v>
      </c>
      <c r="F191" t="e">
        <f>IF([1]BASE!F192="","",[1]BASE!F192)</f>
        <v>#REF!</v>
      </c>
      <c r="G191" t="e">
        <f>IF([1]BASE!G192="","",[1]BASE!G192)</f>
        <v>#REF!</v>
      </c>
      <c r="H191" t="e">
        <f>IF([1]BASE!H192="","",[1]BASE!H192)</f>
        <v>#REF!</v>
      </c>
    </row>
    <row r="192" spans="4:8" x14ac:dyDescent="0.25">
      <c r="D192" t="e">
        <f>IF([1]BASE!D193="","",[1]BASE!D193)</f>
        <v>#REF!</v>
      </c>
      <c r="E192" t="e">
        <f>IF([1]BASE!E193="","",[1]BASE!E193)</f>
        <v>#REF!</v>
      </c>
      <c r="F192" t="e">
        <f>IF([1]BASE!F193="","",[1]BASE!F193)</f>
        <v>#REF!</v>
      </c>
      <c r="G192" t="e">
        <f>IF([1]BASE!G193="","",[1]BASE!G193)</f>
        <v>#REF!</v>
      </c>
      <c r="H192" t="e">
        <f>IF([1]BASE!H193="","",[1]BASE!H193)</f>
        <v>#REF!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SEND</vt:lpstr>
      <vt:lpstr>Settings</vt:lpstr>
      <vt:lpstr>Sheet1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dcterms:created xsi:type="dcterms:W3CDTF">2012-10-02T12:41:35Z</dcterms:created>
  <dcterms:modified xsi:type="dcterms:W3CDTF">2021-05-27T19:56:28Z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2020-09-22T00:37:35.8913397Z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14a460bd-2f6d-47e3-afb6-8252541ff9d4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MSIP_Label_236020b0-6d69-48c1-9bb5-c586c1062b70_Enabled">
    <vt:lpwstr>True</vt:lpwstr>
  </property>
  <property fmtid="{D5CDD505-2E9C-101B-9397-08002B2CF9AE}" pid="11" name="MSIP_Label_236020b0-6d69-48c1-9bb5-c586c1062b70_SiteId">
    <vt:lpwstr>cf36141c-ddd7-45a7-b073-111f66d0b30c</vt:lpwstr>
  </property>
  <property fmtid="{D5CDD505-2E9C-101B-9397-08002B2CF9AE}" pid="12" name="MSIP_Label_236020b0-6d69-48c1-9bb5-c586c1062b70_Owner">
    <vt:lpwstr>n.caracelli.diniz@avanade.com</vt:lpwstr>
  </property>
  <property fmtid="{D5CDD505-2E9C-101B-9397-08002B2CF9AE}" pid="13" name="MSIP_Label_236020b0-6d69-48c1-9bb5-c586c1062b70_SetDate">
    <vt:lpwstr>2019-02-25T12:44:57.7090346Z</vt:lpwstr>
  </property>
  <property fmtid="{D5CDD505-2E9C-101B-9397-08002B2CF9AE}" pid="14" name="MSIP_Label_236020b0-6d69-48c1-9bb5-c586c1062b70_Name">
    <vt:lpwstr>Confidential</vt:lpwstr>
  </property>
  <property fmtid="{D5CDD505-2E9C-101B-9397-08002B2CF9AE}" pid="15" name="MSIP_Label_236020b0-6d69-48c1-9bb5-c586c1062b70_Application">
    <vt:lpwstr>Microsoft Azure Information Protection</vt:lpwstr>
  </property>
  <property fmtid="{D5CDD505-2E9C-101B-9397-08002B2CF9AE}" pid="16" name="MSIP_Label_236020b0-6d69-48c1-9bb5-c586c1062b70_Extended_MSFT_Method">
    <vt:lpwstr>Automatic</vt:lpwstr>
  </property>
  <property fmtid="{D5CDD505-2E9C-101B-9397-08002B2CF9AE}" pid="17" name="MSIP_Label_5fae8262-b78e-4366-8929-a5d6aac95320_Enabled">
    <vt:lpwstr>True</vt:lpwstr>
  </property>
  <property fmtid="{D5CDD505-2E9C-101B-9397-08002B2CF9AE}" pid="18" name="MSIP_Label_5fae8262-b78e-4366-8929-a5d6aac95320_SiteId">
    <vt:lpwstr>cf36141c-ddd7-45a7-b073-111f66d0b30c</vt:lpwstr>
  </property>
  <property fmtid="{D5CDD505-2E9C-101B-9397-08002B2CF9AE}" pid="19" name="MSIP_Label_5fae8262-b78e-4366-8929-a5d6aac95320_Owner">
    <vt:lpwstr>n.caracelli.diniz@avanade.com</vt:lpwstr>
  </property>
  <property fmtid="{D5CDD505-2E9C-101B-9397-08002B2CF9AE}" pid="20" name="MSIP_Label_5fae8262-b78e-4366-8929-a5d6aac95320_SetDate">
    <vt:lpwstr>2019-02-25T12:44:57.7090346Z</vt:lpwstr>
  </property>
  <property fmtid="{D5CDD505-2E9C-101B-9397-08002B2CF9AE}" pid="21" name="MSIP_Label_5fae8262-b78e-4366-8929-a5d6aac95320_Name">
    <vt:lpwstr>Recipients Have Full Control</vt:lpwstr>
  </property>
  <property fmtid="{D5CDD505-2E9C-101B-9397-08002B2CF9AE}" pid="22" name="MSIP_Label_5fae8262-b78e-4366-8929-a5d6aac95320_Application">
    <vt:lpwstr>Microsoft Azure Information Protection</vt:lpwstr>
  </property>
  <property fmtid="{D5CDD505-2E9C-101B-9397-08002B2CF9AE}" pid="23" name="MSIP_Label_5fae8262-b78e-4366-8929-a5d6aac95320_Parent">
    <vt:lpwstr>236020b0-6d69-48c1-9bb5-c586c1062b70</vt:lpwstr>
  </property>
  <property fmtid="{D5CDD505-2E9C-101B-9397-08002B2CF9AE}" pid="24" name="MSIP_Label_5fae8262-b78e-4366-8929-a5d6aac95320_Extended_MSFT_Method">
    <vt:lpwstr>Automatic</vt:lpwstr>
  </property>
  <property fmtid="{D5CDD505-2E9C-101B-9397-08002B2CF9AE}" pid="25" name="Sensitivity">
    <vt:lpwstr>Internal and Restricted Confidential Recipients Have Full Control</vt:lpwstr>
  </property>
</Properties>
</file>