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12\"/>
    </mc:Choice>
  </mc:AlternateContent>
  <xr:revisionPtr revIDLastSave="0" documentId="13_ncr:1_{DFE49CF1-5333-4820-A5EC-338270EEBFEA}" xr6:coauthVersionLast="46" xr6:coauthVersionMax="46" xr10:uidLastSave="{00000000-0000-0000-0000-000000000000}"/>
  <bookViews>
    <workbookView xWindow="-120" yWindow="-120" windowWidth="24240" windowHeight="17790" tabRatio="381" activeTab="2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dados!$A$1:$AB$3</definedName>
    <definedName name="_xlnm._FilterDatabase" localSheetId="0" hidden="1">SEND!#REF!</definedName>
    <definedName name="tbl_dinamica">OFFSET(dados!$A$1,0,0,COUNTA(dados!$H:$H),COUNTA(dados!$1:$1))</definedName>
  </definedNames>
  <calcPr calcId="191029"/>
  <pivotCaches>
    <pivotCache cacheId="12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2" l="1"/>
  <c r="M2" i="10"/>
  <c r="B7" i="12" s="1"/>
  <c r="M1" i="10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<sst xmlns="http://schemas.openxmlformats.org/spreadsheetml/2006/main" count="771" uniqueCount="207">
  <si>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</si>
  <si>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</si>
  <si>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</si>
  <si>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</si>
  <si>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</si>
  <si>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</si>
  <si>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</si>
  <si>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</si>
  <si>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</si>
  <si>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</si>
  <si>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</si>
  <si>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</si>
  <si>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</si>
  <si>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</si>
  <si>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</si>
  <si>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</si>
  <si>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</si>
  <si>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</si>
  <si>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</si>
  <si>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</si>
  <si>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</si>
  <si>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</si>
  <si>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</si>
  <si>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</si>
  <si>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</si>
  <si>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</si>
  <si>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</si>
  <si>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</si>
  <si>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</si>
  <si>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</si>
  <si>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</si>
  <si>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</si>
  <si>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</si>
  <si>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</si>
  <si>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</si>
  <si>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</si>
  <si>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</si>
  <si>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</si>
  <si>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</si>
  <si>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</si>
  <si>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</si>
  <si>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</si>
  <si>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</si>
  <si>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</si>
  <si>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</si>
  <si>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</si>
  <si>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</si>
  <si>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</si>
  <si>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</si>
  <si>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</si>
  <si>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</si>
  <si>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</si>
  <si>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</si>
  <si>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</si>
  <si>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</si>
  <si>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</si>
  <si>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</si>
  <si>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</si>
  <si>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</si>
  <si>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</si>
  <si>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</si>
  <si>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</si>
  <si>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</si>
  <si>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</si>
  <si>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</si>
  <si>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</si>
  <si>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</si>
  <si>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</si>
  <si>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</si>
  <si>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</si>
  <si>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</si>
  <si>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</si>
  <si>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</si>
  <si>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</si>
  <si>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</si>
  <si>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</si>
  <si>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</si>
  <si>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</si>
  <si>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</si>
  <si>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</si>
  <si>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</si>
  <si>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</si>
  <si>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</si>
  <si>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</si>
  <si>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</si>
  <si>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</si>
  <si>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</si>
  <si>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</si>
  <si>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</si>
  <si>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</si>
  <si>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</si>
  <si>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</si>
  <si>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</si>
  <si>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</si>
  <si>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</si>
  <si>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</si>
  <si>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</si>
  <si>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</si>
  <si>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</si>
  <si>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</si>
  <si>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</si>
  <si>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</si>
  <si>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</si>
  <si>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</si>
  <si>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</si>
  <si>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</si>
  <si>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</si>
  <si>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</si>
  <si>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</si>
  <si>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</si>
  <si>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</si>
  <si>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</si>
  <si>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</si>
  <si>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</si>
  <si>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</si>
  <si>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</si>
  <si>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</si>
  <si>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</si>
  <si>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</si>
  <si>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</si>
  <si>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</si>
  <si>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</si>
  <si>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</si>
  <si>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</si>
  <si>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</si>
  <si>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</si>
  <si>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</si>
  <si>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</si>
  <si>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</si>
  <si>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</si>
  <si>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</si>
  <si>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</si>
  <si>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</si>
  <si>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</si>
  <si>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</si>
  <si>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</si>
  <si>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</si>
  <si>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</si>
  <si>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</si>
  <si>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</si>
  <si>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</si>
  <si>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</si>
  <si>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</si>
  <si>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</si>
  <si>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</si>
  <si>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</si>
  <si>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</si>
  <si>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</si>
  <si>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</si>
  <si>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</si>
  <si>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</si>
  <si>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</si>
  <si>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</si>
  <si>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</si>
  <si>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</si>
  <si>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</si>
  <si>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</si>
  <si>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</si>
  <si>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</si>
  <si>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</si>
  <si>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</si>
  <si>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</si>
  <si>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</si>
  <si>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</si>
  <si>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</si>
  <si>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</si>
  <si>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</si>
  <si>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</si>
  <si>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</si>
  <si>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</si>
  <si>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</si>
  <si>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</si>
  <si>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</si>
  <si>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</si>
  <si>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</si>
  <si>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</si>
  <si>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</si>
  <si>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</si>
  <si>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</si>
  <si>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</si>
  <si>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</si>
  <si>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</si>
  <si>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</si>
  <si>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</si>
  <si>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Soja</t>
  </si>
  <si>
    <t>1</t>
  </si>
  <si>
    <t>TIPLAM - Porto Inácio Antonio Mesquita - Santos</t>
  </si>
  <si>
    <t>P</t>
  </si>
  <si>
    <t>00.924.429/0001-75</t>
  </si>
  <si>
    <t>02.476.026/0008-02</t>
  </si>
  <si>
    <t>TIPN</t>
  </si>
  <si>
    <t>20210309-TIPN-000119</t>
  </si>
  <si>
    <t>J-117</t>
  </si>
  <si>
    <t xml:space="preserve">COFCO INTERNATIONAL BRASIL S.A. - </t>
  </si>
  <si>
    <t>06.315.338/0193-08</t>
  </si>
  <si>
    <t xml:space="preserve">COFCO INTERNATIONAL BRASIL S A - </t>
  </si>
  <si>
    <t>COFCO INTERNATIONAL BRASIL S.A.</t>
  </si>
  <si>
    <t>HFT0646474</t>
  </si>
  <si>
    <t>5760</t>
  </si>
  <si>
    <t>17210206315338019308550010000057601485969106</t>
  </si>
  <si>
    <t>TPSL -  Terminal Portuário São Luís</t>
  </si>
  <si>
    <t>400</t>
  </si>
  <si>
    <t>332591</t>
  </si>
  <si>
    <t>06.315.338/0194-80</t>
  </si>
  <si>
    <t>9247</t>
  </si>
  <si>
    <t>17210306315338019480550010000092471457579545</t>
  </si>
  <si>
    <t>332584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</si>
</sst>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0.000"/>
    <numFmt numFmtId="169" formatCode="#,#00"/>
    <numFmt numFmtId="170" formatCode="dd/mm/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71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9" fillId="6" borderId="0" xfId="0" quotePrefix="1" applyFont="1" applyFill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0" fontId="0" fillId="7" borderId="8" xfId="0" applyFill="1" applyBorder="1"/>
    <xf numFmtId="14" fontId="0" fillId="7" borderId="8" xfId="0" applyNumberFormat="1" applyFill="1" applyBorder="1" applyAlignment="1">
      <alignment wrapText="1"/>
    </xf>
    <xf numFmtId="20" fontId="0" fillId="7" borderId="8" xfId="0" applyNumberFormat="1" applyFill="1" applyBorder="1" applyAlignment="1">
      <alignment wrapText="1"/>
    </xf>
    <xf numFmtId="0" fontId="0" fillId="7" borderId="8" xfId="0" applyFill="1" applyBorder="1" applyAlignment="1">
      <alignment horizontal="right" wrapText="1"/>
    </xf>
    <xf numFmtId="167" fontId="0" fillId="7" borderId="8" xfId="0" applyNumberFormat="1" applyFill="1" applyBorder="1" applyAlignment="1">
      <alignment horizontal="right" wrapText="1"/>
    </xf>
    <xf numFmtId="167" fontId="0" fillId="7" borderId="8" xfId="0" applyNumberFormat="1" applyFill="1" applyBorder="1" applyAlignment="1">
      <alignment wrapText="1"/>
    </xf>
    <xf numFmtId="168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/>
    </xf>
    <xf numFmtId="1" fontId="0" fillId="7" borderId="8" xfId="0" applyNumberFormat="1" applyFill="1" applyBorder="1"/>
    <xf numFmtId="0" fontId="21" fillId="0" borderId="0" xfId="0" applyFont="1"/>
    <xf numFmtId="169" fontId="13" fillId="0" borderId="0" xfId="7" applyNumberFormat="1"/>
    <xf numFmtId="0" fontId="0" fillId="7" borderId="8" xfId="0" quotePrefix="1" applyFill="1" applyBorder="1" applyAlignment="1">
      <alignment horizontal="right" wrapText="1"/>
    </xf>
    <xf numFmtId="0" fontId="0" fillId="0" borderId="2" xfId="0" applyNumberFormat="1" applyBorder="1"/>
    <xf numFmtId="170" fontId="3" fillId="0" borderId="0" xfId="7" applyNumberFormat="1" applyFont="1" applyAlignment="1" applyProtection="1">
      <alignment horizontal="center" vertical="top"/>
      <protection locked="0"/>
    </xf>
    <xf numFmtId="170" fontId="13" fillId="0" borderId="0" xfId="7" applyNumberFormat="1" applyAlignment="1">
      <alignment horizontal="center"/>
    </xf>
    <xf numFmtId="170" fontId="17" fillId="0" borderId="0" xfId="0" applyNumberFormat="1" applyFont="1"/>
    <xf numFmtId="49" fontId="0" fillId="8" borderId="8" xfId="0" applyNumberFormat="1" applyFill="1" applyBorder="1" applyAlignment="1">
      <alignment horizontal="right"/>
    </xf>
    <xf numFmtId="0" fontId="0" fillId="9" borderId="4" xfId="0" applyFill="1" applyBorder="1"/>
    <xf numFmtId="49" fontId="21" fillId="0" borderId="0" xfId="0" applyNumberFormat="1" applyFont="1"/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43.41766712963" createdVersion="6" refreshedVersion="7" minRefreshableVersion="3" recordCount="2" xr:uid="{00000000-000A-0000-FFFF-FFFF08000000}">
  <cacheSource type="worksheet">
    <worksheetSource name="=tbl_dinamica"/>
  </cacheSource>
  <cacheFields count="28">
    <cacheField name="C1" numFmtId="0">
      <sharedItems/>
    </cacheField>
    <cacheField name="C2" numFmtId="14">
      <sharedItems containsSemiMixedTypes="0" containsNonDate="0" containsDate="1" containsString="0" minDate="2021-03-10T00:00:00" maxDate="2021-03-11T00:00:00"/>
    </cacheField>
    <cacheField name="C3" numFmtId="20">
      <sharedItems containsSemiMixedTypes="0" containsNonDate="0" containsDate="1" containsString="0" minDate="1899-12-30T00:51:43" maxDate="1899-12-30T00:51:43"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unt="5">
        <s v="COFCO INTERNATIONAL BRASIL S.A. - "/>
        <s v="COFCO INTERNATIONAL BRASIL S.A. - UBERLANDIA" u="1"/>
        <s v="06.315.338/0181-66" u="1"/>
        <s v="COFCO BRASIL S.A. - JATAI" u="1"/>
        <s v="COFCO INTERNATIONAL BRASIL S.A - CANARANA" u="1"/>
      </sharedItems>
    </cacheField>
    <cacheField name="C8" numFmtId="0">
      <sharedItems count="4">
        <s v="06.315.338/0193-08"/>
        <s v="06.315.338/0194-80"/>
        <s v="06.315.338/0181-66" u="1"/>
        <s v="COFCO INTERNATIONAL BRASIL S A - CANARANA" u="1"/>
      </sharedItems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 containsNonDate="0" containsString="0" containsBlank="1"/>
    </cacheField>
    <cacheField name="C14" numFmtId="0">
      <sharedItems/>
    </cacheField>
    <cacheField name="C15" numFmtId="167">
      <sharedItems containsSemiMixedTypes="0" containsString="0" containsNumber="1" minValue="124.61499999999999" maxValue="124.61499999999999"/>
    </cacheField>
    <cacheField name="C16" numFmtId="167">
      <sharedItems containsSemiMixedTypes="0" containsString="0" containsNumber="1" containsInteger="1" minValue="29" maxValue="29"/>
    </cacheField>
    <cacheField name="C17" numFmtId="167">
      <sharedItems containsSemiMixedTypes="0" containsString="0" containsNumber="1" minValue="95.614999999999995" maxValue="95.614999999999995"/>
    </cacheField>
    <cacheField name="C18" numFmtId="168">
      <sharedItems containsSemiMixedTypes="0" containsString="0" containsNumber="1" minValue="31.46" maxValue="35.360999999999997"/>
    </cacheField>
    <cacheField name="C19" numFmtId="168">
      <sharedItems/>
    </cacheField>
    <cacheField name="C20" numFmtId="49">
      <sharedItems/>
    </cacheField>
    <cacheField name="C21" numFmtId="0">
      <sharedItems/>
    </cacheField>
    <cacheField name="C22" numFmtId="167">
      <sharedItems containsSemiMixedTypes="0" containsString="0" containsNumber="1" minValue="37121.4" maxValue="38720.400000000001"/>
    </cacheField>
    <cacheField name="C23" numFmtId="167">
      <sharedItems containsSemiMixedTypes="0" containsString="0" containsNumber="1" minValue="30.18" maxValue="31.48"/>
    </cacheField>
    <cacheField name="C24" numFmtId="168">
      <sharedItems containsSemiMixedTypes="0" containsString="0" containsNumber="1" minValue="30.12" maxValue="31.46"/>
    </cacheField>
    <cacheField name="C25" numFmtId="49">
      <sharedItems/>
    </cacheField>
    <cacheField name="C26" numFmtId="49">
      <sharedItems/>
    </cacheField>
    <cacheField name="C27" numFmtId="0">
      <sharedItems/>
    </cacheField>
    <cacheField name="C28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TIPN"/>
    <d v="2021-03-10T00:00:00"/>
    <d v="1899-12-30T00:51:43"/>
    <s v="20210309-TIPN-000119"/>
    <s v="J-117"/>
    <s v="Soja"/>
    <x v="0"/>
    <x v="0"/>
    <s v="COFCO INTERNATIONAL BRASIL S A - "/>
    <s v="06.315.338/0193-08"/>
    <s v="COFCO INTERNATIONAL BRASIL S.A."/>
    <s v="06.315.338/0193-08"/>
    <m/>
    <s v="HFT0646474"/>
    <n v="124.61499999999999"/>
    <n v="29"/>
    <n v="95.614999999999995"/>
    <n v="31.46"/>
    <s v="TIPN"/>
    <s v="5760"/>
    <s v="1"/>
    <n v="38720.400000000001"/>
    <n v="31.48"/>
    <n v="31.46"/>
    <s v="17210206315338019308550010000057601485969106"/>
    <s v="TPSL -  Terminal Portuário São Luís"/>
    <s v="400"/>
    <s v="332591"/>
  </r>
  <r>
    <s v="TIPN"/>
    <d v="2021-03-10T00:00:00"/>
    <d v="1899-12-30T00:51:43"/>
    <s v="20210309-TIPN-000119"/>
    <s v="J-117"/>
    <s v="Soja"/>
    <x v="0"/>
    <x v="1"/>
    <s v="COFCO INTERNATIONAL BRASIL S A - "/>
    <s v="06.315.338/0194-80"/>
    <s v="COFCO INTERNATIONAL BRASIL S.A."/>
    <s v="06.315.338/0194-80"/>
    <m/>
    <s v="HFT0646474"/>
    <n v="124.61499999999999"/>
    <n v="29"/>
    <n v="95.614999999999995"/>
    <n v="35.360999999999997"/>
    <s v="TIPN"/>
    <s v="9247"/>
    <s v="1"/>
    <n v="37121.4"/>
    <n v="30.18"/>
    <n v="30.12"/>
    <s v="17210306315338019480550010000092471457579545"/>
    <s v="TPSL -  Terminal Portuário São Luís"/>
    <s v="400"/>
    <s v="3325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12" dataOnRows="1" applyNumberFormats="0" applyBorderFormats="0" applyFontFormats="0" applyPatternFormats="0" applyAlignmentFormats="0" applyWidthHeightFormats="1" dataCaption="Dados" updatedVersion="7" showMemberPropertyTips="0" useAutoFormatting="1" rowGrandTotals="0" colGrandTotals="0" itemPrintTitles="1" createdVersion="1" indent="0" compact="0" compactData="0" gridDropZones="1">
  <location ref="L4:N7" firstHeaderRow="2" firstDataRow="2" firstDataCol="2"/>
  <pivotFields count="28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4">
        <item m="1" x="3"/>
        <item m="1" x="2"/>
        <item x="0"/>
        <item x="1"/>
      </items>
    </pivotField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</pivotFields>
  <rowFields count="2">
    <field x="7"/>
    <field x="6"/>
  </rowFields>
  <rowItems count="2">
    <i>
      <x v="2"/>
      <x v="4"/>
    </i>
    <i>
      <x v="3"/>
      <x v="4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11"/>
  <sheetViews>
    <sheetView zoomScale="85" zoomScaleNormal="85" workbookViewId="0">
      <pane ySplit="9" topLeftCell="A10" activePane="bottomLeft" state="frozen"/>
      <selection pane="bottomLeft" activeCell="M11" sqref="M11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6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5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06315338019480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TPSL -  Terminal Portuário São Luís</v>
      </c>
      <c r="C7" s="10" t="str">
        <f>IFERROR(VLOOKUP(B7,BASE!D2:F10,2,0),"")</f>
        <v>42276907001523</v>
      </c>
      <c r="E7" s="16" t="s">
        <v>43</v>
      </c>
      <c r="F7" s="67" t="s">
        <v>188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5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SANTA ROSA</v>
      </c>
      <c r="B10" s="24" t="s">
        <v>58</v>
      </c>
    </row>
    <row r="11" spans="1:17" x14ac:dyDescent="0.2">
      <c r="A11" s="31" t="s">
        <v>197</v>
      </c>
      <c r="C11" s="19">
        <v>0</v>
      </c>
      <c r="D11" s="19">
        <v>0</v>
      </c>
      <c r="E11" s="19">
        <v>0</v>
      </c>
      <c r="F11" s="66">
        <v>44265</v>
      </c>
      <c r="H11" s="10" t="str">
        <f>MID(A11,4,7)</f>
        <v>0646474</v>
      </c>
      <c r="J11" s="62">
        <v>30120</v>
      </c>
      <c r="K11" s="10">
        <v>0</v>
      </c>
      <c r="L11" s="12">
        <v>9247</v>
      </c>
      <c r="M11" s="12" t="s">
        <v>185</v>
      </c>
      <c r="N11" s="62">
        <v>30120</v>
      </c>
      <c r="O11" s="10" t="s">
        <v>187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zoomScaleNormal="100" workbookViewId="0">
      <selection activeCell="E9" sqref="E9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8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34.7109375" bestFit="1" customWidth="1"/>
    <col min="14" max="15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203</v>
      </c>
      <c r="M1" t="str">
        <f>VLOOKUP(L1,dados!$H:$T,13,0)</f>
        <v>9247</v>
      </c>
    </row>
    <row r="2" spans="1:14" x14ac:dyDescent="0.25">
      <c r="A2" s="30" t="s">
        <v>60</v>
      </c>
      <c r="B2" s="26" t="s">
        <v>61</v>
      </c>
      <c r="D2" s="42" t="s">
        <v>163</v>
      </c>
      <c r="E2" s="44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06315338019480</v>
      </c>
      <c r="M2" s="7" t="str">
        <f>IFERROR(VLOOKUP(L1,dados!$H:$Z,19,0),"")</f>
        <v>TPSL -  Terminal Portuário São Luís</v>
      </c>
    </row>
    <row r="3" spans="1:14" x14ac:dyDescent="0.25">
      <c r="A3" s="30" t="s">
        <v>62</v>
      </c>
      <c r="B3" s="26" t="s">
        <v>63</v>
      </c>
      <c r="D3" s="42" t="s">
        <v>165</v>
      </c>
      <c r="E3" s="45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5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5" t="s">
        <v>170</v>
      </c>
      <c r="F5" s="38"/>
      <c r="H5" s="4" t="s">
        <v>16</v>
      </c>
      <c r="I5" s="1" t="s">
        <v>13</v>
      </c>
      <c r="L5" s="9" t="s">
        <v>27</v>
      </c>
      <c r="M5" s="9" t="s">
        <v>26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5" t="s">
        <v>170</v>
      </c>
      <c r="F6" s="38"/>
      <c r="H6" s="4" t="s">
        <v>19</v>
      </c>
      <c r="I6" s="5" t="s">
        <v>20</v>
      </c>
      <c r="L6" s="28" t="s">
        <v>194</v>
      </c>
      <c r="M6" s="28" t="s">
        <v>193</v>
      </c>
      <c r="N6" s="64">
        <v>1</v>
      </c>
    </row>
    <row r="7" spans="1:14" x14ac:dyDescent="0.25">
      <c r="A7" s="30" t="s">
        <v>70</v>
      </c>
      <c r="B7" s="26" t="s">
        <v>71</v>
      </c>
      <c r="D7" s="59" t="s">
        <v>186</v>
      </c>
      <c r="E7" s="61" t="s">
        <v>189</v>
      </c>
      <c r="F7" s="38"/>
      <c r="H7" s="2" t="s">
        <v>14</v>
      </c>
      <c r="I7" t="s">
        <v>12</v>
      </c>
      <c r="L7" s="36" t="s">
        <v>203</v>
      </c>
      <c r="M7" s="36" t="s">
        <v>193</v>
      </c>
      <c r="N7" s="37">
        <v>1</v>
      </c>
    </row>
    <row r="8" spans="1:14" x14ac:dyDescent="0.25">
      <c r="A8" s="30" t="s">
        <v>72</v>
      </c>
      <c r="B8" s="26" t="s">
        <v>73</v>
      </c>
      <c r="D8" s="68" t="s">
        <v>200</v>
      </c>
      <c r="E8" s="70" t="s">
        <v>166</v>
      </c>
      <c r="F8" s="69"/>
    </row>
    <row r="9" spans="1:14" x14ac:dyDescent="0.25">
      <c r="A9" s="30" t="s">
        <v>74</v>
      </c>
      <c r="B9" s="26" t="s">
        <v>75</v>
      </c>
      <c r="D9" s="39"/>
      <c r="E9" s="47"/>
      <c r="F9" s="38"/>
    </row>
    <row r="10" spans="1:14" x14ac:dyDescent="0.25">
      <c r="A10" s="30" t="s">
        <v>76</v>
      </c>
      <c r="B10" s="26" t="s">
        <v>77</v>
      </c>
      <c r="D10" s="40"/>
      <c r="E10" s="46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9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9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9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9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9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9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9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9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9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9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9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9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9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9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9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9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9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9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9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9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9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9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9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9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9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9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9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9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9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9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9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9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3"/>
  <sheetViews>
    <sheetView tabSelected="1" topLeftCell="W1" workbookViewId="0">
      <selection activeCell="A2" sqref="A2:AB3"/>
    </sheetView>
  </sheetViews>
  <sheetFormatPr defaultColWidth="147.140625" defaultRowHeight="15" x14ac:dyDescent="0.25"/>
  <cols>
    <col min="1" max="1" width="5.42578125" style="6" bestFit="1" customWidth="1"/>
    <col min="2" max="2" width="10.7109375" style="23" bestFit="1" customWidth="1"/>
    <col min="3" max="3" width="5.5703125" bestFit="1" customWidth="1"/>
    <col min="4" max="4" width="20.7109375" bestFit="1" customWidth="1"/>
    <col min="5" max="5" width="5.85546875" bestFit="1" customWidth="1"/>
    <col min="6" max="6" width="5.42578125" bestFit="1" customWidth="1"/>
    <col min="7" max="7" width="44.7109375" bestFit="1" customWidth="1"/>
    <col min="8" max="8" width="18" bestFit="1" customWidth="1"/>
    <col min="9" max="9" width="44.5703125" bestFit="1" customWidth="1"/>
    <col min="10" max="10" width="18" bestFit="1" customWidth="1"/>
    <col min="11" max="11" width="32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7" width="6.5703125" bestFit="1" customWidth="1"/>
    <col min="18" max="20" width="6.42578125" bestFit="1" customWidth="1"/>
    <col min="21" max="21" width="10.140625" bestFit="1" customWidth="1"/>
    <col min="22" max="23" width="6.5703125" bestFit="1" customWidth="1"/>
    <col min="24" max="24" width="46.28515625" bestFit="1" customWidth="1"/>
    <col min="25" max="25" width="44.5703125" bestFit="1" customWidth="1"/>
    <col min="26" max="26" width="4.140625" bestFit="1" customWidth="1"/>
    <col min="27" max="27" width="7" bestFit="1" customWidth="1"/>
    <col min="28" max="28" width="4.140625" bestFit="1" customWidth="1"/>
  </cols>
  <sheetData>
    <row r="1" spans="1:28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50" t="s">
        <v>171</v>
      </c>
      <c r="Q1" s="50" t="s">
        <v>172</v>
      </c>
      <c r="R1" s="50" t="s">
        <v>173</v>
      </c>
      <c r="S1" s="50" t="s">
        <v>174</v>
      </c>
      <c r="T1" s="50" t="s">
        <v>175</v>
      </c>
      <c r="U1" s="50" t="s">
        <v>176</v>
      </c>
      <c r="V1" s="50" t="s">
        <v>177</v>
      </c>
      <c r="W1" s="50" t="s">
        <v>178</v>
      </c>
      <c r="X1" s="50" t="s">
        <v>179</v>
      </c>
      <c r="Y1" s="50" t="s">
        <v>180</v>
      </c>
      <c r="Z1" s="50" t="s">
        <v>181</v>
      </c>
      <c r="AA1" s="50" t="s">
        <v>182</v>
      </c>
      <c r="AB1" s="50" t="s">
        <v>183</v>
      </c>
    </row>
    <row r="2" spans="1:28" ht="30" hidden="1" x14ac:dyDescent="0.25">
      <c r="A2" s="60" t="s">
        <v>190</v>
      </c>
      <c r="B2" s="52">
        <v>44265</v>
      </c>
      <c r="C2" s="53">
        <v>3.5916956018518499E-2</v>
      </c>
      <c r="D2" s="54" t="s">
        <v>191</v>
      </c>
      <c r="E2" s="54" t="s">
        <v>192</v>
      </c>
      <c r="F2" s="54" t="s">
        <v>184</v>
      </c>
      <c r="G2" s="54" t="s">
        <v>193</v>
      </c>
      <c r="H2" s="54" t="s">
        <v>194</v>
      </c>
      <c r="I2" s="54" t="s">
        <v>195</v>
      </c>
      <c r="J2" s="54" t="s">
        <v>194</v>
      </c>
      <c r="K2" s="54" t="s">
        <v>196</v>
      </c>
      <c r="L2" s="54" t="s">
        <v>194</v>
      </c>
      <c r="M2" s="54"/>
      <c r="N2" s="63" t="s">
        <v>197</v>
      </c>
      <c r="O2" s="55">
        <v>124.61499999999999</v>
      </c>
      <c r="P2" s="56">
        <v>29</v>
      </c>
      <c r="Q2" s="56">
        <v>95.614999999999995</v>
      </c>
      <c r="R2" s="57">
        <v>31.46</v>
      </c>
      <c r="S2" s="57" t="s">
        <v>190</v>
      </c>
      <c r="T2" s="58" t="s">
        <v>198</v>
      </c>
      <c r="U2" s="54" t="s">
        <v>185</v>
      </c>
      <c r="V2" s="55">
        <v>38720.400000000001</v>
      </c>
      <c r="W2" s="55">
        <v>31.48</v>
      </c>
      <c r="X2" s="57">
        <v>31.46</v>
      </c>
      <c r="Y2" s="59" t="s">
        <v>199</v>
      </c>
      <c r="Z2" s="59" t="s">
        <v>200</v>
      </c>
      <c r="AA2" s="51" t="s">
        <v>201</v>
      </c>
      <c r="AB2" s="51" t="s">
        <v>202</v>
      </c>
    </row>
    <row r="3" spans="1:28" ht="30" x14ac:dyDescent="0.25">
      <c r="A3" s="60" t="s">
        <v>190</v>
      </c>
      <c r="B3" s="52">
        <v>44265</v>
      </c>
      <c r="C3" s="53">
        <v>3.5916956018518499E-2</v>
      </c>
      <c r="D3" s="54" t="s">
        <v>191</v>
      </c>
      <c r="E3" s="54" t="s">
        <v>192</v>
      </c>
      <c r="F3" s="54" t="s">
        <v>184</v>
      </c>
      <c r="G3" s="54" t="s">
        <v>193</v>
      </c>
      <c r="H3" s="54" t="s">
        <v>203</v>
      </c>
      <c r="I3" s="54" t="s">
        <v>195</v>
      </c>
      <c r="J3" s="54" t="s">
        <v>203</v>
      </c>
      <c r="K3" s="54" t="s">
        <v>196</v>
      </c>
      <c r="L3" s="54" t="s">
        <v>203</v>
      </c>
      <c r="M3" s="54"/>
      <c r="N3" s="63" t="s">
        <v>197</v>
      </c>
      <c r="O3" s="55">
        <v>124.61499999999999</v>
      </c>
      <c r="P3" s="56">
        <v>29</v>
      </c>
      <c r="Q3" s="56">
        <v>95.614999999999995</v>
      </c>
      <c r="R3" s="57">
        <v>35.360999999999997</v>
      </c>
      <c r="S3" s="57" t="s">
        <v>190</v>
      </c>
      <c r="T3" s="58" t="s">
        <v>204</v>
      </c>
      <c r="U3" s="54" t="s">
        <v>185</v>
      </c>
      <c r="V3" s="55">
        <v>37121.4</v>
      </c>
      <c r="W3" s="55">
        <v>30.18</v>
      </c>
      <c r="X3" s="57">
        <v>30.12</v>
      </c>
      <c r="Y3" s="59" t="s">
        <v>205</v>
      </c>
      <c r="Z3" s="59" t="s">
        <v>200</v>
      </c>
      <c r="AA3" s="51" t="s">
        <v>201</v>
      </c>
      <c r="AB3" s="51" t="s">
        <v>206</v>
      </c>
    </row>
  </sheetData>
  <autoFilter ref="A1:AB3" xr:uid="{41236E2A-98C2-4EAB-8DDC-2BD38D41A4F7}">
    <filterColumn colId="7">
      <filters>
        <filter val="06.315.338/0194-80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cp:lastPrinted>2018-12-18T16:33:55Z</cp:lastPrinted>
  <dcterms:created xsi:type="dcterms:W3CDTF">2012-10-02T12:41:35Z</dcterms:created>
  <dcterms:modified xsi:type="dcterms:W3CDTF">2021-05-27T13:02:25Z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