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K:\Dropbox\GobiConsulting\17 - VLI Porto Nacional - Embarque Ferro - Layout SIOP\"/>
    </mc:Choice>
  </mc:AlternateContent>
  <xr:revisionPtr revIDLastSave="0" documentId="13_ncr:1_{9D72DA6D-40B4-46E6-8A27-DB31F0A45421}" xr6:coauthVersionLast="36" xr6:coauthVersionMax="36" xr10:uidLastSave="{00000000-0000-0000-0000-000000000000}"/>
  <bookViews>
    <workbookView xWindow="-120" yWindow="-120" windowWidth="24240" windowHeight="17790" tabRatio="381" activeTab="2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81029"/>
  <pivotCaches>
    <pivotCache cacheId="4" r:id="rId4"/>
  </pivotCaches>
</workbook>
</file>

<file path=xl/calcChain.xml><?xml version="1.0" encoding="utf-8"?>
<calcChain xmlns="http://schemas.openxmlformats.org/spreadsheetml/2006/main">
  <c r="H11" i="12" l="1"/>
  <c r="M2" i="10" l="1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<sst xmlns="http://schemas.openxmlformats.org/spreadsheetml/2006/main" count="774" uniqueCount="211">
  <si>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</si>
  <si>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</si>
  <si>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</si>
  <si>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</si>
  <si>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</si>
  <si>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</si>
  <si>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</si>
  <si>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</si>
  <si>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</si>
  <si>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</si>
  <si>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</si>
  <si>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</si>
  <si>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</si>
  <si>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</si>
  <si>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</si>
  <si>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</si>
  <si>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</si>
  <si>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</si>
  <si>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</si>
  <si>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</si>
  <si>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</si>
  <si>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</si>
  <si>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</si>
  <si>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</si>
  <si>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</si>
  <si>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</si>
  <si>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</si>
  <si>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</si>
  <si>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</si>
  <si>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</si>
  <si>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</si>
  <si>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</si>
  <si>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</si>
  <si>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</si>
  <si>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</si>
  <si>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</si>
  <si>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</si>
  <si>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</si>
  <si>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</si>
  <si>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</si>
  <si>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</si>
  <si>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</si>
  <si>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</si>
  <si>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</si>
  <si>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</si>
  <si>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</si>
  <si>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</si>
  <si>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</si>
  <si>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</si>
  <si>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</si>
  <si>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</si>
  <si>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</si>
  <si>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</si>
  <si>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</si>
  <si>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</si>
  <si>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</si>
  <si>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</si>
  <si>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</si>
  <si>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</si>
  <si>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</si>
  <si>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</si>
  <si>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</si>
  <si>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</si>
  <si>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</si>
  <si>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</si>
  <si>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</si>
  <si>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</si>
  <si>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</si>
  <si>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</si>
  <si>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</si>
  <si>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</si>
  <si>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</si>
  <si>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</si>
  <si>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</si>
  <si>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</si>
  <si>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</si>
  <si>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</si>
  <si>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</si>
  <si>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</si>
  <si>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</si>
  <si>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</si>
  <si>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</si>
  <si>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</si>
  <si>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</si>
  <si>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</si>
  <si>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</si>
  <si>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</si>
  <si>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</si>
  <si>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</si>
  <si>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</si>
  <si>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</si>
  <si>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</si>
  <si>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</si>
  <si>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</si>
  <si>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</si>
  <si>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</si>
  <si>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</si>
  <si>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</si>
  <si>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</si>
  <si>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</si>
  <si>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</si>
  <si>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</si>
  <si>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</si>
  <si>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</si>
  <si>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</si>
  <si>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</si>
  <si>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</si>
  <si>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</si>
  <si>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</si>
  <si>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</si>
  <si>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</si>
  <si>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</si>
  <si>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</si>
  <si>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</si>
  <si>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</si>
  <si>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</si>
  <si>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</si>
  <si>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</si>
  <si>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</si>
  <si>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</si>
  <si>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</si>
  <si>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</si>
  <si>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</si>
  <si>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</si>
  <si>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</si>
  <si>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</si>
  <si>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</si>
  <si>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</si>
  <si>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</si>
  <si>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</si>
  <si>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</si>
  <si>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</si>
  <si>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</si>
  <si>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</si>
  <si>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</si>
  <si>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</si>
  <si>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</si>
  <si>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</si>
  <si>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</si>
  <si>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</si>
  <si>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</si>
  <si>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</si>
  <si>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</si>
  <si>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</si>
  <si>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</si>
  <si>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</si>
  <si>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</si>
  <si>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</si>
  <si>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</si>
  <si>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</si>
  <si>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</si>
  <si>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</si>
  <si>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</si>
  <si>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</si>
  <si>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</si>
  <si>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</si>
  <si>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</si>
  <si>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</si>
  <si>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</si>
  <si>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</si>
  <si>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</si>
  <si>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</si>
  <si>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</si>
  <si>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</si>
  <si>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</si>
  <si>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</si>
  <si>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</si>
  <si>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</si>
  <si>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</si>
  <si>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</si>
  <si>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</si>
  <si>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</si>
  <si>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</si>
  <si>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</si>
  <si>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</si>
  <si>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</si>
  <si>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</si>
  <si>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</si>
  <si>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</si>
  <si>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</si>
  <si>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</si>
  <si>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</si>
  <si>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</si>
  <si>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</si>
  <si>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</si>
  <si>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</si>
  <si>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</si>
  <si>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</si>
  <si>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02.476.026/0008-02</t>
  </si>
  <si>
    <t>COFCO INTERNATIONAL BRASIL S.A.</t>
  </si>
  <si>
    <t>Vitória ES - Tubarão</t>
  </si>
  <si>
    <t>C29</t>
  </si>
  <si>
    <t>33.592.510/0021-06</t>
  </si>
  <si>
    <t>TIPN</t>
  </si>
  <si>
    <t>20210309-TIPN-000119</t>
  </si>
  <si>
    <t>J-117</t>
  </si>
  <si>
    <t xml:space="preserve">COFCO INTERNATIONAL BRASIL S.A. - </t>
  </si>
  <si>
    <t>06.315.338/0193-08</t>
  </si>
  <si>
    <t xml:space="preserve">COFCO INTERNATIONAL BRASIL S A - </t>
  </si>
  <si>
    <t>HFT0646474</t>
  </si>
  <si>
    <t>5760</t>
  </si>
  <si>
    <t>17210206315338019308550010000057601485969106</t>
  </si>
  <si>
    <t>TPSL -  Terminal Portuário São Luís</t>
  </si>
  <si>
    <t>400</t>
  </si>
  <si>
    <t>332591</t>
  </si>
  <si>
    <t>17210309257877000218570010003390121439992926</t>
  </si>
  <si>
    <t>06.315.338/0194-80</t>
  </si>
  <si>
    <t>9247</t>
  </si>
  <si>
    <t>17210306315338019480550010000092471457579545</t>
  </si>
  <si>
    <t>332584</t>
  </si>
  <si>
    <t>17210309257877000218570010003390171116951795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</si>
</sst>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8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9" fontId="13" fillId="0" borderId="0" xfId="7" applyNumberFormat="1"/>
    <xf numFmtId="0" fontId="0" fillId="7" borderId="8" xfId="0" applyNumberFormat="1" applyFont="1" applyFill="1" applyBorder="1" applyProtection="1"/>
    <xf numFmtId="14" fontId="0" fillId="7" borderId="8" xfId="0" applyNumberFormat="1" applyFont="1" applyFill="1" applyBorder="1" applyAlignment="1" applyProtection="1">
      <alignment wrapText="1"/>
    </xf>
    <xf numFmtId="20" fontId="0" fillId="7" borderId="8" xfId="0" applyNumberFormat="1" applyFont="1" applyFill="1" applyBorder="1" applyAlignment="1" applyProtection="1">
      <alignment wrapText="1"/>
    </xf>
    <xf numFmtId="0" fontId="0" fillId="7" borderId="8" xfId="0" applyNumberFormat="1" applyFont="1" applyFill="1" applyBorder="1" applyAlignment="1" applyProtection="1">
      <alignment horizontal="right" wrapText="1"/>
    </xf>
    <xf numFmtId="167" fontId="0" fillId="7" borderId="8" xfId="0" applyNumberFormat="1" applyFont="1" applyFill="1" applyBorder="1" applyAlignment="1" applyProtection="1">
      <alignment horizontal="right" wrapText="1"/>
    </xf>
    <xf numFmtId="167" fontId="0" fillId="7" borderId="8" xfId="0" applyNumberFormat="1" applyFont="1" applyFill="1" applyBorder="1" applyAlignment="1" applyProtection="1">
      <alignment wrapText="1"/>
    </xf>
    <xf numFmtId="168" fontId="0" fillId="7" borderId="8" xfId="0" applyNumberFormat="1" applyFont="1" applyFill="1" applyBorder="1" applyAlignment="1" applyProtection="1">
      <alignment horizontal="right" wrapText="1"/>
    </xf>
    <xf numFmtId="49" fontId="0" fillId="7" borderId="8" xfId="0" applyNumberFormat="1" applyFont="1" applyFill="1" applyBorder="1" applyAlignment="1" applyProtection="1">
      <alignment horizontal="right" wrapText="1"/>
    </xf>
    <xf numFmtId="49" fontId="0" fillId="7" borderId="8" xfId="0" applyNumberFormat="1" applyFont="1" applyFill="1" applyBorder="1" applyAlignment="1" applyProtection="1">
      <alignment horizontal="right"/>
    </xf>
    <xf numFmtId="1" fontId="0" fillId="7" borderId="8" xfId="0" applyNumberFormat="1" applyFont="1" applyFill="1" applyBorder="1" applyProtection="1"/>
    <xf numFmtId="0" fontId="0" fillId="0" borderId="2" xfId="0" applyNumberFormat="1" applyBorder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8" borderId="0" xfId="0" applyNumberFormat="1" applyFont="1" applyFill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" refreshedDate="44344.491075694445" createdVersion="6" refreshedVersion="6" minRefreshableVersion="3" recordCount="2" xr:uid="{00000000-000A-0000-FFFF-FFFF43000000}">
  <cacheSource type="worksheet">
    <worksheetSource name="=tbl_dinamica"/>
  </cacheSource>
  <cacheFields count="29">
    <cacheField name="C1" numFmtId="0">
      <sharedItems/>
    </cacheField>
    <cacheField name="C2" numFmtId="14">
      <sharedItems containsSemiMixedTypes="0" containsNonDate="0" containsDate="1" containsString="0" minDate="2021-03-10T00:00:00" maxDate="2021-03-11T00:00:00"/>
    </cacheField>
    <cacheField name="C3" numFmtId="20">
      <sharedItems containsSemiMixedTypes="0" containsNonDate="0" containsDate="1" containsString="0" minDate="1899-12-30T00:51:43" maxDate="1899-12-30T00:51:4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5">
        <s v="COFCO INTERNATIONAL BRASIL S.A. - "/>
        <s v="06.315.338/0181-66" u="1"/>
        <s v="COFCO INTERNATIONAL BRASIL S.A. - UBERLANDIA" u="1"/>
        <s v="COFCO BRASIL S.A. - JATAI" u="1"/>
        <s v="COFCO INTERNATIONAL BRASIL S.A - CANARANA" u="1"/>
      </sharedItems>
    </cacheField>
    <cacheField name="C8" numFmtId="0">
      <sharedItems count="5">
        <s v="06.315.338/0193-08"/>
        <s v="06.315.338/0194-80"/>
        <s v="06.315.338/0181-66" u="1"/>
        <s v="06.315.338/0177-80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4.61499999999999" maxValue="124.61499999999999"/>
    </cacheField>
    <cacheField name="C16" numFmtId="167">
      <sharedItems containsSemiMixedTypes="0" containsString="0" containsNumber="1" containsInteger="1" minValue="29" maxValue="29"/>
    </cacheField>
    <cacheField name="C17" numFmtId="167">
      <sharedItems containsSemiMixedTypes="0" containsString="0" containsNumber="1" minValue="95.614999999999995" maxValue="95.614999999999995"/>
    </cacheField>
    <cacheField name="C18" numFmtId="168">
      <sharedItems containsSemiMixedTypes="0" containsString="0" containsNumber="1" minValue="31.46" maxValue="35.360999999999997"/>
    </cacheField>
    <cacheField name="C19" numFmtId="168">
      <sharedItems/>
    </cacheField>
    <cacheField name="C20" numFmtId="49">
      <sharedItems/>
    </cacheField>
    <cacheField name="C21" numFmtId="0">
      <sharedItems/>
    </cacheField>
    <cacheField name="C22" numFmtId="167">
      <sharedItems containsSemiMixedTypes="0" containsString="0" containsNumber="1" minValue="37121.4" maxValue="38720.400000000001"/>
    </cacheField>
    <cacheField name="C23" numFmtId="167">
      <sharedItems containsSemiMixedTypes="0" containsString="0" containsNumber="1" minValue="30.18" maxValue="31.48"/>
    </cacheField>
    <cacheField name="C24" numFmtId="168">
      <sharedItems containsSemiMixedTypes="0" containsString="0" containsNumber="1" minValue="30.12" maxValue="31.46"/>
    </cacheField>
    <cacheField name="C25" numFmtId="49">
      <sharedItems/>
    </cacheField>
    <cacheField name="C26" numFmtId="49">
      <sharedItems/>
    </cacheField>
    <cacheField name="C27" numFmtId="0">
      <sharedItems/>
    </cacheField>
    <cacheField name="C28" numFmtId="0">
      <sharedItems/>
    </cacheField>
    <cacheField name="C29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TIPN"/>
    <d v="2021-03-10T00:00:00"/>
    <d v="1899-12-30T00:51:43"/>
    <s v="20210309-TIPN-000119"/>
    <s v="J-117"/>
    <s v="Soja"/>
    <x v="0"/>
    <x v="0"/>
    <s v="COFCO INTERNATIONAL BRASIL S A - "/>
    <s v="06.315.338/0193-08"/>
    <s v="COFCO INTERNATIONAL BRASIL S.A."/>
    <s v="06.315.338/0193-08"/>
    <m/>
    <s v="HFT0646474"/>
    <n v="124.61499999999999"/>
    <n v="29"/>
    <n v="95.614999999999995"/>
    <n v="31.46"/>
    <s v="TIPN"/>
    <s v="5760"/>
    <s v="1"/>
    <n v="38720.400000000001"/>
    <n v="31.48"/>
    <n v="31.46"/>
    <s v="17210206315338019308550010000057601485969106"/>
    <s v="TPSL -  Terminal Portuário São Luís"/>
    <s v="400"/>
    <s v="332591"/>
    <s v="17210309257877000218570010003390121439992926"/>
  </r>
  <r>
    <s v="TIPN"/>
    <d v="2021-03-10T00:00:00"/>
    <d v="1899-12-30T00:51:43"/>
    <s v="20210309-TIPN-000119"/>
    <s v="J-117"/>
    <s v="Soja"/>
    <x v="0"/>
    <x v="1"/>
    <s v="COFCO INTERNATIONAL BRASIL S A - "/>
    <s v="06.315.338/0194-80"/>
    <s v="COFCO INTERNATIONAL BRASIL S.A."/>
    <s v="06.315.338/0194-80"/>
    <m/>
    <s v="HFT0646474"/>
    <n v="124.61499999999999"/>
    <n v="29"/>
    <n v="95.614999999999995"/>
    <n v="35.360999999999997"/>
    <s v="TIPN"/>
    <s v="9247"/>
    <s v="1"/>
    <n v="37121.4"/>
    <n v="30.18"/>
    <n v="30.12"/>
    <s v="17210306315338019480550010000092471457579545"/>
    <s v="TPSL -  Terminal Portuário São Luís"/>
    <s v="400"/>
    <s v="332584"/>
    <s v="172103092578770002185700100033901711169517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4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7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3"/>
        <item m="1" x="2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5">
        <item m="1" x="4"/>
        <item m="1" x="2"/>
        <item m="1" x="3"/>
        <item x="0"/>
        <item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7"/>
    <field x="6"/>
  </rowFields>
  <rowItems count="2">
    <i>
      <x v="3"/>
      <x v="4"/>
    </i>
    <i>
      <x v="4"/>
      <x v="4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1"/>
  <sheetViews>
    <sheetView zoomScale="85" zoomScaleNormal="85" workbookViewId="0">
      <pane ySplit="9" topLeftCell="A10" activePane="bottomLeft" state="frozen"/>
      <selection pane="bottomLeft" activeCell="M11" sqref="M1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6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5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06315338019480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17210306315338019480550010000092471457579545</v>
      </c>
      <c r="C7" s="10" t="str">
        <f>IFERROR(VLOOKUP(B7,BASE!D2:F10,2,0),"")</f>
        <v/>
      </c>
      <c r="E7" s="16" t="s">
        <v>43</v>
      </c>
      <c r="F7" s="67" t="s">
        <v>12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5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SANTA ROSA</v>
      </c>
      <c r="B10" s="24" t="s">
        <v>58</v>
      </c>
    </row>
    <row r="11" spans="1:17" x14ac:dyDescent="0.2">
      <c r="A11" s="31" t="s">
        <v>199</v>
      </c>
      <c r="C11" s="19">
        <v>0</v>
      </c>
      <c r="D11" s="19">
        <v>0</v>
      </c>
      <c r="E11" s="19">
        <v>0</v>
      </c>
      <c r="F11" s="66">
        <v>44265</v>
      </c>
      <c r="H11" s="10" t="str">
        <f>MID(A11,4,7)</f>
        <v>0646474</v>
      </c>
      <c r="J11" s="53">
        <v>30120</v>
      </c>
      <c r="K11" s="10">
        <v>0</v>
      </c>
      <c r="L11" s="12">
        <v>9247</v>
      </c>
      <c r="M11" s="12" t="s">
        <v>185</v>
      </c>
      <c r="N11" s="53">
        <v>30120</v>
      </c>
      <c r="O11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E8" sqref="E8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3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206</v>
      </c>
      <c r="M1" t="str">
        <f>VLOOKUP(L1,dados!$H:$T,13,0)</f>
        <v>9247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06315338019480</v>
      </c>
      <c r="M2" s="7" t="str">
        <f>IFERROR(VLOOKUP(L1,dados!$H:$Y,18,0),"")</f>
        <v>17210306315338019480550010000092471457579545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28" t="s">
        <v>197</v>
      </c>
      <c r="M6" s="28" t="s">
        <v>196</v>
      </c>
      <c r="N6" s="64">
        <v>1</v>
      </c>
    </row>
    <row r="7" spans="1:14" x14ac:dyDescent="0.25">
      <c r="A7" s="30" t="s">
        <v>70</v>
      </c>
      <c r="B7" s="26" t="s">
        <v>71</v>
      </c>
      <c r="D7" s="51" t="s">
        <v>186</v>
      </c>
      <c r="E7" s="52" t="s">
        <v>188</v>
      </c>
      <c r="F7" s="38"/>
      <c r="H7" s="2" t="s">
        <v>14</v>
      </c>
      <c r="I7" t="s">
        <v>12</v>
      </c>
      <c r="L7" s="36" t="s">
        <v>206</v>
      </c>
      <c r="M7" s="36" t="s">
        <v>196</v>
      </c>
      <c r="N7" s="37">
        <v>1</v>
      </c>
    </row>
    <row r="8" spans="1:14" x14ac:dyDescent="0.25">
      <c r="A8" s="30" t="s">
        <v>72</v>
      </c>
      <c r="B8" s="26" t="s">
        <v>73</v>
      </c>
      <c r="D8" s="39" t="s">
        <v>190</v>
      </c>
      <c r="E8" s="47" t="s">
        <v>192</v>
      </c>
      <c r="F8" s="38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abSelected="1" topLeftCell="L1" workbookViewId="0">
      <selection activeCell="A2" sqref="A2:AC3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  <c r="AC1" s="50" t="s">
        <v>191</v>
      </c>
    </row>
    <row r="2" spans="1:29" ht="30" hidden="1" x14ac:dyDescent="0.25">
      <c r="A2" s="63" t="s">
        <v>193</v>
      </c>
      <c r="B2" s="55">
        <v>44265</v>
      </c>
      <c r="C2" s="56">
        <v>3.5916956018518499E-2</v>
      </c>
      <c r="D2" s="57" t="s">
        <v>194</v>
      </c>
      <c r="E2" s="57" t="s">
        <v>195</v>
      </c>
      <c r="F2" s="57" t="s">
        <v>184</v>
      </c>
      <c r="G2" s="57" t="s">
        <v>196</v>
      </c>
      <c r="H2" s="57" t="s">
        <v>197</v>
      </c>
      <c r="I2" s="57" t="s">
        <v>198</v>
      </c>
      <c r="J2" s="57" t="s">
        <v>197</v>
      </c>
      <c r="K2" s="57" t="s">
        <v>189</v>
      </c>
      <c r="L2" s="57" t="s">
        <v>197</v>
      </c>
      <c r="M2" s="57"/>
      <c r="N2" s="57" t="s">
        <v>199</v>
      </c>
      <c r="O2" s="58">
        <v>124.61499999999999</v>
      </c>
      <c r="P2" s="59">
        <v>29</v>
      </c>
      <c r="Q2" s="59">
        <v>95.614999999999995</v>
      </c>
      <c r="R2" s="60">
        <v>31.46</v>
      </c>
      <c r="S2" s="60" t="s">
        <v>193</v>
      </c>
      <c r="T2" s="61" t="s">
        <v>200</v>
      </c>
      <c r="U2" s="57" t="s">
        <v>185</v>
      </c>
      <c r="V2" s="58">
        <v>38720.400000000001</v>
      </c>
      <c r="W2" s="58">
        <v>31.48</v>
      </c>
      <c r="X2" s="60">
        <v>31.46</v>
      </c>
      <c r="Y2" s="62" t="s">
        <v>201</v>
      </c>
      <c r="Z2" s="62" t="s">
        <v>202</v>
      </c>
      <c r="AA2" s="54" t="s">
        <v>203</v>
      </c>
      <c r="AB2" s="54" t="s">
        <v>204</v>
      </c>
      <c r="AC2" s="54" t="s">
        <v>205</v>
      </c>
    </row>
    <row r="3" spans="1:29" ht="30" x14ac:dyDescent="0.25">
      <c r="A3" s="63" t="s">
        <v>193</v>
      </c>
      <c r="B3" s="55">
        <v>44265</v>
      </c>
      <c r="C3" s="56">
        <v>3.5916956018518499E-2</v>
      </c>
      <c r="D3" s="57" t="s">
        <v>194</v>
      </c>
      <c r="E3" s="57" t="s">
        <v>195</v>
      </c>
      <c r="F3" s="57" t="s">
        <v>184</v>
      </c>
      <c r="G3" s="57" t="s">
        <v>196</v>
      </c>
      <c r="H3" s="57" t="s">
        <v>206</v>
      </c>
      <c r="I3" s="57" t="s">
        <v>198</v>
      </c>
      <c r="J3" s="57" t="s">
        <v>206</v>
      </c>
      <c r="K3" s="57" t="s">
        <v>189</v>
      </c>
      <c r="L3" s="57" t="s">
        <v>206</v>
      </c>
      <c r="M3" s="57"/>
      <c r="N3" s="57" t="s">
        <v>199</v>
      </c>
      <c r="O3" s="58">
        <v>124.61499999999999</v>
      </c>
      <c r="P3" s="59">
        <v>29</v>
      </c>
      <c r="Q3" s="59">
        <v>95.614999999999995</v>
      </c>
      <c r="R3" s="60">
        <v>35.360999999999997</v>
      </c>
      <c r="S3" s="60" t="s">
        <v>193</v>
      </c>
      <c r="T3" s="61" t="s">
        <v>207</v>
      </c>
      <c r="U3" s="57" t="s">
        <v>185</v>
      </c>
      <c r="V3" s="58">
        <v>37121.4</v>
      </c>
      <c r="W3" s="58">
        <v>30.18</v>
      </c>
      <c r="X3" s="60">
        <v>30.12</v>
      </c>
      <c r="Y3" s="62" t="s">
        <v>208</v>
      </c>
      <c r="Z3" s="62" t="s">
        <v>202</v>
      </c>
      <c r="AA3" s="54" t="s">
        <v>203</v>
      </c>
      <c r="AB3" s="54" t="s">
        <v>209</v>
      </c>
      <c r="AC3" s="54" t="s">
        <v>210</v>
      </c>
    </row>
    <row r="4" spans="1:29" hidden="1" x14ac:dyDescent="0.25"/>
    <row r="5" spans="1:29" hidden="1" x14ac:dyDescent="0.25"/>
    <row r="6" spans="1:29" hidden="1" x14ac:dyDescent="0.25"/>
    <row r="7" spans="1:29" hidden="1" x14ac:dyDescent="0.25"/>
    <row r="8" spans="1:29" hidden="1" x14ac:dyDescent="0.25"/>
    <row r="9" spans="1:29" hidden="1" x14ac:dyDescent="0.25"/>
    <row r="10" spans="1:29" hidden="1" x14ac:dyDescent="0.25"/>
    <row r="11" spans="1:29" hidden="1" x14ac:dyDescent="0.25"/>
    <row r="12" spans="1:29" hidden="1" x14ac:dyDescent="0.25"/>
    <row r="13" spans="1:29" hidden="1" x14ac:dyDescent="0.25"/>
    <row r="14" spans="1:29" hidden="1" x14ac:dyDescent="0.25"/>
    <row r="15" spans="1:29" hidden="1" x14ac:dyDescent="0.25"/>
    <row r="16" spans="1:29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C3957C95-7BF7-40B2-BC07-3B52260F143E}">
    <filterColumn colId="7">
      <filters>
        <filter val="06.315.338/0194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Alexandre</cp:lastModifiedBy>
  <cp:lastPrinted>2018-12-18T16:33:55Z</cp:lastPrinted>
  <dcterms:created xsi:type="dcterms:W3CDTF">2012-10-02T12:41:35Z</dcterms:created>
  <dcterms:modified xsi:type="dcterms:W3CDTF">2021-05-28T14:47:48Z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