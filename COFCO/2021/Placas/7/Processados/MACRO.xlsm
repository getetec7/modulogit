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JETOS\GOBI\COFCO\2021\Placas\7\"/>
    </mc:Choice>
  </mc:AlternateContent>
  <xr:revisionPtr revIDLastSave="0" documentId="13_ncr:1_{C6E6BD0F-09A4-46D1-8C45-9CC17FE4FF4F}" xr6:coauthVersionLast="47" xr6:coauthVersionMax="47" xr10:uidLastSave="{00000000-0000-0000-0000-000000000000}"/>
  <bookViews>
    <workbookView xWindow="-120" yWindow="-120" windowWidth="24240" windowHeight="17790" xr2:uid="{00000000-000D-0000-FFFF-FFFF00000000}"/>
  </bookViews>
  <sheets>
    <sheet name="Report" sheetId="1" r:id="rId1"/>
    <sheet name="FILTRO" sheetId="4" r:id="rId2"/>
    <sheet name="BASE" sheetId="3" r:id="rId3"/>
    <sheet name="LAYOUT" sheetId="2" r:id="rId4"/>
    <sheet name="Executa" sheetId="5" r:id="rId5"/>
  </sheets>
  <functionGroups builtInGroupCount="19"/>
  <definedNames>
    <definedName name="_xlnm._FilterDatabase" localSheetId="1" hidden="1">FILTRO!$A$1:$AD$1</definedName>
    <definedName name="lista_Valores">OFFSET(FILTRO!$A$1,0,0,COUNTA(FILTRO!$A:$A),COUNTA(FILTRO!$1:$1))</definedName>
  </definedNames>
  <calcPr calcId="191029"/>
  <pivotCaches>
    <pivotCache cacheId="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" i="4" l="1"/>
  <c r="C7" i="2"/>
  <c r="C12" i="3" l="1"/>
  <c r="C11" i="3" l="1"/>
  <c r="C10" i="3" l="1"/>
  <c r="B10" i="2" l="1"/>
  <c r="A10" i="2" s="1"/>
  <c r="C4" i="2" l="1"/>
  <c r="C3" i="3" l="1"/>
  <c r="C4" i="3"/>
  <c r="C5" i="3"/>
  <c r="C6" i="3"/>
  <c r="C7" i="3"/>
  <c r="C8" i="3"/>
  <c r="C9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H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C7" authorId="0" shapeId="0" xr:uid="{C57454E5-064A-4EFF-B029-533762437FE1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<sst xmlns="http://schemas.openxmlformats.org/spreadsheetml/2006/main" count="258" uniqueCount="207">
  <si>
    <t>Documento</t>
  </si>
  <si>
    <t>CNPJ</t>
  </si>
  <si>
    <t>FILIAL</t>
  </si>
  <si>
    <t>DESTINO</t>
  </si>
  <si>
    <t>TBO</t>
  </si>
  <si>
    <t>ADM - SANTOS</t>
  </si>
  <si>
    <t>02.003.402/0007-60</t>
  </si>
  <si>
    <t>56.216.872/0001-46</t>
  </si>
  <si>
    <t>ALL-TERMINAL RONDO</t>
  </si>
  <si>
    <t>soja</t>
  </si>
  <si>
    <t>TERM.XXXIX</t>
  </si>
  <si>
    <t>04.244.527/0001-12</t>
  </si>
  <si>
    <t>milho</t>
  </si>
  <si>
    <t>TERM. GRANEIS GUARUJA</t>
  </si>
  <si>
    <t>05.527.694/0001-33</t>
  </si>
  <si>
    <t>TEG</t>
  </si>
  <si>
    <t>09.079.434/0001-01</t>
  </si>
  <si>
    <t>25.278.404/0001-72</t>
  </si>
  <si>
    <t>02.933.023/0002-65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</si>
  <si>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</si>
  <si>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</si>
  <si>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</si>
  <si>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</si>
  <si>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</si>
  <si>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</si>
  <si>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</si>
  <si>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</si>
  <si>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</si>
  <si>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</si>
  <si>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</si>
  <si>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</si>
  <si>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</si>
  <si>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</si>
  <si>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</si>
  <si>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</si>
  <si>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</si>
  <si>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</si>
  <si>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</si>
  <si>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</si>
  <si>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</si>
  <si>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</si>
  <si>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C24</t>
  </si>
  <si>
    <t>C23</t>
  </si>
  <si>
    <t>C25</t>
  </si>
  <si>
    <t>S I S P A T</t>
  </si>
  <si>
    <t>Rateio de Transbordo</t>
  </si>
  <si>
    <t>Contrato:</t>
  </si>
  <si>
    <t>Cliente:</t>
  </si>
  <si>
    <t>Origem:</t>
  </si>
  <si>
    <t>Destino:</t>
  </si>
  <si>
    <t>Produto:</t>
  </si>
  <si>
    <t>Vagão</t>
  </si>
  <si>
    <t>Bruto</t>
  </si>
  <si>
    <t>Tara</t>
  </si>
  <si>
    <t>Líquido</t>
  </si>
  <si>
    <t>Data Saída</t>
  </si>
  <si>
    <t>Fluxo</t>
  </si>
  <si>
    <t>DCL</t>
  </si>
  <si>
    <t>Peso</t>
  </si>
  <si>
    <t>29332398000579</t>
  </si>
  <si>
    <t>29332398000811</t>
  </si>
  <si>
    <t>29332398000307</t>
  </si>
  <si>
    <t>29332398000498</t>
  </si>
  <si>
    <t>06315338000208</t>
  </si>
  <si>
    <t>06315338001190</t>
  </si>
  <si>
    <t>06315338001000</t>
  </si>
  <si>
    <t>06315338001352</t>
  </si>
  <si>
    <t>06315338000976</t>
  </si>
  <si>
    <t>06315338002677</t>
  </si>
  <si>
    <t>06315338005005</t>
  </si>
  <si>
    <t>06315338002596</t>
  </si>
  <si>
    <t>06315338003134</t>
  </si>
  <si>
    <t>06315338002758</t>
  </si>
  <si>
    <t>06315338016546</t>
  </si>
  <si>
    <t>06315338017003</t>
  </si>
  <si>
    <t>06315338017518</t>
  </si>
  <si>
    <t>29332398000226</t>
  </si>
  <si>
    <t>29332398001036</t>
  </si>
  <si>
    <t>29332398001389</t>
  </si>
  <si>
    <t>29332398000730</t>
  </si>
  <si>
    <t>inativa</t>
  </si>
  <si>
    <t>NOBLE - 4</t>
  </si>
  <si>
    <t>NOBLE - 5</t>
  </si>
  <si>
    <t>NOBLE - 6</t>
  </si>
  <si>
    <t>NOBLE - 9</t>
  </si>
  <si>
    <t>NOBLE - 1</t>
  </si>
  <si>
    <t>NOBLE - 30</t>
  </si>
  <si>
    <t>NOBLE - 2</t>
  </si>
  <si>
    <t>NOBLE - 3</t>
  </si>
  <si>
    <t>NOBLE - 7</t>
  </si>
  <si>
    <t>NOBLE - 8</t>
  </si>
  <si>
    <t>NOBLE - 11</t>
  </si>
  <si>
    <t>NOBLE - 10</t>
  </si>
  <si>
    <t>NOBLE - 12</t>
  </si>
  <si>
    <t>NOBLE - 09</t>
  </si>
  <si>
    <t>NOBLE - 13</t>
  </si>
  <si>
    <t>NOBLE - 14</t>
  </si>
  <si>
    <t>NOBLE - 15</t>
  </si>
  <si>
    <t>NOBLE - 16</t>
  </si>
  <si>
    <t>NOBLE - 17</t>
  </si>
  <si>
    <t>NOBLE - 18</t>
  </si>
  <si>
    <t>NOBLE - 19</t>
  </si>
  <si>
    <t>NOBLE - 21</t>
  </si>
  <si>
    <t>NOBLE - 22</t>
  </si>
  <si>
    <t>NOBLE - 23</t>
  </si>
  <si>
    <t>INTERALLI</t>
  </si>
  <si>
    <t>04.731.861/0001-09</t>
  </si>
  <si>
    <t>T GRAOS</t>
  </si>
  <si>
    <t>24962466001108</t>
  </si>
  <si>
    <t>ALL-TRANSP</t>
  </si>
  <si>
    <t>24962466000136</t>
  </si>
  <si>
    <t xml:space="preserve"> </t>
  </si>
  <si>
    <t>16/10/2012 20:19:41</t>
  </si>
  <si>
    <t xml:space="preserve">Contrato: NOBLT39-AC -  De 01/10/2012 00:00:01 até 10/10/2012 23:59:59 / </t>
  </si>
  <si>
    <t>Página 1 de 2</t>
  </si>
  <si>
    <t>NOBLT39-AC</t>
  </si>
  <si>
    <t>NOBLE</t>
  </si>
  <si>
    <t xml:space="preserve">NOBLE - </t>
  </si>
  <si>
    <t>Transportadora:</t>
  </si>
  <si>
    <t>24.962.466/0001-36</t>
  </si>
  <si>
    <t>SOJA EM GRAOS-Transbordo</t>
  </si>
  <si>
    <t>Valor</t>
  </si>
  <si>
    <t>Total/Parcial</t>
  </si>
  <si>
    <t>A</t>
  </si>
  <si>
    <t>06315338000119</t>
  </si>
  <si>
    <t>06315338000380</t>
  </si>
  <si>
    <t>06315338000623</t>
  </si>
  <si>
    <t>06315338000542</t>
  </si>
  <si>
    <t>06315338001514</t>
  </si>
  <si>
    <t>06315338001603</t>
  </si>
  <si>
    <t>06315338001786</t>
  </si>
  <si>
    <t>06315338001948</t>
  </si>
  <si>
    <t>06315338002839</t>
  </si>
  <si>
    <t>06315338000269</t>
  </si>
  <si>
    <t>06315338003053</t>
  </si>
  <si>
    <t>06315338016465</t>
  </si>
  <si>
    <t>06315338016708</t>
  </si>
  <si>
    <t>06315338016970</t>
  </si>
  <si>
    <t>06315338017194</t>
  </si>
  <si>
    <t>06315338017275</t>
  </si>
  <si>
    <t>06315338017356</t>
  </si>
  <si>
    <t>06315338017437</t>
  </si>
  <si>
    <t>06315338017607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</si>
  <si>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</si>
  <si>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</si>
  <si>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</si>
  <si>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</si>
  <si>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</si>
  <si>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</si>
  <si>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</si>
  <si>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</si>
  <si>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06315338020225</t>
  </si>
  <si>
    <t>06315338019308</t>
  </si>
  <si>
    <t>06315338019480</t>
  </si>
  <si>
    <t>06315338017780</t>
  </si>
  <si>
    <t>INFORMAR NOBLE</t>
  </si>
  <si>
    <t>ELEVACOES PORTUARIAS S/A</t>
  </si>
  <si>
    <t>TERMINAL 12 A S.A.</t>
  </si>
  <si>
    <t>C26</t>
  </si>
  <si>
    <t>C27</t>
  </si>
  <si>
    <t>C28</t>
  </si>
  <si>
    <t>C29</t>
  </si>
  <si>
    <t>COMPANHIA AUXILIAR DE ARMAZENS GERAIS</t>
  </si>
  <si>
    <t>61.145.488/0003-00</t>
  </si>
  <si>
    <t xml:space="preserve">Busca Pelo "Destino" </t>
  </si>
  <si>
    <t>T GRAO CARGO TERMINAL DE GRANEIS S.A</t>
  </si>
  <si>
    <t>TERMINAIS DE GRANEIS DO GUARUJA</t>
  </si>
  <si>
    <t>06315338020659</t>
  </si>
  <si>
    <t>COFCO/MILHO/TRO-TGGTRO - RONDONOPOLIS</t>
  </si>
  <si>
    <t>ROMANEIO</t>
  </si>
  <si>
    <t>PRODUTO</t>
  </si>
  <si>
    <t>TRANSGENIA</t>
  </si>
  <si>
    <t>DOCUMENTO DO DEPOSITANTE</t>
  </si>
  <si>
    <t>DEPOSITANTE</t>
  </si>
  <si>
    <t>PRODUTOR</t>
  </si>
  <si>
    <t>PLACA/VAGÃO</t>
  </si>
  <si>
    <t>OPERAÇÃO</t>
  </si>
  <si>
    <t>TIPO</t>
  </si>
  <si>
    <t>SAFRA</t>
  </si>
  <si>
    <t>DATA DE MOVIMENTAÇÃO</t>
  </si>
  <si>
    <t>PESO BRUTO</t>
  </si>
  <si>
    <t>PESO TARA</t>
  </si>
  <si>
    <t>LÍQUIDO ÚMIDO</t>
  </si>
  <si>
    <t>LÍQUIDO SECO</t>
  </si>
  <si>
    <t>MODELO</t>
  </si>
  <si>
    <t>SÉRIE</t>
  </si>
  <si>
    <t>NÚMERO NF</t>
  </si>
  <si>
    <t>PESO NF</t>
  </si>
  <si>
    <t>NOVAAGRI PIRAPORA</t>
  </si>
  <si>
    <t>SOJA EM GRAOS</t>
  </si>
  <si>
    <t>RR2 Declarado</t>
  </si>
  <si>
    <t>06.315.338/0177-80</t>
  </si>
  <si>
    <t>COFCO UBERLANDIA</t>
  </si>
  <si>
    <t>VLI</t>
  </si>
  <si>
    <t>HOO-4368</t>
  </si>
  <si>
    <t>TRANSBORDO ENTRADA</t>
  </si>
  <si>
    <t>E</t>
  </si>
  <si>
    <t>19/20</t>
  </si>
  <si>
    <t>19/02/2020 16:35</t>
  </si>
  <si>
    <t>55</t>
  </si>
  <si>
    <t>1</t>
  </si>
  <si>
    <t>Não Informado</t>
  </si>
  <si>
    <t>HFD-607671-8</t>
  </si>
  <si>
    <t>TRANSBORDO SAÍDA</t>
  </si>
  <si>
    <t>S</t>
  </si>
  <si>
    <t>20/03/2020 00:00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</si>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</sst>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7" formatCode="[$-10409]#,##0"/>
  </numFmts>
  <fonts count="24" x14ac:knownFonts="1">
    <font>
      <sz val="11"/>
      <color indexed="10"/>
      <name val="Calibri"/>
      <charset val="1"/>
    </font>
    <font>
      <sz val="11"/>
      <color theme="1"/>
      <name val="Calibri"/>
      <family val="2"/>
      <scheme val="minor"/>
    </font>
    <font>
      <sz val="10"/>
      <color indexed="8"/>
      <name val="Arial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</font>
    <font>
      <sz val="8"/>
      <color indexed="8"/>
      <name val="Calibri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1"/>
      <color indexed="10"/>
      <name val="Calibri"/>
      <family val="2"/>
    </font>
    <font>
      <b/>
      <sz val="10"/>
      <color indexed="8"/>
      <name val="Arial"/>
      <charset val="1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36">
    <xf numFmtId="0" fontId="0" fillId="0" borderId="0">
      <alignment vertical="top"/>
    </xf>
    <xf numFmtId="0" fontId="8" fillId="0" borderId="0" applyNumberForma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164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8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1" fillId="2" borderId="0" applyNumberFormat="0" applyBorder="0" applyAlignment="0" applyProtection="0"/>
    <xf numFmtId="0" fontId="17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</cellStyleXfs>
  <cellXfs count="48">
    <xf numFmtId="0" fontId="0" fillId="0" borderId="0" xfId="0" applyProtection="1">
      <alignment vertical="top"/>
      <protection locked="0"/>
    </xf>
    <xf numFmtId="0" fontId="0" fillId="0" borderId="0" xfId="0" applyAlignment="1"/>
    <xf numFmtId="0" fontId="4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right" vertical="top"/>
      <protection locked="0"/>
    </xf>
    <xf numFmtId="0" fontId="3" fillId="0" borderId="0" xfId="0" applyFont="1" applyAlignment="1"/>
    <xf numFmtId="49" fontId="0" fillId="0" borderId="0" xfId="0" applyNumberFormat="1" applyAlignment="1"/>
    <xf numFmtId="49" fontId="3" fillId="0" borderId="0" xfId="2" applyNumberFormat="1" applyFont="1"/>
    <xf numFmtId="0" fontId="5" fillId="0" borderId="0" xfId="0" applyFont="1" applyAlignment="1"/>
    <xf numFmtId="49" fontId="8" fillId="0" borderId="0" xfId="0" applyNumberFormat="1" applyFont="1" applyAlignment="1"/>
    <xf numFmtId="1" fontId="0" fillId="0" borderId="0" xfId="0" applyNumberFormat="1" applyProtection="1">
      <alignment vertical="top"/>
      <protection locked="0"/>
    </xf>
    <xf numFmtId="37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0" borderId="0" xfId="4" applyNumberFormat="1"/>
    <xf numFmtId="49" fontId="12" fillId="0" borderId="0" xfId="4" applyNumberFormat="1" applyFont="1"/>
    <xf numFmtId="1" fontId="2" fillId="0" borderId="0" xfId="0" applyNumberFormat="1" applyFont="1" applyAlignment="1">
      <alignment horizontal="center" vertical="center"/>
    </xf>
    <xf numFmtId="0" fontId="20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5" fillId="0" borderId="0" xfId="0" applyFont="1" applyAlignment="1"/>
    <xf numFmtId="0" fontId="19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1" applyFont="1" applyAlignment="1" applyProtection="1">
      <alignment horizontal="left" vertical="top"/>
      <protection locked="0"/>
    </xf>
    <xf numFmtId="0" fontId="16" fillId="0" borderId="0" xfId="1" applyFont="1" applyAlignment="1" applyProtection="1">
      <alignment horizontal="left" vertical="top"/>
      <protection locked="0"/>
    </xf>
    <xf numFmtId="0" fontId="5" fillId="0" borderId="0" xfId="3" applyFont="1"/>
    <xf numFmtId="49" fontId="13" fillId="0" borderId="0" xfId="3" applyNumberFormat="1"/>
    <xf numFmtId="49" fontId="8" fillId="0" borderId="0" xfId="3" applyNumberFormat="1" applyFont="1"/>
    <xf numFmtId="0" fontId="14" fillId="0" borderId="1" xfId="11" applyFont="1" applyBorder="1" applyAlignment="1">
      <alignment horizontal="center" vertical="center" wrapText="1"/>
    </xf>
    <xf numFmtId="49" fontId="0" fillId="0" borderId="0" xfId="0" applyNumberFormat="1" applyProtection="1">
      <alignment vertical="top"/>
      <protection locked="0"/>
    </xf>
    <xf numFmtId="49" fontId="2" fillId="0" borderId="0" xfId="0" applyNumberFormat="1" applyFont="1" applyAlignment="1">
      <alignment horizontal="center" vertical="center"/>
    </xf>
    <xf numFmtId="0" fontId="0" fillId="0" borderId="0" xfId="0" pivotButton="1" applyProtection="1">
      <alignment vertical="top"/>
      <protection locked="0"/>
    </xf>
    <xf numFmtId="0" fontId="2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5" fillId="5" borderId="2" xfId="18" applyFont="1" applyFill="1" applyBorder="1" applyAlignment="1" applyProtection="1">
      <alignment horizontal="left" vertical="top"/>
      <protection locked="0"/>
    </xf>
    <xf numFmtId="0" fontId="1" fillId="5" borderId="2" xfId="18" applyFill="1" applyBorder="1" applyAlignment="1">
      <alignment horizontal="center"/>
    </xf>
    <xf numFmtId="0" fontId="13" fillId="5" borderId="2" xfId="3" applyFill="1" applyBorder="1" applyAlignment="1">
      <alignment horizontal="center"/>
    </xf>
    <xf numFmtId="0" fontId="0" fillId="5" borderId="2" xfId="0" applyFill="1" applyBorder="1" applyAlignment="1"/>
    <xf numFmtId="0" fontId="0" fillId="5" borderId="2" xfId="0" applyFill="1" applyBorder="1" applyAlignment="1">
      <alignment horizontal="center"/>
    </xf>
    <xf numFmtId="0" fontId="22" fillId="0" borderId="0" xfId="0" applyFont="1" applyAlignment="1"/>
    <xf numFmtId="0" fontId="0" fillId="0" borderId="0" xfId="0" quotePrefix="1" applyAlignment="1"/>
    <xf numFmtId="0" fontId="8" fillId="0" borderId="0" xfId="3" applyNumberFormat="1" applyFont="1"/>
    <xf numFmtId="0" fontId="23" fillId="0" borderId="3" xfId="0" applyFont="1" applyBorder="1" applyAlignment="1" applyProtection="1">
      <alignment horizontal="center" vertical="center" wrapText="1" readingOrder="1"/>
      <protection locked="0"/>
    </xf>
    <xf numFmtId="0" fontId="23" fillId="6" borderId="3" xfId="0" applyFont="1" applyFill="1" applyBorder="1" applyAlignment="1" applyProtection="1">
      <alignment horizontal="center" vertical="center" wrapText="1" readingOrder="1"/>
      <protection locked="0"/>
    </xf>
    <xf numFmtId="0" fontId="2" fillId="0" borderId="3" xfId="0" applyFont="1" applyBorder="1" applyAlignment="1" applyProtection="1">
      <alignment horizontal="center" vertical="center" wrapText="1" readingOrder="1"/>
      <protection locked="0"/>
    </xf>
    <xf numFmtId="167" fontId="2" fillId="0" borderId="3" xfId="0" applyNumberFormat="1" applyFont="1" applyBorder="1" applyAlignment="1" applyProtection="1">
      <alignment horizontal="center" vertical="center" wrapText="1" readingOrder="1"/>
      <protection locked="0"/>
    </xf>
  </cellXfs>
  <cellStyles count="36">
    <cellStyle name="Incorreto" xfId="28" xr:uid="{00000000-0005-0000-0000-000000000000}"/>
    <cellStyle name="Neutra" xfId="29" xr:uid="{00000000-0005-0000-0000-000001000000}"/>
    <cellStyle name="Normal" xfId="0" builtinId="0"/>
    <cellStyle name="Normal 10" xfId="14" xr:uid="{00000000-0005-0000-0000-000003000000}"/>
    <cellStyle name="Normal 11" xfId="15" xr:uid="{00000000-0005-0000-0000-000004000000}"/>
    <cellStyle name="Normal 11 2" xfId="25" xr:uid="{00000000-0005-0000-0000-000005000000}"/>
    <cellStyle name="Normal 12" xfId="16" xr:uid="{00000000-0005-0000-0000-000006000000}"/>
    <cellStyle name="Normal 12 2" xfId="26" xr:uid="{00000000-0005-0000-0000-000007000000}"/>
    <cellStyle name="Normal 13" xfId="17" xr:uid="{00000000-0005-0000-0000-000008000000}"/>
    <cellStyle name="Normal 13 2" xfId="27" xr:uid="{00000000-0005-0000-0000-000009000000}"/>
    <cellStyle name="Normal 14" xfId="30" xr:uid="{00000000-0005-0000-0000-00000A000000}"/>
    <cellStyle name="Normal 15" xfId="31" xr:uid="{00000000-0005-0000-0000-00000B000000}"/>
    <cellStyle name="Normal 16" xfId="32" xr:uid="{00000000-0005-0000-0000-00000C000000}"/>
    <cellStyle name="Normal 17" xfId="34" xr:uid="{00000000-0005-0000-0000-00000D000000}"/>
    <cellStyle name="Normal 18" xfId="35" xr:uid="{00000000-0005-0000-0000-00000E000000}"/>
    <cellStyle name="Normal 19" xfId="3" xr:uid="{00000000-0005-0000-0000-00000F000000}"/>
    <cellStyle name="Normal 2" xfId="1" xr:uid="{00000000-0005-0000-0000-000010000000}"/>
    <cellStyle name="Normal 2 2" xfId="33" xr:uid="{00000000-0005-0000-0000-000011000000}"/>
    <cellStyle name="Normal 3" xfId="2" xr:uid="{00000000-0005-0000-0000-000012000000}"/>
    <cellStyle name="Normal 3 2" xfId="18" xr:uid="{00000000-0005-0000-0000-000013000000}"/>
    <cellStyle name="Normal 3 3" xfId="4" xr:uid="{00000000-0005-0000-0000-000014000000}"/>
    <cellStyle name="Normal 4" xfId="5" xr:uid="{00000000-0005-0000-0000-000015000000}"/>
    <cellStyle name="Normal 4 2" xfId="19" xr:uid="{00000000-0005-0000-0000-000016000000}"/>
    <cellStyle name="Normal 5" xfId="6" xr:uid="{00000000-0005-0000-0000-000017000000}"/>
    <cellStyle name="Normal 5 2" xfId="20" xr:uid="{00000000-0005-0000-0000-000018000000}"/>
    <cellStyle name="Normal 6" xfId="7" xr:uid="{00000000-0005-0000-0000-000019000000}"/>
    <cellStyle name="Normal 6 2" xfId="21" xr:uid="{00000000-0005-0000-0000-00001A000000}"/>
    <cellStyle name="Normal 7" xfId="8" xr:uid="{00000000-0005-0000-0000-00001B000000}"/>
    <cellStyle name="Normal 7 2" xfId="22" xr:uid="{00000000-0005-0000-0000-00001C000000}"/>
    <cellStyle name="Normal 8" xfId="9" xr:uid="{00000000-0005-0000-0000-00001D000000}"/>
    <cellStyle name="Normal 8 2" xfId="23" xr:uid="{00000000-0005-0000-0000-00001E000000}"/>
    <cellStyle name="Normal 9" xfId="10" xr:uid="{00000000-0005-0000-0000-00001F000000}"/>
    <cellStyle name="Normal_Plan1" xfId="11" xr:uid="{00000000-0005-0000-0000-000020000000}"/>
    <cellStyle name="Porcentagem 3" xfId="13" xr:uid="{00000000-0005-0000-0000-000021000000}"/>
    <cellStyle name="Vírgula 2" xfId="24" xr:uid="{00000000-0005-0000-0000-000022000000}"/>
    <cellStyle name="Vírgula 3" xfId="12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00"/>
      <rgbColor rgb="00000000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FF0000"/>
      <rgbColor rgb="0000FF00"/>
      <rgbColor rgb="00FFFF00"/>
      <rgbColor rgb="000000FF"/>
      <rgbColor rgb="00FF00FF"/>
      <rgbColor rgb="0000FFFF"/>
      <rgbColor rgb="00C0C0C0"/>
      <rgbColor rgb="00808080"/>
      <rgbColor rgb="00FFFFFF"/>
      <rgbColor rgb="00C0DCC0"/>
      <rgbColor rgb="00A6CAF0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28575</xdr:rowOff>
    </xdr:from>
    <xdr:to>
      <xdr:col>3</xdr:col>
      <xdr:colOff>581025</xdr:colOff>
      <xdr:row>3</xdr:row>
      <xdr:rowOff>171450</xdr:rowOff>
    </xdr:to>
    <xdr:sp macro="[0]!dispara_processament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8650" y="219075"/>
          <a:ext cx="178117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Dispara</a:t>
          </a:r>
          <a:r>
            <a:rPr lang="pt-BR" sz="1200" baseline="0"/>
            <a:t> Processamento</a:t>
          </a:r>
          <a:endParaRPr lang="pt-BR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47.486478472223" createdVersion="4" refreshedVersion="7" minRefreshableVersion="3" recordCount="3" xr:uid="{00000000-000A-0000-FFFF-FFFF00000000}">
  <cacheSource type="worksheet">
    <worksheetSource name="=lista_Valores"/>
  </cacheSource>
  <cacheFields count="30">
    <cacheField name="C1" numFmtId="0">
      <sharedItems containsMixedTypes="1" containsNumber="1" containsInteger="1" minValue="0" maxValue="0" count="4">
        <n v="0"/>
        <s v="COFCO/MILHO/TRO-TGRAOTRO - RONDONOPOLIS" u="1"/>
        <s v="COFCO/MILHO/TRO-TGGTRO - RONDONOPOLIS" u="1"/>
        <s v="COFCO/MILHO/TRO-RUMOTRO - RONDONOPOLIS" u="1"/>
      </sharedItems>
    </cacheField>
    <cacheField name="C2" numFmtId="0">
      <sharedItems containsSemiMixedTypes="0" containsString="0" containsNumber="1" containsInteger="1" minValue="0" maxValue="0"/>
    </cacheField>
    <cacheField name="C3" numFmtId="0">
      <sharedItems containsSemiMixedTypes="0" containsString="0" containsNumber="1" containsInteger="1" minValue="0" maxValue="0"/>
    </cacheField>
    <cacheField name="C4" numFmtId="0">
      <sharedItems containsSemiMixedTypes="0" containsString="0" containsNumber="1" containsInteger="1" minValue="0" maxValue="0"/>
    </cacheField>
    <cacheField name="C5" numFmtId="0">
      <sharedItems containsSemiMixedTypes="0" containsString="0" containsNumber="1" containsInteger="1" minValue="0" maxValue="0"/>
    </cacheField>
    <cacheField name="C6" numFmtId="0">
      <sharedItems containsSemiMixedTypes="0" containsString="0" containsNumber="1" containsInteger="1" minValue="0" maxValue="0"/>
    </cacheField>
    <cacheField name="C7" numFmtId="0">
      <sharedItems containsSemiMixedTypes="0" containsString="0" containsNumber="1" containsInteger="1" minValue="0" maxValue="0"/>
    </cacheField>
    <cacheField name="C8" numFmtId="0">
      <sharedItems containsSemiMixedTypes="0" containsString="0" containsNumber="1" containsInteger="1" minValue="0" maxValue="0"/>
    </cacheField>
    <cacheField name="C9" numFmtId="0">
      <sharedItems containsSemiMixedTypes="0" containsString="0" containsNumber="1" containsInteger="1" minValue="0" maxValue="0"/>
    </cacheField>
    <cacheField name="C10" numFmtId="0">
      <sharedItems containsSemiMixedTypes="0" containsString="0" containsNumber="1" containsInteger="1" minValue="0" maxValue="0"/>
    </cacheField>
    <cacheField name="C11" numFmtId="0">
      <sharedItems containsSemiMixedTypes="0" containsString="0" containsNumber="1" containsInteger="1" minValue="0" maxValue="0"/>
    </cacheField>
    <cacheField name="C12" numFmtId="0">
      <sharedItems containsSemiMixedTypes="0" containsString="0" containsNumber="1" containsInteger="1" minValue="0" maxValue="0"/>
    </cacheField>
    <cacheField name="C13" numFmtId="0">
      <sharedItems containsSemiMixedTypes="0" containsString="0" containsNumber="1" containsInteger="1" minValue="0" maxValue="0"/>
    </cacheField>
    <cacheField name="C14" numFmtId="0">
      <sharedItems containsSemiMixedTypes="0" containsString="0" containsNumber="1" containsInteger="1" minValue="0" maxValue="0"/>
    </cacheField>
    <cacheField name="C15" numFmtId="0">
      <sharedItems containsSemiMixedTypes="0" containsString="0" containsNumber="1" containsInteger="1" minValue="0" maxValue="0"/>
    </cacheField>
    <cacheField name="C16" numFmtId="0">
      <sharedItems containsMixedTypes="1" containsNumber="1" containsInteger="1" minValue="30603" maxValue="37510"/>
    </cacheField>
    <cacheField name="C17" numFmtId="0">
      <sharedItems containsMixedTypes="1" containsNumber="1" containsInteger="1" minValue="30603" maxValue="37416"/>
    </cacheField>
    <cacheField name="C18" numFmtId="0">
      <sharedItems/>
    </cacheField>
    <cacheField name="C19" numFmtId="0">
      <sharedItems/>
    </cacheField>
    <cacheField name="C20" numFmtId="0">
      <sharedItems containsMixedTypes="1" containsNumber="1" containsInteger="1" minValue="6922" maxValue="7098"/>
    </cacheField>
    <cacheField name="C21" numFmtId="0">
      <sharedItems containsMixedTypes="1" containsNumber="1" containsInteger="1" minValue="30603" maxValue="37560"/>
    </cacheField>
    <cacheField name="C22" numFmtId="0">
      <sharedItems containsNonDate="0" containsString="0" containsBlank="1"/>
    </cacheField>
    <cacheField name="C23" numFmtId="0">
      <sharedItems containsNonDate="0" containsBlank="1" count="13">
        <m/>
        <s v="06315338/0206-59" u="1"/>
        <s v="29332398001389" u="1"/>
        <s v="29.332.398/0005-79" u="1"/>
        <s v="06.315.338/0206-59" u="1"/>
        <s v="29.332.398/0007-30" u="1"/>
        <s v="06.315.338/0184-09" u="1"/>
        <s v="06315338003134" u="1"/>
        <s v="29.332.398/0004-98" u="1"/>
        <s v="06315338020659" u="1"/>
        <s v="29332398001036" u="1"/>
        <s v="06315338018247" u="1"/>
        <s v="29332398000579" u="1"/>
      </sharedItems>
    </cacheField>
    <cacheField name="C24" numFmtId="0">
      <sharedItems containsNonDate="0" containsString="0" containsBlank="1"/>
    </cacheField>
    <cacheField name="C25" numFmtId="0">
      <sharedItems containsNonDate="0" containsString="0" containsBlank="1"/>
    </cacheField>
    <cacheField name="C26" numFmtId="0">
      <sharedItems containsNonDate="0" containsString="0" containsBlank="1"/>
    </cacheField>
    <cacheField name="C27" numFmtId="0">
      <sharedItems containsNonDate="0" containsString="0" containsBlank="1"/>
    </cacheField>
    <cacheField name="C28" numFmtId="0">
      <sharedItems containsNonDate="0" containsString="0" containsBlank="1"/>
    </cacheField>
    <cacheField name="C29" numFmtId="0">
      <sharedItems containsNonDate="0" containsString="0" containsBlank="1"/>
    </cacheField>
    <cacheField name="C8C7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0"/>
    <n v="0"/>
    <n v="0"/>
    <n v="0"/>
    <n v="0"/>
    <n v="0"/>
    <n v="0"/>
    <n v="0"/>
    <n v="0"/>
    <n v="0"/>
    <n v="0"/>
    <n v="0"/>
    <n v="0"/>
    <n v="0"/>
    <s v="LÍQUIDO ÚMIDO"/>
    <s v="LÍQUIDO SECO"/>
    <s v="MODELO"/>
    <s v="SÉRIE"/>
    <s v="NÚMERO NF"/>
    <s v="PESO NF"/>
    <m/>
    <x v="0"/>
    <m/>
    <m/>
    <m/>
    <m/>
    <m/>
    <m/>
    <s v="00000000"/>
  </r>
  <r>
    <x v="0"/>
    <n v="0"/>
    <n v="0"/>
    <n v="0"/>
    <n v="0"/>
    <n v="0"/>
    <n v="0"/>
    <n v="0"/>
    <n v="0"/>
    <n v="0"/>
    <n v="0"/>
    <n v="0"/>
    <n v="0"/>
    <n v="0"/>
    <n v="0"/>
    <n v="37510"/>
    <n v="37416"/>
    <s v="55"/>
    <s v="1"/>
    <n v="6922"/>
    <n v="37560"/>
    <m/>
    <x v="0"/>
    <m/>
    <m/>
    <m/>
    <m/>
    <m/>
    <m/>
    <s v="00000000"/>
  </r>
  <r>
    <x v="0"/>
    <n v="0"/>
    <n v="0"/>
    <n v="0"/>
    <n v="0"/>
    <n v="0"/>
    <n v="0"/>
    <n v="0"/>
    <n v="0"/>
    <n v="0"/>
    <n v="0"/>
    <n v="0"/>
    <n v="0"/>
    <n v="0"/>
    <n v="0"/>
    <n v="30603"/>
    <n v="30603"/>
    <s v="55"/>
    <s v="1"/>
    <n v="7098"/>
    <n v="30603"/>
    <m/>
    <x v="0"/>
    <m/>
    <m/>
    <m/>
    <m/>
    <m/>
    <m/>
    <s v="000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6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4" indent="0" compact="0" compactData="0" gridDropZones="1" multipleFieldFilters="0" rowHeaderCaption="CNPJ`s" customListSort="0">
  <location ref="K4:R6" firstHeaderRow="2" firstDataRow="2" firstDataCol="2"/>
  <pivotFields count="30">
    <pivotField axis="axisRow" compact="0" outline="0" showAll="0">
      <items count="5">
        <item m="1" x="1"/>
        <item m="1" x="3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axis="axisRow" compact="0" outline="0" showAll="0" defaultSubtotal="0">
      <items count="13">
        <item m="1" x="7"/>
        <item m="1" x="11"/>
        <item m="1" x="9"/>
        <item m="1" x="10"/>
        <item m="1" x="2"/>
        <item m="1" x="12"/>
        <item m="1" x="1"/>
        <item m="1" x="4"/>
        <item m="1" x="6"/>
        <item m="1" x="8"/>
        <item m="1" x="5"/>
        <item m="1" x="3"/>
        <item x="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22"/>
    <field x="0"/>
  </rowFields>
  <rowItems count="1">
    <i>
      <x v="12"/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T3"/>
  <sheetViews>
    <sheetView tabSelected="1" showOutlineSymbols="0" workbookViewId="0">
      <selection activeCell="E2" sqref="E2"/>
    </sheetView>
  </sheetViews>
  <sheetFormatPr defaultColWidth="68.85546875" defaultRowHeight="15" x14ac:dyDescent="0.25"/>
  <cols>
    <col min="1" max="1" width="11" style="34" bestFit="1" customWidth="1"/>
    <col min="2" max="2" width="21.140625" style="34" bestFit="1" customWidth="1"/>
    <col min="3" max="3" width="16.7109375" style="34" bestFit="1" customWidth="1"/>
    <col min="4" max="4" width="13.5703125" style="34" bestFit="1" customWidth="1"/>
    <col min="5" max="5" width="30.42578125" style="34" bestFit="1" customWidth="1"/>
    <col min="6" max="7" width="20.140625" style="34" bestFit="1" customWidth="1"/>
    <col min="8" max="8" width="14.7109375" style="34" bestFit="1" customWidth="1"/>
    <col min="9" max="9" width="23.5703125" style="34" bestFit="1" customWidth="1"/>
    <col min="10" max="10" width="5.42578125" style="34" bestFit="1" customWidth="1"/>
    <col min="11" max="11" width="7.28515625" style="34" bestFit="1" customWidth="1"/>
    <col min="12" max="12" width="25.28515625" style="34" bestFit="1" customWidth="1"/>
    <col min="13" max="13" width="13.28515625" style="34" bestFit="1" customWidth="1"/>
    <col min="14" max="14" width="11.7109375" style="34" bestFit="1" customWidth="1"/>
    <col min="15" max="15" width="15.5703125" style="34" bestFit="1" customWidth="1"/>
    <col min="16" max="16" width="14.5703125" style="34" bestFit="1" customWidth="1"/>
    <col min="17" max="17" width="9" style="34" bestFit="1" customWidth="1"/>
    <col min="18" max="18" width="6.42578125" style="34" bestFit="1" customWidth="1"/>
    <col min="19" max="19" width="12" style="34" bestFit="1" customWidth="1"/>
    <col min="20" max="20" width="9.140625" style="34" bestFit="1" customWidth="1"/>
    <col min="21" max="16384" width="68.85546875" style="34"/>
  </cols>
  <sheetData>
    <row r="1" spans="1:20" x14ac:dyDescent="0.25">
      <c r="A1" s="44" t="s">
        <v>169</v>
      </c>
      <c r="B1" s="44" t="s">
        <v>2</v>
      </c>
      <c r="C1" s="44" t="s">
        <v>170</v>
      </c>
      <c r="D1" s="44" t="s">
        <v>171</v>
      </c>
      <c r="E1" s="45" t="s">
        <v>172</v>
      </c>
      <c r="F1" s="44" t="s">
        <v>173</v>
      </c>
      <c r="G1" s="44" t="s">
        <v>174</v>
      </c>
      <c r="H1" s="45" t="s">
        <v>175</v>
      </c>
      <c r="I1" s="45" t="s">
        <v>176</v>
      </c>
      <c r="J1" s="44" t="s">
        <v>177</v>
      </c>
      <c r="K1" s="44" t="s">
        <v>178</v>
      </c>
      <c r="L1" s="45" t="s">
        <v>179</v>
      </c>
      <c r="M1" s="44" t="s">
        <v>180</v>
      </c>
      <c r="N1" s="44" t="s">
        <v>181</v>
      </c>
      <c r="O1" s="45" t="s">
        <v>182</v>
      </c>
      <c r="P1" s="44" t="s">
        <v>183</v>
      </c>
      <c r="Q1" s="44" t="s">
        <v>184</v>
      </c>
      <c r="R1" s="45" t="s">
        <v>185</v>
      </c>
      <c r="S1" s="45" t="s">
        <v>186</v>
      </c>
      <c r="T1" s="44" t="s">
        <v>187</v>
      </c>
    </row>
    <row r="2" spans="1:20" x14ac:dyDescent="0.25">
      <c r="A2" s="46">
        <v>6208601</v>
      </c>
      <c r="B2" s="46" t="s">
        <v>188</v>
      </c>
      <c r="C2" s="46" t="s">
        <v>189</v>
      </c>
      <c r="D2" s="46" t="s">
        <v>190</v>
      </c>
      <c r="E2" s="46" t="s">
        <v>191</v>
      </c>
      <c r="F2" s="46" t="s">
        <v>192</v>
      </c>
      <c r="G2" s="46" t="s">
        <v>193</v>
      </c>
      <c r="H2" s="46" t="s">
        <v>194</v>
      </c>
      <c r="I2" s="46" t="s">
        <v>195</v>
      </c>
      <c r="J2" s="46" t="s">
        <v>196</v>
      </c>
      <c r="K2" s="46" t="s">
        <v>197</v>
      </c>
      <c r="L2" s="46" t="s">
        <v>198</v>
      </c>
      <c r="M2" s="47">
        <v>56980</v>
      </c>
      <c r="N2" s="47">
        <v>19470</v>
      </c>
      <c r="O2" s="47">
        <v>37510</v>
      </c>
      <c r="P2" s="47">
        <v>37416</v>
      </c>
      <c r="Q2" s="46" t="s">
        <v>199</v>
      </c>
      <c r="R2" s="46" t="s">
        <v>200</v>
      </c>
      <c r="S2" s="46">
        <v>6922</v>
      </c>
      <c r="T2" s="47">
        <v>37560</v>
      </c>
    </row>
    <row r="3" spans="1:20" x14ac:dyDescent="0.25">
      <c r="A3" s="46">
        <v>6209835</v>
      </c>
      <c r="B3" s="46" t="s">
        <v>188</v>
      </c>
      <c r="C3" s="46" t="s">
        <v>189</v>
      </c>
      <c r="D3" s="46" t="s">
        <v>201</v>
      </c>
      <c r="E3" s="46" t="s">
        <v>191</v>
      </c>
      <c r="F3" s="46" t="s">
        <v>192</v>
      </c>
      <c r="G3" s="46" t="s">
        <v>192</v>
      </c>
      <c r="H3" s="46" t="s">
        <v>202</v>
      </c>
      <c r="I3" s="46" t="s">
        <v>203</v>
      </c>
      <c r="J3" s="46" t="s">
        <v>204</v>
      </c>
      <c r="K3" s="46" t="s">
        <v>197</v>
      </c>
      <c r="L3" s="46" t="s">
        <v>205</v>
      </c>
      <c r="M3" s="47">
        <v>42096</v>
      </c>
      <c r="N3" s="47">
        <v>11493</v>
      </c>
      <c r="O3" s="47">
        <v>30603</v>
      </c>
      <c r="P3" s="47">
        <v>30603</v>
      </c>
      <c r="Q3" s="46" t="s">
        <v>199</v>
      </c>
      <c r="R3" s="46" t="s">
        <v>200</v>
      </c>
      <c r="S3" s="46">
        <v>7098</v>
      </c>
      <c r="T3" s="47">
        <v>30603</v>
      </c>
    </row>
  </sheetData>
  <pageMargins left="0.25" right="0" top="0.75" bottom="0.25" header="0" footer="0"/>
  <pageSetup paperSize="5" scale="0" firstPageNumber="0" fitToHeight="0" orientation="landscape" horizontalDpi="0" verticalDpi="0"/>
  <headerFooter alignWithMargins="0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D1"/>
  <sheetViews>
    <sheetView topLeftCell="T1" workbookViewId="0">
      <selection activeCell="A2" sqref="A2:AD4"/>
    </sheetView>
  </sheetViews>
  <sheetFormatPr defaultRowHeight="15" x14ac:dyDescent="0.25"/>
  <cols>
    <col min="1" max="1" width="24.85546875" bestFit="1" customWidth="1"/>
    <col min="2" max="2" width="8" style="11" bestFit="1" customWidth="1"/>
    <col min="3" max="3" width="18.5703125" bestFit="1" customWidth="1"/>
    <col min="4" max="4" width="7.5703125" bestFit="1" customWidth="1"/>
    <col min="5" max="6" width="6.5703125" bestFit="1" customWidth="1"/>
    <col min="7" max="7" width="8.7109375" bestFit="1" customWidth="1"/>
    <col min="8" max="8" width="4" bestFit="1" customWidth="1"/>
    <col min="9" max="9" width="6" bestFit="1" customWidth="1"/>
    <col min="10" max="10" width="4.28515625" bestFit="1" customWidth="1"/>
    <col min="11" max="11" width="10" bestFit="1" customWidth="1"/>
    <col min="12" max="12" width="18.5703125" style="29" bestFit="1" customWidth="1"/>
    <col min="13" max="13" width="46.28515625" bestFit="1" customWidth="1"/>
    <col min="14" max="14" width="4.28515625" bestFit="1" customWidth="1"/>
    <col min="15" max="15" width="18.5703125" bestFit="1" customWidth="1"/>
    <col min="16" max="16" width="6.5703125" bestFit="1" customWidth="1"/>
    <col min="17" max="17" width="4.28515625" bestFit="1" customWidth="1"/>
    <col min="18" max="18" width="10.7109375" bestFit="1" customWidth="1"/>
    <col min="19" max="19" width="46.28515625" bestFit="1" customWidth="1"/>
    <col min="20" max="22" width="6.5703125" bestFit="1" customWidth="1"/>
    <col min="23" max="23" width="15.140625" bestFit="1" customWidth="1"/>
    <col min="24" max="24" width="35.85546875" bestFit="1" customWidth="1"/>
    <col min="25" max="25" width="20.28515625" bestFit="1" customWidth="1"/>
    <col min="26" max="26" width="15.140625" bestFit="1" customWidth="1"/>
    <col min="27" max="27" width="35.85546875" bestFit="1" customWidth="1"/>
    <col min="28" max="28" width="20.28515625" bestFit="1" customWidth="1"/>
    <col min="29" max="29" width="18.5703125" bestFit="1" customWidth="1"/>
    <col min="30" max="30" width="4.140625" bestFit="1" customWidth="1"/>
  </cols>
  <sheetData>
    <row r="1" spans="1:30" x14ac:dyDescent="0.25">
      <c r="A1" s="14" t="s">
        <v>19</v>
      </c>
      <c r="B1" s="17" t="s">
        <v>20</v>
      </c>
      <c r="C1" s="12" t="s">
        <v>21</v>
      </c>
      <c r="D1" s="12" t="s">
        <v>22</v>
      </c>
      <c r="E1" s="13" t="s">
        <v>23</v>
      </c>
      <c r="F1" s="14" t="s">
        <v>24</v>
      </c>
      <c r="G1" s="14" t="s">
        <v>25</v>
      </c>
      <c r="H1" s="14" t="s">
        <v>26</v>
      </c>
      <c r="I1" s="14" t="s">
        <v>27</v>
      </c>
      <c r="J1" s="12" t="s">
        <v>28</v>
      </c>
      <c r="K1" s="14" t="s">
        <v>29</v>
      </c>
      <c r="L1" s="30" t="s">
        <v>30</v>
      </c>
      <c r="M1" s="14" t="s">
        <v>31</v>
      </c>
      <c r="N1" s="14" t="s">
        <v>32</v>
      </c>
      <c r="O1" s="14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42</v>
      </c>
      <c r="X1" t="s">
        <v>41</v>
      </c>
      <c r="Y1" t="s">
        <v>43</v>
      </c>
      <c r="Z1" t="s">
        <v>158</v>
      </c>
      <c r="AA1" t="s">
        <v>159</v>
      </c>
      <c r="AB1" t="s">
        <v>160</v>
      </c>
      <c r="AC1" t="s">
        <v>161</v>
      </c>
      <c r="AD1" t="str">
        <f t="shared" ref="AD1" si="0">H1&amp;G1</f>
        <v>C8C7</v>
      </c>
    </row>
  </sheetData>
  <autoFilter ref="A1:AD1" xr:uid="{00000000-0001-0000-0100-000000000000}"/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R58"/>
  <sheetViews>
    <sheetView topLeftCell="G1" workbookViewId="0">
      <selection activeCell="K7" sqref="K7"/>
    </sheetView>
  </sheetViews>
  <sheetFormatPr defaultColWidth="8.85546875" defaultRowHeight="15" x14ac:dyDescent="0.25"/>
  <cols>
    <col min="1" max="1" width="17.7109375" style="1" bestFit="1" customWidth="1"/>
    <col min="2" max="2" width="31" style="1" bestFit="1" customWidth="1"/>
    <col min="3" max="3" width="16.5703125" style="34" bestFit="1" customWidth="1"/>
    <col min="4" max="4" width="42.85546875" style="1" customWidth="1"/>
    <col min="5" max="5" width="25.5703125" style="33" customWidth="1"/>
    <col min="6" max="6" width="8.85546875" style="1"/>
    <col min="7" max="7" width="28.7109375" style="1" customWidth="1"/>
    <col min="8" max="8" width="18" style="1" bestFit="1" customWidth="1"/>
    <col min="9" max="10" width="8.85546875" style="1"/>
    <col min="11" max="11" width="49.85546875" style="1" bestFit="1" customWidth="1"/>
    <col min="12" max="12" width="5.42578125" style="1" bestFit="1" customWidth="1"/>
    <col min="13" max="13" width="8" style="1" bestFit="1" customWidth="1"/>
    <col min="14" max="14" width="15.140625" style="1" bestFit="1" customWidth="1"/>
    <col min="15" max="16384" width="8.85546875" style="1"/>
  </cols>
  <sheetData>
    <row r="1" spans="1:18" x14ac:dyDescent="0.25">
      <c r="A1" s="1" t="s">
        <v>1</v>
      </c>
      <c r="B1" s="1" t="s">
        <v>2</v>
      </c>
      <c r="C1" s="32"/>
      <c r="D1" s="32" t="s">
        <v>3</v>
      </c>
      <c r="E1" s="32" t="s">
        <v>1</v>
      </c>
      <c r="G1" s="1" t="s">
        <v>4</v>
      </c>
      <c r="K1"/>
      <c r="L1"/>
      <c r="N1" s="42" t="s">
        <v>59</v>
      </c>
    </row>
    <row r="2" spans="1:18" x14ac:dyDescent="0.25">
      <c r="A2" s="15" t="s">
        <v>63</v>
      </c>
      <c r="B2" s="23" t="s">
        <v>80</v>
      </c>
      <c r="C2" s="35" t="str">
        <f>SUBSTITUTE(SUBSTITUTE(SUBSTITUTE(E2,".",""),"/",""),"-","")</f>
        <v>02003402000760</v>
      </c>
      <c r="D2" s="36" t="s">
        <v>5</v>
      </c>
      <c r="E2" s="37" t="s">
        <v>6</v>
      </c>
      <c r="G2" s="25" t="s">
        <v>8</v>
      </c>
      <c r="H2" s="26" t="s">
        <v>108</v>
      </c>
      <c r="K2"/>
      <c r="L2"/>
      <c r="M2"/>
      <c r="N2" s="14"/>
      <c r="O2"/>
      <c r="P2"/>
      <c r="Q2"/>
    </row>
    <row r="3" spans="1:18" x14ac:dyDescent="0.25">
      <c r="A3" s="15" t="s">
        <v>64</v>
      </c>
      <c r="B3" s="23" t="s">
        <v>81</v>
      </c>
      <c r="C3" s="35" t="str">
        <f t="shared" ref="C3:C10" si="0">SUBSTITUTE(SUBSTITUTE(SUBSTITUTE(E3,".",""),"/",""),"-","")</f>
        <v>56216872000146</v>
      </c>
      <c r="D3" s="36" t="s">
        <v>157</v>
      </c>
      <c r="E3" s="37" t="s">
        <v>7</v>
      </c>
      <c r="G3" s="25" t="s">
        <v>109</v>
      </c>
      <c r="H3" s="27" t="s">
        <v>110</v>
      </c>
      <c r="I3" s="1" t="s">
        <v>9</v>
      </c>
      <c r="K3"/>
      <c r="L3"/>
      <c r="M3"/>
    </row>
    <row r="4" spans="1:18" x14ac:dyDescent="0.25">
      <c r="A4" s="15" t="s">
        <v>65</v>
      </c>
      <c r="B4" s="23" t="s">
        <v>82</v>
      </c>
      <c r="C4" s="35" t="str">
        <f t="shared" si="0"/>
        <v>04244527000112</v>
      </c>
      <c r="D4" s="36" t="s">
        <v>10</v>
      </c>
      <c r="E4" s="37" t="s">
        <v>11</v>
      </c>
      <c r="G4" s="6"/>
      <c r="H4" s="8"/>
      <c r="I4" s="1" t="s">
        <v>12</v>
      </c>
      <c r="K4"/>
      <c r="L4"/>
      <c r="M4"/>
      <c r="N4"/>
      <c r="O4"/>
      <c r="P4"/>
      <c r="Q4"/>
      <c r="R4"/>
    </row>
    <row r="5" spans="1:18" x14ac:dyDescent="0.25">
      <c r="A5" s="16" t="s">
        <v>66</v>
      </c>
      <c r="B5" s="24" t="s">
        <v>83</v>
      </c>
      <c r="C5" s="35" t="str">
        <f t="shared" si="0"/>
        <v>05527694000133</v>
      </c>
      <c r="D5" s="36" t="s">
        <v>13</v>
      </c>
      <c r="E5" s="37" t="s">
        <v>14</v>
      </c>
      <c r="G5" s="9"/>
      <c r="H5" s="7"/>
      <c r="K5" s="31" t="s">
        <v>42</v>
      </c>
      <c r="L5" s="31" t="s">
        <v>19</v>
      </c>
      <c r="M5"/>
      <c r="N5"/>
      <c r="O5"/>
      <c r="P5"/>
      <c r="Q5"/>
      <c r="R5"/>
    </row>
    <row r="6" spans="1:18" x14ac:dyDescent="0.25">
      <c r="A6" s="15" t="s">
        <v>67</v>
      </c>
      <c r="B6" s="23" t="s">
        <v>84</v>
      </c>
      <c r="C6" s="35" t="str">
        <f t="shared" si="0"/>
        <v>09079434000101</v>
      </c>
      <c r="D6" s="36" t="s">
        <v>15</v>
      </c>
      <c r="E6" s="37" t="s">
        <v>16</v>
      </c>
      <c r="G6" s="9"/>
      <c r="H6" s="10"/>
      <c r="K6" t="s">
        <v>206</v>
      </c>
      <c r="L6">
        <v>0</v>
      </c>
      <c r="M6"/>
      <c r="N6"/>
      <c r="O6"/>
      <c r="P6"/>
      <c r="Q6"/>
      <c r="R6"/>
    </row>
    <row r="7" spans="1:18" x14ac:dyDescent="0.25">
      <c r="A7" s="16" t="s">
        <v>68</v>
      </c>
      <c r="B7" s="23" t="s">
        <v>85</v>
      </c>
      <c r="C7" s="35" t="str">
        <f t="shared" si="0"/>
        <v>04731861000109</v>
      </c>
      <c r="D7" s="36" t="s">
        <v>105</v>
      </c>
      <c r="E7" s="38" t="s">
        <v>106</v>
      </c>
      <c r="K7"/>
      <c r="L7"/>
      <c r="M7"/>
      <c r="N7"/>
      <c r="O7"/>
      <c r="P7"/>
      <c r="Q7"/>
      <c r="R7"/>
    </row>
    <row r="8" spans="1:18" x14ac:dyDescent="0.25">
      <c r="A8" s="15" t="s">
        <v>69</v>
      </c>
      <c r="B8" s="23" t="s">
        <v>86</v>
      </c>
      <c r="C8" s="35" t="str">
        <f t="shared" si="0"/>
        <v>02933023000265</v>
      </c>
      <c r="D8" s="36" t="s">
        <v>107</v>
      </c>
      <c r="E8" s="38" t="s">
        <v>18</v>
      </c>
      <c r="K8"/>
      <c r="L8"/>
      <c r="M8"/>
      <c r="N8"/>
      <c r="O8"/>
      <c r="P8"/>
      <c r="Q8"/>
      <c r="R8"/>
    </row>
    <row r="9" spans="1:18" x14ac:dyDescent="0.25">
      <c r="A9" s="15" t="s">
        <v>70</v>
      </c>
      <c r="B9" s="23" t="s">
        <v>87</v>
      </c>
      <c r="C9" s="35" t="str">
        <f t="shared" si="0"/>
        <v>25278404000172</v>
      </c>
      <c r="D9" s="36" t="s">
        <v>156</v>
      </c>
      <c r="E9" s="38" t="s">
        <v>17</v>
      </c>
      <c r="K9"/>
      <c r="L9"/>
      <c r="M9"/>
      <c r="N9"/>
      <c r="O9"/>
      <c r="P9"/>
      <c r="Q9"/>
      <c r="R9"/>
    </row>
    <row r="10" spans="1:18" x14ac:dyDescent="0.25">
      <c r="A10" s="15" t="s">
        <v>71</v>
      </c>
      <c r="B10" s="23" t="s">
        <v>88</v>
      </c>
      <c r="C10" s="35" t="str">
        <f t="shared" si="0"/>
        <v>61145488000300</v>
      </c>
      <c r="D10" s="36" t="s">
        <v>162</v>
      </c>
      <c r="E10" s="38" t="s">
        <v>163</v>
      </c>
      <c r="K10"/>
      <c r="L10"/>
      <c r="M10"/>
      <c r="N10"/>
      <c r="O10"/>
      <c r="P10"/>
      <c r="Q10"/>
      <c r="R10"/>
    </row>
    <row r="11" spans="1:18" x14ac:dyDescent="0.25">
      <c r="A11" s="15" t="s">
        <v>72</v>
      </c>
      <c r="B11" s="23" t="s">
        <v>89</v>
      </c>
      <c r="C11" s="35" t="str">
        <f t="shared" ref="C11" si="1">SUBSTITUTE(SUBSTITUTE(SUBSTITUTE(E11,".",""),"/",""),"-","")</f>
        <v>02933023000265</v>
      </c>
      <c r="D11" s="36" t="s">
        <v>165</v>
      </c>
      <c r="E11" s="38" t="s">
        <v>18</v>
      </c>
      <c r="K11"/>
      <c r="L11"/>
      <c r="M11"/>
      <c r="N11"/>
      <c r="O11"/>
      <c r="P11"/>
      <c r="Q11"/>
      <c r="R11"/>
    </row>
    <row r="12" spans="1:18" x14ac:dyDescent="0.25">
      <c r="A12" s="15" t="s">
        <v>73</v>
      </c>
      <c r="B12" s="23" t="s">
        <v>90</v>
      </c>
      <c r="C12" s="35" t="str">
        <f t="shared" ref="C12" si="2">SUBSTITUTE(SUBSTITUTE(SUBSTITUTE(E12,".",""),"/",""),"-","")</f>
        <v>05527694000133</v>
      </c>
      <c r="D12" s="36" t="s">
        <v>166</v>
      </c>
      <c r="E12" s="38" t="s">
        <v>14</v>
      </c>
      <c r="K12"/>
      <c r="L12"/>
      <c r="M12"/>
      <c r="N12"/>
      <c r="O12"/>
      <c r="P12"/>
      <c r="Q12"/>
      <c r="R12"/>
    </row>
    <row r="13" spans="1:18" x14ac:dyDescent="0.25">
      <c r="A13" s="15" t="s">
        <v>74</v>
      </c>
      <c r="B13" s="23" t="s">
        <v>91</v>
      </c>
      <c r="C13" s="35"/>
      <c r="D13" s="39"/>
      <c r="E13" s="40"/>
      <c r="K13"/>
      <c r="L13"/>
      <c r="M13"/>
      <c r="N13"/>
      <c r="O13"/>
      <c r="P13"/>
      <c r="Q13"/>
      <c r="R13"/>
    </row>
    <row r="14" spans="1:18" x14ac:dyDescent="0.25">
      <c r="A14" s="15" t="s">
        <v>66</v>
      </c>
      <c r="B14" s="23" t="s">
        <v>92</v>
      </c>
      <c r="C14" s="35"/>
      <c r="D14" s="39"/>
      <c r="E14" s="40"/>
      <c r="K14"/>
      <c r="L14"/>
      <c r="M14"/>
      <c r="N14"/>
      <c r="O14"/>
      <c r="P14"/>
      <c r="Q14"/>
      <c r="R14"/>
    </row>
    <row r="15" spans="1:18" x14ac:dyDescent="0.25">
      <c r="A15" s="15" t="s">
        <v>75</v>
      </c>
      <c r="B15" s="23" t="s">
        <v>93</v>
      </c>
      <c r="C15" s="35"/>
      <c r="D15" s="39"/>
      <c r="E15" s="40"/>
      <c r="K15"/>
      <c r="L15"/>
      <c r="M15"/>
      <c r="N15"/>
      <c r="O15"/>
      <c r="P15"/>
      <c r="Q15"/>
      <c r="R15"/>
    </row>
    <row r="16" spans="1:18" x14ac:dyDescent="0.25">
      <c r="A16" s="15" t="s">
        <v>69</v>
      </c>
      <c r="B16" s="23" t="s">
        <v>94</v>
      </c>
      <c r="C16" s="35"/>
      <c r="D16" s="39"/>
      <c r="E16" s="40"/>
      <c r="K16"/>
      <c r="L16"/>
      <c r="M16"/>
      <c r="N16"/>
      <c r="O16"/>
      <c r="P16"/>
      <c r="Q16"/>
      <c r="R16"/>
    </row>
    <row r="17" spans="1:17" x14ac:dyDescent="0.25">
      <c r="A17" s="15" t="s">
        <v>67</v>
      </c>
      <c r="B17" s="23" t="s">
        <v>95</v>
      </c>
      <c r="C17" s="35"/>
      <c r="D17" s="39"/>
      <c r="E17" s="40"/>
      <c r="K17"/>
      <c r="L17"/>
      <c r="M17"/>
      <c r="N17"/>
      <c r="O17"/>
      <c r="P17"/>
      <c r="Q17"/>
    </row>
    <row r="18" spans="1:17" x14ac:dyDescent="0.25">
      <c r="A18" s="15" t="s">
        <v>74</v>
      </c>
      <c r="B18" s="23" t="s">
        <v>96</v>
      </c>
      <c r="C18" s="35"/>
      <c r="D18" s="39"/>
      <c r="E18" s="40"/>
      <c r="K18"/>
      <c r="L18"/>
      <c r="M18"/>
      <c r="N18"/>
      <c r="O18"/>
      <c r="P18"/>
      <c r="Q18"/>
    </row>
    <row r="19" spans="1:17" x14ac:dyDescent="0.25">
      <c r="A19" s="15" t="s">
        <v>60</v>
      </c>
      <c r="B19" s="23" t="s">
        <v>97</v>
      </c>
      <c r="C19" s="35"/>
      <c r="D19" s="39"/>
      <c r="E19" s="40"/>
      <c r="K19"/>
      <c r="L19"/>
      <c r="M19"/>
      <c r="N19"/>
      <c r="O19"/>
      <c r="P19"/>
      <c r="Q19"/>
    </row>
    <row r="20" spans="1:17" x14ac:dyDescent="0.25">
      <c r="A20" s="15" t="s">
        <v>76</v>
      </c>
      <c r="B20" s="23" t="s">
        <v>98</v>
      </c>
      <c r="C20" s="35"/>
      <c r="D20" s="39"/>
      <c r="E20" s="40"/>
      <c r="K20"/>
      <c r="L20"/>
      <c r="M20"/>
      <c r="N20"/>
      <c r="O20"/>
      <c r="P20"/>
      <c r="Q20"/>
    </row>
    <row r="21" spans="1:17" x14ac:dyDescent="0.25">
      <c r="A21" s="15" t="s">
        <v>61</v>
      </c>
      <c r="B21" s="23" t="s">
        <v>99</v>
      </c>
      <c r="C21" s="35"/>
      <c r="D21" s="39"/>
      <c r="E21" s="40"/>
      <c r="K21"/>
      <c r="L21"/>
      <c r="M21"/>
      <c r="N21"/>
      <c r="O21"/>
      <c r="P21"/>
      <c r="Q21"/>
    </row>
    <row r="22" spans="1:17" x14ac:dyDescent="0.25">
      <c r="A22" s="15" t="s">
        <v>62</v>
      </c>
      <c r="B22" s="23" t="s">
        <v>100</v>
      </c>
      <c r="C22" s="35"/>
      <c r="D22" s="39"/>
      <c r="E22" s="40"/>
      <c r="K22"/>
      <c r="L22"/>
      <c r="M22"/>
      <c r="N22"/>
      <c r="O22"/>
      <c r="P22"/>
      <c r="Q22"/>
    </row>
    <row r="23" spans="1:17" x14ac:dyDescent="0.25">
      <c r="A23" s="15" t="s">
        <v>77</v>
      </c>
      <c r="B23" s="23" t="s">
        <v>101</v>
      </c>
      <c r="C23" s="35"/>
      <c r="D23" s="39"/>
      <c r="E23" s="40"/>
      <c r="K23"/>
      <c r="L23"/>
      <c r="M23"/>
      <c r="N23"/>
      <c r="O23"/>
      <c r="P23"/>
      <c r="Q23"/>
    </row>
    <row r="24" spans="1:17" x14ac:dyDescent="0.25">
      <c r="A24" s="15" t="s">
        <v>78</v>
      </c>
      <c r="B24" s="23" t="s">
        <v>102</v>
      </c>
      <c r="C24" s="35"/>
      <c r="D24" s="39"/>
      <c r="E24" s="40"/>
      <c r="K24"/>
      <c r="L24"/>
      <c r="M24"/>
      <c r="N24"/>
      <c r="O24"/>
      <c r="P24"/>
      <c r="Q24"/>
    </row>
    <row r="25" spans="1:17" x14ac:dyDescent="0.25">
      <c r="A25" s="15" t="s">
        <v>79</v>
      </c>
      <c r="B25" s="23" t="s">
        <v>103</v>
      </c>
      <c r="C25" s="35"/>
      <c r="D25" s="39"/>
      <c r="E25" s="40"/>
      <c r="K25"/>
      <c r="L25"/>
      <c r="M25"/>
      <c r="N25"/>
      <c r="O25"/>
      <c r="P25"/>
      <c r="Q25"/>
    </row>
    <row r="26" spans="1:17" x14ac:dyDescent="0.25">
      <c r="A26" s="15" t="s">
        <v>59</v>
      </c>
      <c r="B26" s="23" t="s">
        <v>104</v>
      </c>
      <c r="C26" s="35"/>
      <c r="D26" s="39"/>
      <c r="E26" s="40"/>
      <c r="K26"/>
      <c r="L26"/>
      <c r="M26"/>
      <c r="N26"/>
      <c r="O26"/>
      <c r="P26"/>
      <c r="Q26"/>
    </row>
    <row r="27" spans="1:17" x14ac:dyDescent="0.25">
      <c r="A27" s="1" t="s">
        <v>124</v>
      </c>
      <c r="B27" s="23" t="s">
        <v>155</v>
      </c>
      <c r="C27" s="35"/>
      <c r="D27" s="39"/>
      <c r="E27" s="40"/>
      <c r="K27"/>
      <c r="L27"/>
      <c r="M27"/>
      <c r="N27"/>
      <c r="O27"/>
      <c r="P27"/>
      <c r="Q27"/>
    </row>
    <row r="28" spans="1:17" x14ac:dyDescent="0.25">
      <c r="A28" s="1" t="s">
        <v>125</v>
      </c>
      <c r="B28" s="23" t="s">
        <v>155</v>
      </c>
      <c r="C28" s="35"/>
      <c r="D28" s="39"/>
      <c r="E28" s="40"/>
      <c r="K28"/>
      <c r="L28"/>
      <c r="M28"/>
      <c r="N28"/>
      <c r="O28"/>
      <c r="P28"/>
      <c r="Q28"/>
    </row>
    <row r="29" spans="1:17" x14ac:dyDescent="0.25">
      <c r="A29" s="1" t="s">
        <v>126</v>
      </c>
      <c r="B29" s="23" t="s">
        <v>155</v>
      </c>
      <c r="C29" s="35"/>
      <c r="D29" s="39"/>
      <c r="E29" s="40"/>
      <c r="K29"/>
      <c r="L29"/>
      <c r="M29"/>
      <c r="N29"/>
      <c r="O29"/>
      <c r="P29"/>
      <c r="Q29"/>
    </row>
    <row r="30" spans="1:17" x14ac:dyDescent="0.25">
      <c r="A30" s="1" t="s">
        <v>127</v>
      </c>
      <c r="B30" s="23" t="s">
        <v>155</v>
      </c>
      <c r="C30" s="35"/>
      <c r="D30" s="39"/>
      <c r="E30" s="40"/>
      <c r="K30"/>
      <c r="L30"/>
      <c r="M30"/>
      <c r="N30"/>
      <c r="O30"/>
      <c r="P30"/>
      <c r="Q30"/>
    </row>
    <row r="31" spans="1:17" x14ac:dyDescent="0.25">
      <c r="A31" s="1" t="s">
        <v>128</v>
      </c>
      <c r="B31" s="23" t="s">
        <v>155</v>
      </c>
      <c r="C31" s="35"/>
      <c r="D31" s="39"/>
      <c r="E31" s="40"/>
      <c r="K31"/>
      <c r="L31"/>
      <c r="M31"/>
      <c r="N31"/>
      <c r="O31"/>
      <c r="P31"/>
      <c r="Q31"/>
    </row>
    <row r="32" spans="1:17" x14ac:dyDescent="0.25">
      <c r="A32" s="1" t="s">
        <v>129</v>
      </c>
      <c r="B32" s="23" t="s">
        <v>155</v>
      </c>
      <c r="C32" s="35"/>
      <c r="D32" s="39"/>
      <c r="E32" s="40"/>
      <c r="K32"/>
      <c r="L32"/>
      <c r="M32"/>
      <c r="N32"/>
      <c r="O32"/>
      <c r="P32"/>
      <c r="Q32"/>
    </row>
    <row r="33" spans="1:17" x14ac:dyDescent="0.25">
      <c r="A33" s="1" t="s">
        <v>130</v>
      </c>
      <c r="B33" s="23" t="s">
        <v>155</v>
      </c>
      <c r="K33"/>
      <c r="L33"/>
      <c r="M33"/>
      <c r="N33"/>
      <c r="O33"/>
      <c r="P33"/>
      <c r="Q33"/>
    </row>
    <row r="34" spans="1:17" x14ac:dyDescent="0.25">
      <c r="A34" s="1" t="s">
        <v>131</v>
      </c>
      <c r="B34" s="23" t="s">
        <v>155</v>
      </c>
      <c r="D34" s="41" t="s">
        <v>164</v>
      </c>
      <c r="K34"/>
      <c r="L34"/>
      <c r="M34"/>
      <c r="N34"/>
      <c r="O34"/>
      <c r="P34"/>
      <c r="Q34"/>
    </row>
    <row r="35" spans="1:17" x14ac:dyDescent="0.25">
      <c r="A35" s="1" t="s">
        <v>132</v>
      </c>
      <c r="B35" s="23" t="s">
        <v>155</v>
      </c>
      <c r="K35"/>
      <c r="L35"/>
      <c r="M35"/>
      <c r="N35"/>
      <c r="O35"/>
      <c r="P35"/>
      <c r="Q35"/>
    </row>
    <row r="36" spans="1:17" x14ac:dyDescent="0.25">
      <c r="A36" s="1" t="s">
        <v>133</v>
      </c>
      <c r="B36" s="23" t="s">
        <v>155</v>
      </c>
      <c r="K36"/>
      <c r="L36"/>
      <c r="M36"/>
      <c r="N36"/>
      <c r="O36"/>
      <c r="P36"/>
      <c r="Q36"/>
    </row>
    <row r="37" spans="1:17" x14ac:dyDescent="0.25">
      <c r="A37" s="1" t="s">
        <v>134</v>
      </c>
      <c r="B37" s="23" t="s">
        <v>155</v>
      </c>
      <c r="K37"/>
      <c r="L37"/>
      <c r="M37"/>
      <c r="N37"/>
      <c r="O37"/>
      <c r="P37"/>
      <c r="Q37"/>
    </row>
    <row r="38" spans="1:17" x14ac:dyDescent="0.25">
      <c r="A38" s="1" t="s">
        <v>135</v>
      </c>
      <c r="B38" s="23" t="s">
        <v>155</v>
      </c>
      <c r="K38"/>
      <c r="L38"/>
      <c r="M38"/>
      <c r="N38"/>
      <c r="O38"/>
      <c r="P38"/>
      <c r="Q38"/>
    </row>
    <row r="39" spans="1:17" x14ac:dyDescent="0.25">
      <c r="A39" s="1" t="s">
        <v>136</v>
      </c>
      <c r="B39" s="23" t="s">
        <v>155</v>
      </c>
      <c r="K39"/>
      <c r="L39"/>
      <c r="M39"/>
      <c r="N39"/>
      <c r="O39"/>
      <c r="P39"/>
      <c r="Q39"/>
    </row>
    <row r="40" spans="1:17" x14ac:dyDescent="0.25">
      <c r="A40" s="1" t="s">
        <v>137</v>
      </c>
      <c r="B40" s="23" t="s">
        <v>155</v>
      </c>
      <c r="K40"/>
      <c r="L40"/>
      <c r="M40"/>
      <c r="N40"/>
      <c r="O40"/>
      <c r="P40"/>
      <c r="Q40"/>
    </row>
    <row r="41" spans="1:17" x14ac:dyDescent="0.25">
      <c r="A41" s="1" t="s">
        <v>138</v>
      </c>
      <c r="B41" s="23" t="s">
        <v>155</v>
      </c>
      <c r="K41"/>
      <c r="L41"/>
      <c r="M41"/>
      <c r="N41"/>
      <c r="O41"/>
      <c r="P41"/>
      <c r="Q41"/>
    </row>
    <row r="42" spans="1:17" x14ac:dyDescent="0.25">
      <c r="A42" s="1" t="s">
        <v>139</v>
      </c>
      <c r="B42" s="23" t="s">
        <v>155</v>
      </c>
      <c r="K42"/>
      <c r="L42"/>
      <c r="M42"/>
      <c r="N42"/>
      <c r="O42"/>
      <c r="P42"/>
      <c r="Q42"/>
    </row>
    <row r="43" spans="1:17" x14ac:dyDescent="0.25">
      <c r="A43" s="1" t="s">
        <v>140</v>
      </c>
      <c r="B43" s="23" t="s">
        <v>155</v>
      </c>
      <c r="K43"/>
      <c r="L43"/>
      <c r="M43"/>
      <c r="N43"/>
      <c r="O43"/>
      <c r="P43"/>
      <c r="Q43"/>
    </row>
    <row r="44" spans="1:17" x14ac:dyDescent="0.25">
      <c r="A44" s="1" t="s">
        <v>141</v>
      </c>
      <c r="B44" s="23" t="s">
        <v>155</v>
      </c>
      <c r="K44"/>
      <c r="L44"/>
      <c r="M44"/>
      <c r="N44"/>
      <c r="O44"/>
      <c r="P44"/>
      <c r="Q44"/>
    </row>
    <row r="45" spans="1:17" x14ac:dyDescent="0.25">
      <c r="A45" s="1" t="s">
        <v>142</v>
      </c>
      <c r="B45" s="23" t="s">
        <v>155</v>
      </c>
      <c r="K45"/>
      <c r="L45"/>
      <c r="M45"/>
      <c r="N45"/>
      <c r="O45"/>
      <c r="P45"/>
      <c r="Q45"/>
    </row>
    <row r="46" spans="1:17" x14ac:dyDescent="0.25">
      <c r="A46" s="1" t="s">
        <v>143</v>
      </c>
      <c r="B46" s="23" t="s">
        <v>155</v>
      </c>
      <c r="K46"/>
      <c r="L46"/>
      <c r="M46"/>
      <c r="N46"/>
      <c r="O46"/>
      <c r="P46"/>
      <c r="Q46"/>
    </row>
    <row r="47" spans="1:17" x14ac:dyDescent="0.25">
      <c r="A47" s="1" t="s">
        <v>144</v>
      </c>
      <c r="B47" s="23" t="s">
        <v>155</v>
      </c>
      <c r="K47"/>
      <c r="L47"/>
      <c r="M47"/>
      <c r="N47"/>
      <c r="O47"/>
      <c r="P47"/>
      <c r="Q47"/>
    </row>
    <row r="48" spans="1:17" x14ac:dyDescent="0.25">
      <c r="A48" s="1" t="s">
        <v>145</v>
      </c>
      <c r="B48" s="23" t="s">
        <v>155</v>
      </c>
      <c r="K48"/>
      <c r="L48"/>
      <c r="M48"/>
      <c r="N48"/>
      <c r="O48"/>
      <c r="P48"/>
      <c r="Q48"/>
    </row>
    <row r="49" spans="1:17" x14ac:dyDescent="0.25">
      <c r="A49" s="1" t="s">
        <v>146</v>
      </c>
      <c r="B49" s="23" t="s">
        <v>155</v>
      </c>
      <c r="K49"/>
      <c r="L49"/>
      <c r="M49"/>
      <c r="N49"/>
      <c r="O49"/>
      <c r="P49"/>
      <c r="Q49"/>
    </row>
    <row r="50" spans="1:17" x14ac:dyDescent="0.25">
      <c r="A50" s="1" t="s">
        <v>147</v>
      </c>
      <c r="B50" s="23" t="s">
        <v>155</v>
      </c>
      <c r="K50"/>
      <c r="L50"/>
      <c r="M50"/>
    </row>
    <row r="51" spans="1:17" x14ac:dyDescent="0.25">
      <c r="A51" s="1" t="s">
        <v>148</v>
      </c>
      <c r="B51" s="23" t="s">
        <v>155</v>
      </c>
      <c r="K51"/>
      <c r="L51"/>
      <c r="M51"/>
    </row>
    <row r="52" spans="1:17" x14ac:dyDescent="0.25">
      <c r="A52" s="1" t="s">
        <v>149</v>
      </c>
      <c r="B52" s="23" t="s">
        <v>155</v>
      </c>
      <c r="K52"/>
    </row>
    <row r="53" spans="1:17" x14ac:dyDescent="0.25">
      <c r="A53" s="1" t="s">
        <v>150</v>
      </c>
      <c r="B53" s="23" t="s">
        <v>155</v>
      </c>
    </row>
    <row r="54" spans="1:17" x14ac:dyDescent="0.25">
      <c r="A54" s="1" t="s">
        <v>151</v>
      </c>
      <c r="B54" s="23" t="s">
        <v>155</v>
      </c>
    </row>
    <row r="55" spans="1:17" x14ac:dyDescent="0.25">
      <c r="A55" s="1" t="s">
        <v>152</v>
      </c>
      <c r="B55" s="23" t="s">
        <v>155</v>
      </c>
    </row>
    <row r="56" spans="1:17" x14ac:dyDescent="0.25">
      <c r="A56" s="1" t="s">
        <v>153</v>
      </c>
      <c r="B56" s="23" t="s">
        <v>155</v>
      </c>
    </row>
    <row r="57" spans="1:17" x14ac:dyDescent="0.25">
      <c r="A57" s="1" t="s">
        <v>154</v>
      </c>
      <c r="B57" s="23" t="s">
        <v>155</v>
      </c>
    </row>
    <row r="58" spans="1:17" x14ac:dyDescent="0.25">
      <c r="A58" s="42" t="s">
        <v>167</v>
      </c>
      <c r="B58" s="23" t="s">
        <v>155</v>
      </c>
    </row>
  </sheetData>
  <pageMargins left="0.511811024" right="0.511811024" top="0.78740157499999996" bottom="0.78740157499999996" header="0.31496062000000002" footer="0.31496062000000002"/>
  <pageSetup orientation="portrait" r:id="rId2"/>
  <customProperties>
    <customPr name="EpmWorksheetKeyString_GUID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10"/>
  <sheetViews>
    <sheetView workbookViewId="0">
      <selection activeCell="C11" sqref="C11:E14"/>
    </sheetView>
  </sheetViews>
  <sheetFormatPr defaultColWidth="13.140625" defaultRowHeight="15" x14ac:dyDescent="0.25"/>
  <cols>
    <col min="1" max="4" width="13.140625" style="1"/>
    <col min="5" max="5" width="20" style="1" customWidth="1"/>
    <col min="6" max="6" width="17.5703125" style="1" bestFit="1" customWidth="1"/>
    <col min="7" max="11" width="13.140625" style="1"/>
    <col min="12" max="12" width="13.140625" style="21"/>
    <col min="13" max="15" width="13.140625" style="1"/>
    <col min="16" max="16" width="14.85546875" style="20" bestFit="1" customWidth="1"/>
    <col min="17" max="17" width="32.140625" style="20" bestFit="1" customWidth="1"/>
    <col min="18" max="18" width="13.7109375" style="20" bestFit="1" customWidth="1"/>
    <col min="19" max="16384" width="13.140625" style="1"/>
  </cols>
  <sheetData>
    <row r="1" spans="1:17" x14ac:dyDescent="0.25">
      <c r="A1" s="1" t="s">
        <v>111</v>
      </c>
      <c r="F1" s="3" t="s">
        <v>44</v>
      </c>
    </row>
    <row r="2" spans="1:17" x14ac:dyDescent="0.25">
      <c r="H2" s="2" t="s">
        <v>45</v>
      </c>
    </row>
    <row r="3" spans="1:17" x14ac:dyDescent="0.25">
      <c r="A3" s="4" t="s">
        <v>112</v>
      </c>
      <c r="E3" s="2" t="s">
        <v>113</v>
      </c>
      <c r="O3" s="5" t="s">
        <v>114</v>
      </c>
    </row>
    <row r="4" spans="1:17" x14ac:dyDescent="0.25">
      <c r="A4" s="4" t="s">
        <v>46</v>
      </c>
      <c r="B4" s="19" t="s">
        <v>115</v>
      </c>
      <c r="C4" s="22" t="str">
        <f>B10</f>
        <v>29332398000579</v>
      </c>
    </row>
    <row r="5" spans="1:17" x14ac:dyDescent="0.25">
      <c r="A5" s="4" t="s">
        <v>47</v>
      </c>
      <c r="B5" s="19" t="s">
        <v>116</v>
      </c>
    </row>
    <row r="6" spans="1:17" x14ac:dyDescent="0.25">
      <c r="A6" s="4" t="s">
        <v>48</v>
      </c>
      <c r="B6" s="19" t="s">
        <v>117</v>
      </c>
    </row>
    <row r="7" spans="1:17" x14ac:dyDescent="0.25">
      <c r="A7" s="4" t="s">
        <v>49</v>
      </c>
      <c r="B7" s="25" t="s">
        <v>168</v>
      </c>
      <c r="C7" s="43" t="e">
        <f>VLOOKUP(B7,FILTRO!A:E,5,0)</f>
        <v>#N/A</v>
      </c>
      <c r="E7" s="9" t="s">
        <v>118</v>
      </c>
      <c r="F7" s="1" t="s">
        <v>119</v>
      </c>
    </row>
    <row r="8" spans="1:17" x14ac:dyDescent="0.25">
      <c r="A8" s="4" t="s">
        <v>50</v>
      </c>
      <c r="B8" s="19" t="s">
        <v>120</v>
      </c>
    </row>
    <row r="9" spans="1:17" x14ac:dyDescent="0.25">
      <c r="A9" s="4" t="s">
        <v>51</v>
      </c>
      <c r="C9" s="5" t="s">
        <v>52</v>
      </c>
      <c r="D9" s="5" t="s">
        <v>53</v>
      </c>
      <c r="E9" s="5" t="s">
        <v>54</v>
      </c>
      <c r="F9" s="3" t="s">
        <v>55</v>
      </c>
      <c r="G9" s="3" t="s">
        <v>56</v>
      </c>
      <c r="H9" s="3" t="s">
        <v>57</v>
      </c>
      <c r="J9" s="3" t="s">
        <v>58</v>
      </c>
      <c r="K9" s="3" t="s">
        <v>121</v>
      </c>
      <c r="L9" s="18" t="s">
        <v>0</v>
      </c>
      <c r="N9" s="5" t="s">
        <v>58</v>
      </c>
      <c r="O9" s="3" t="s">
        <v>122</v>
      </c>
      <c r="Q9" s="20" t="s">
        <v>123</v>
      </c>
    </row>
    <row r="10" spans="1:17" x14ac:dyDescent="0.25">
      <c r="A10" s="23" t="str">
        <f>VLOOKUP(B10,BASE!A:B,2,0)</f>
        <v>NOBLE - 23</v>
      </c>
      <c r="B10" s="28" t="str">
        <f>BASE!N1</f>
        <v>29332398000579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C00000"/>
  </sheetPr>
  <dimension ref="A1"/>
  <sheetViews>
    <sheetView workbookViewId="0">
      <selection activeCell="C6" sqref="C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Report</vt:lpstr>
      <vt:lpstr>FILTRO</vt:lpstr>
      <vt:lpstr>BASE</vt:lpstr>
      <vt:lpstr>LAYOUT</vt:lpstr>
      <vt:lpstr>Executa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Nelson</cp:lastModifiedBy>
  <dcterms:created xsi:type="dcterms:W3CDTF">2018-12-04T13:51:11Z</dcterms:created>
  <dcterms:modified xsi:type="dcterms:W3CDTF">2021-05-31T14:55:20Z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n.caracelli.diniz@avanade.com</vt:lpwstr>
  </property>
  <property fmtid="{D5CDD505-2E9C-101B-9397-08002B2CF9AE}" pid="5" name="MSIP_Label_236020b0-6d69-48c1-9bb5-c586c1062b70_SetDate">
    <vt:lpwstr>2019-01-02T13:24:44.7972781Z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n.caracelli.diniz@avanade.com</vt:lpwstr>
  </property>
  <property fmtid="{D5CDD505-2E9C-101B-9397-08002B2CF9AE}" pid="12" name="MSIP_Label_5fae8262-b78e-4366-8929-a5d6aac95320_SetDate">
    <vt:lpwstr>2019-01-02T13:24:44.7972781Z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  <property fmtid="{D5CDD505-2E9C-101B-9397-08002B2CF9AE}" pid="18" name="WorkbookGuid">
    <vt:lpwstr>b6f816f6-3b5b-4610-9035-1bbdd34d3f92</vt:lpwstr>
  </property>
</Properties>
</file>