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lacas\7\"/>
    </mc:Choice>
  </mc:AlternateContent>
  <xr:revisionPtr revIDLastSave="0" documentId="13_ncr:1_{E4CDD1BC-E876-4A06-9B68-3B220640643C}" xr6:coauthVersionLast="47" xr6:coauthVersionMax="47" xr10:uidLastSave="{00000000-0000-0000-0000-000000000000}"/>
  <bookViews>
    <workbookView xWindow="-120" yWindow="-120" windowWidth="24240" windowHeight="17790" tabRatio="381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dados!$A$1:$AB$3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15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2" l="1"/>
  <c r="M2" i="10" l="1"/>
  <c r="M1" i="10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<sst xmlns="http://schemas.openxmlformats.org/spreadsheetml/2006/main" count="752" uniqueCount="205">
  <si>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</si>
  <si>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</si>
  <si>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</si>
  <si>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</si>
  <si>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</si>
  <si>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</si>
  <si>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</si>
  <si>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</si>
  <si>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</si>
  <si>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</si>
  <si>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</si>
  <si>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</si>
  <si>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</si>
  <si>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</si>
  <si>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</si>
  <si>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</si>
  <si>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</si>
  <si>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</si>
  <si>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</si>
  <si>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</si>
  <si>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</si>
  <si>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</si>
  <si>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</si>
  <si>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</si>
  <si>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</si>
  <si>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</si>
  <si>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</si>
  <si>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</si>
  <si>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</si>
  <si>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</si>
  <si>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</si>
  <si>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</si>
  <si>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</si>
  <si>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</si>
  <si>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</si>
  <si>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</si>
  <si>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</si>
  <si>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</si>
  <si>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</si>
  <si>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</si>
  <si>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</si>
  <si>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</si>
  <si>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</si>
  <si>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</si>
  <si>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</si>
  <si>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</si>
  <si>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</si>
  <si>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</si>
  <si>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</si>
  <si>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</si>
  <si>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</si>
  <si>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</si>
  <si>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</si>
  <si>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</si>
  <si>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</si>
  <si>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</si>
  <si>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</si>
  <si>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</si>
  <si>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</si>
  <si>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</si>
  <si>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</si>
  <si>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</si>
  <si>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</si>
  <si>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</si>
  <si>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</si>
  <si>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</si>
  <si>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</si>
  <si>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</si>
  <si>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</si>
  <si>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</si>
  <si>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</si>
  <si>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</si>
  <si>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</si>
  <si>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</si>
  <si>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</si>
  <si>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</si>
  <si>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</si>
  <si>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</si>
  <si>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</si>
  <si>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</si>
  <si>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</si>
  <si>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</si>
  <si>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</si>
  <si>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</si>
  <si>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</si>
  <si>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</si>
  <si>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</si>
  <si>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</si>
  <si>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</si>
  <si>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</si>
  <si>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</si>
  <si>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</si>
  <si>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</si>
  <si>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</si>
  <si>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</si>
  <si>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</si>
  <si>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</si>
  <si>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</si>
  <si>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</si>
  <si>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</si>
  <si>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</si>
  <si>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</si>
  <si>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</si>
  <si>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</si>
  <si>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</si>
  <si>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</si>
  <si>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</si>
  <si>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</si>
  <si>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</si>
  <si>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</si>
  <si>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</si>
  <si>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</si>
  <si>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</si>
  <si>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</si>
  <si>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</si>
  <si>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</si>
  <si>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</si>
  <si>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</si>
  <si>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</si>
  <si>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</si>
  <si>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</si>
  <si>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</si>
  <si>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</si>
  <si>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</si>
  <si>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</si>
  <si>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</si>
  <si>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</si>
  <si>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</si>
  <si>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</si>
  <si>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</si>
  <si>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</si>
  <si>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</si>
  <si>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</si>
  <si>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</si>
  <si>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</si>
  <si>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</si>
  <si>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</si>
  <si>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</si>
  <si>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</si>
  <si>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</si>
  <si>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</si>
  <si>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</si>
  <si>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</si>
  <si>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</si>
  <si>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</si>
  <si>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</si>
  <si>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</si>
  <si>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</si>
  <si>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</si>
  <si>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</si>
  <si>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</si>
  <si>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</si>
  <si>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</si>
  <si>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</si>
  <si>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</si>
  <si>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</si>
  <si>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</si>
  <si>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</si>
  <si>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</si>
  <si>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</si>
  <si>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</si>
  <si>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</si>
  <si>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</si>
  <si>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</si>
  <si>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</si>
  <si>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</si>
  <si>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</si>
  <si>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</si>
  <si>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</si>
  <si>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</si>
  <si>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</si>
  <si>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</si>
  <si>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</si>
  <si>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</si>
  <si>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</si>
  <si>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</si>
  <si>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</si>
  <si>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</si>
  <si>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</si>
  <si>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</si>
  <si>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</si>
  <si>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</si>
  <si>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</si>
  <si>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</si>
  <si>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1</t>
  </si>
  <si>
    <t>TIPLAM - Porto Inácio Antonio Mesquita - Santos</t>
  </si>
  <si>
    <t>P</t>
  </si>
  <si>
    <t>02.476.026/0008-02</t>
  </si>
  <si>
    <t>Vitória ES - Tubarão</t>
  </si>
  <si>
    <t>C29</t>
  </si>
  <si>
    <t>33.592.510/0021-06</t>
  </si>
  <si>
    <t>TPSL -  Terminal Portuário São Luís</t>
  </si>
  <si>
    <t>42.276.907/0015-23</t>
  </si>
  <si>
    <t>NOVAAGRI PIRAPORA</t>
  </si>
  <si>
    <t>SOJA EM GRAOS</t>
  </si>
  <si>
    <t>06.315.338/0177-80</t>
  </si>
  <si>
    <t>19/20</t>
  </si>
  <si>
    <t>55</t>
  </si>
  <si>
    <t>Não Informado</t>
  </si>
  <si>
    <t>HFD-607671-8</t>
  </si>
  <si>
    <t>TRANSBORDO SAÍDA</t>
  </si>
  <si>
    <t>S</t>
  </si>
  <si>
    <t>20/03/2020 00:00</t>
  </si>
  <si>
    <t>HFD6076718</t>
  </si>
  <si>
    <t>20/03/2020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</si>
</sst>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9" formatCode="#,#00"/>
    <numFmt numFmtId="170" formatCode="dd/mm/yyyy"/>
  </numFmts>
  <fonts count="2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  <font>
      <sz val="10"/>
      <color indexed="8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rgb="FF000000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2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169" fontId="13" fillId="0" borderId="0" xfId="7" applyNumberFormat="1"/>
    <xf numFmtId="0" fontId="19" fillId="6" borderId="4" xfId="0" quotePrefix="1" applyFont="1" applyFill="1" applyBorder="1" applyAlignment="1">
      <alignment horizontal="center" vertical="center"/>
    </xf>
    <xf numFmtId="49" fontId="0" fillId="8" borderId="4" xfId="0" applyNumberFormat="1" applyFill="1" applyBorder="1" applyAlignment="1">
      <alignment horizontal="right"/>
    </xf>
    <xf numFmtId="0" fontId="21" fillId="6" borderId="4" xfId="0" applyFont="1" applyFill="1" applyBorder="1"/>
    <xf numFmtId="0" fontId="22" fillId="0" borderId="8" xfId="0" applyFont="1" applyBorder="1" applyAlignment="1" applyProtection="1">
      <alignment horizontal="center" vertical="center" wrapText="1" readingOrder="1"/>
      <protection locked="0"/>
    </xf>
    <xf numFmtId="165" fontId="22" fillId="0" borderId="8" xfId="0" applyNumberFormat="1" applyFont="1" applyBorder="1" applyAlignment="1" applyProtection="1">
      <alignment horizontal="center" vertical="center" wrapText="1" readingOrder="1"/>
      <protection locked="0"/>
    </xf>
    <xf numFmtId="0" fontId="13" fillId="0" borderId="0" xfId="7" quotePrefix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7" borderId="0" xfId="0" applyNumberFormat="1" applyFont="1" applyFill="1"/>
    <xf numFmtId="1" fontId="13" fillId="0" borderId="0" xfId="7" quotePrefix="1" applyNumberFormat="1"/>
    <xf numFmtId="1" fontId="22" fillId="0" borderId="8" xfId="0" applyNumberFormat="1" applyFont="1" applyBorder="1" applyAlignment="1" applyProtection="1">
      <alignment horizontal="center" vertical="center" wrapText="1" readingOrder="1"/>
      <protection locked="0"/>
    </xf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47.509204513888" createdVersion="6" refreshedVersion="7" minRefreshableVersion="3" recordCount="1" xr:uid="{00000000-000A-0000-FFFF-FFFF43000000}">
  <cacheSource type="worksheet">
    <worksheetSource name="=tbl_dinamica"/>
  </cacheSource>
  <cacheFields count="29">
    <cacheField name="C1" numFmtId="0">
      <sharedItems containsSemiMixedTypes="0" containsString="0" containsNumber="1" containsInteger="1" minValue="6209835" maxValue="6209835"/>
    </cacheField>
    <cacheField name="C2" numFmtId="0">
      <sharedItems/>
    </cacheField>
    <cacheField name="C3" numFmtId="0">
      <sharedItems/>
    </cacheField>
    <cacheField name="C4" numFmtId="0">
      <sharedItems/>
    </cacheField>
    <cacheField name="C5" numFmtId="0">
      <sharedItems count="1">
        <s v="06.315.338/0177-80"/>
      </sharedItems>
    </cacheField>
    <cacheField name="C6" numFmtId="0">
      <sharedItems count="1">
        <s v="COFCO UBERLANDIA"/>
      </sharedItems>
    </cacheField>
    <cacheField name="C7" numFmtId="0">
      <sharedItems/>
    </cacheField>
    <cacheField name="C8" numFmtId="0">
      <sharedItems/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165">
      <sharedItems containsSemiMixedTypes="0" containsString="0" containsNumber="1" containsInteger="1" minValue="42096" maxValue="42096"/>
    </cacheField>
    <cacheField name="C14" numFmtId="165">
      <sharedItems containsSemiMixedTypes="0" containsString="0" containsNumber="1" containsInteger="1" minValue="11493" maxValue="11493"/>
    </cacheField>
    <cacheField name="C15" numFmtId="165">
      <sharedItems containsSemiMixedTypes="0" containsString="0" containsNumber="1" containsInteger="1" minValue="30603" maxValue="30603"/>
    </cacheField>
    <cacheField name="C16" numFmtId="165">
      <sharedItems containsSemiMixedTypes="0" containsString="0" containsNumber="1" containsInteger="1" minValue="30603" maxValue="30603"/>
    </cacheField>
    <cacheField name="C17" numFmtId="0">
      <sharedItems/>
    </cacheField>
    <cacheField name="C18" numFmtId="0">
      <sharedItems/>
    </cacheField>
    <cacheField name="C19" numFmtId="0">
      <sharedItems containsSemiMixedTypes="0" containsString="0" containsNumber="1" containsInteger="1" minValue="7098" maxValue="7098"/>
    </cacheField>
    <cacheField name="C20" numFmtId="165">
      <sharedItems containsSemiMixedTypes="0" containsString="0" containsNumber="1" containsInteger="1" minValue="30603" maxValue="30603"/>
    </cacheField>
    <cacheField name="C21" numFmtId="0">
      <sharedItems containsNonDate="0" containsString="0" containsBlank="1"/>
    </cacheField>
    <cacheField name="C22" numFmtId="0">
      <sharedItems containsNonDate="0" containsString="0" containsBlank="1"/>
    </cacheField>
    <cacheField name="C23" numFmtId="0">
      <sharedItems containsNonDate="0" containsString="0" containsBlank="1"/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  <cacheField name="C29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6209835"/>
    <s v="NOVAAGRI PIRAPORA"/>
    <s v="SOJA EM GRAOS"/>
    <s v="Não Informado"/>
    <x v="0"/>
    <x v="0"/>
    <s v="COFCO UBERLANDIA"/>
    <s v="HFD-607671-8"/>
    <s v="TRANSBORDO SAÍDA"/>
    <s v="S"/>
    <s v="19/20"/>
    <s v="20/03/2020 00:00"/>
    <n v="42096"/>
    <n v="11493"/>
    <n v="30603"/>
    <n v="30603"/>
    <s v="55"/>
    <s v="1"/>
    <n v="7098"/>
    <n v="30603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15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N6" firstHeaderRow="2" firstDataRow="2" firstDataCol="2"/>
  <pivotFields count="29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axis="axisRow" compact="0" numFmtId="165" outline="0" showAll="0" includeNewItemsInFilter="1" defaultSubtotal="0">
      <items count="1">
        <item x="0"/>
      </items>
    </pivotField>
    <pivotField axis="axisRow" compact="0" numFmtId="165" outline="0" showAll="0" includeNewItemsInFilter="1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includeNewItemsInFilter="1" defaultSubtotal="0"/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</pivotFields>
  <rowFields count="2">
    <field x="4"/>
    <field x="5"/>
  </rowFields>
  <rowItems count="1">
    <i>
      <x/>
      <x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11"/>
  <sheetViews>
    <sheetView tabSelected="1" zoomScale="85" zoomScaleNormal="85" workbookViewId="0">
      <pane ySplit="9" topLeftCell="A10" activePane="bottomLeft" state="frozen"/>
      <selection pane="bottomLeft" activeCell="B25" sqref="B25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58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57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06315338017780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">
        <v>143</v>
      </c>
      <c r="C7" s="56" t="s">
        <v>170</v>
      </c>
      <c r="E7" s="16" t="s">
        <v>43</v>
      </c>
      <c r="F7" s="59" t="s">
        <v>12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57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UBERLANDIA</v>
      </c>
      <c r="B10" s="24" t="s">
        <v>150</v>
      </c>
    </row>
    <row r="11" spans="1:17" x14ac:dyDescent="0.2">
      <c r="A11" s="60" t="s">
        <v>203</v>
      </c>
      <c r="C11" s="19">
        <v>0</v>
      </c>
      <c r="D11" s="19">
        <v>0</v>
      </c>
      <c r="E11" s="19">
        <v>0</v>
      </c>
      <c r="F11" s="58" t="s">
        <v>204</v>
      </c>
      <c r="H11" s="10" t="str">
        <f>MID(A11,4,7)</f>
        <v>6076718</v>
      </c>
      <c r="J11" s="50">
        <v>30603</v>
      </c>
      <c r="K11" s="10">
        <v>0</v>
      </c>
      <c r="L11" s="12">
        <v>7098</v>
      </c>
      <c r="M11" s="12" t="s">
        <v>184</v>
      </c>
      <c r="N11" s="50">
        <v>30603</v>
      </c>
      <c r="O11" s="10" t="s">
        <v>186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topLeftCell="D1" zoomScaleNormal="100" workbookViewId="0">
      <selection activeCell="M6" sqref="M6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7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19.140625" bestFit="1" customWidth="1"/>
    <col min="14" max="16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195</v>
      </c>
      <c r="M1" t="e">
        <f>VLOOKUP(L1,dados!$H:$T,13,0)</f>
        <v>#N/A</v>
      </c>
    </row>
    <row r="2" spans="1:14" x14ac:dyDescent="0.25">
      <c r="A2" s="30" t="s">
        <v>60</v>
      </c>
      <c r="B2" s="26" t="s">
        <v>61</v>
      </c>
      <c r="D2" s="42" t="s">
        <v>163</v>
      </c>
      <c r="E2" s="51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06315338017780</v>
      </c>
      <c r="M2" s="7" t="str">
        <f>IFERROR(VLOOKUP(L1,dados!$H:$Z,19,0),"")</f>
        <v/>
      </c>
    </row>
    <row r="3" spans="1:14" x14ac:dyDescent="0.25">
      <c r="A3" s="30" t="s">
        <v>62</v>
      </c>
      <c r="B3" s="26" t="s">
        <v>63</v>
      </c>
      <c r="D3" s="42" t="s">
        <v>165</v>
      </c>
      <c r="E3" s="44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4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4" t="s">
        <v>170</v>
      </c>
      <c r="F5" s="38"/>
      <c r="H5" s="4" t="s">
        <v>16</v>
      </c>
      <c r="I5" s="1" t="s">
        <v>13</v>
      </c>
      <c r="L5" s="9" t="s">
        <v>24</v>
      </c>
      <c r="M5" s="9" t="s">
        <v>25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4" t="s">
        <v>170</v>
      </c>
      <c r="F6" s="38"/>
      <c r="H6" s="4" t="s">
        <v>19</v>
      </c>
      <c r="I6" s="5" t="s">
        <v>20</v>
      </c>
      <c r="L6" s="36" t="s">
        <v>195</v>
      </c>
      <c r="M6" s="36" t="s">
        <v>143</v>
      </c>
      <c r="N6" s="37">
        <v>1</v>
      </c>
    </row>
    <row r="7" spans="1:14" x14ac:dyDescent="0.25">
      <c r="A7" s="30" t="s">
        <v>70</v>
      </c>
      <c r="B7" s="26" t="s">
        <v>71</v>
      </c>
      <c r="D7" s="52" t="s">
        <v>185</v>
      </c>
      <c r="E7" s="53" t="s">
        <v>187</v>
      </c>
      <c r="F7" s="38"/>
      <c r="H7" s="2" t="s">
        <v>14</v>
      </c>
      <c r="I7" t="s">
        <v>12</v>
      </c>
    </row>
    <row r="8" spans="1:14" x14ac:dyDescent="0.25">
      <c r="A8" s="30" t="s">
        <v>72</v>
      </c>
      <c r="B8" s="26" t="s">
        <v>73</v>
      </c>
      <c r="D8" s="42" t="s">
        <v>188</v>
      </c>
      <c r="E8" s="46" t="s">
        <v>190</v>
      </c>
      <c r="F8" s="38"/>
    </row>
    <row r="9" spans="1:14" x14ac:dyDescent="0.25">
      <c r="A9" s="30" t="s">
        <v>74</v>
      </c>
      <c r="B9" s="26" t="s">
        <v>75</v>
      </c>
      <c r="D9" s="39" t="s">
        <v>191</v>
      </c>
      <c r="E9" s="46" t="s">
        <v>192</v>
      </c>
      <c r="F9" s="38"/>
    </row>
    <row r="10" spans="1:14" x14ac:dyDescent="0.25">
      <c r="A10" s="30" t="s">
        <v>76</v>
      </c>
      <c r="B10" s="26" t="s">
        <v>77</v>
      </c>
      <c r="D10" s="40"/>
      <c r="E10" s="45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8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8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8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8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8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8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8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8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8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8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8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8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8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8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8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8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8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8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8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8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8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8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8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8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8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8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8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8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8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8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8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8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3"/>
  <sheetViews>
    <sheetView topLeftCell="C1" workbookViewId="0">
      <selection activeCell="A2" sqref="A2:AB3"/>
    </sheetView>
  </sheetViews>
  <sheetFormatPr defaultColWidth="87.140625" defaultRowHeight="15" x14ac:dyDescent="0.25"/>
  <cols>
    <col min="1" max="1" width="8" style="6" bestFit="1" customWidth="1"/>
    <col min="2" max="2" width="21.140625" style="23" bestFit="1" customWidth="1"/>
    <col min="3" max="3" width="16.7109375" bestFit="1" customWidth="1"/>
    <col min="4" max="4" width="13.5703125" bestFit="1" customWidth="1"/>
    <col min="5" max="5" width="17.5703125" bestFit="1" customWidth="1"/>
    <col min="6" max="7" width="20.140625" bestFit="1" customWidth="1"/>
    <col min="8" max="8" width="12.85546875" bestFit="1" customWidth="1"/>
    <col min="9" max="9" width="23.5703125" bestFit="1" customWidth="1"/>
    <col min="10" max="11" width="6.42578125" bestFit="1" customWidth="1"/>
    <col min="12" max="12" width="15.42578125" bestFit="1" customWidth="1"/>
    <col min="13" max="16" width="6.5703125" bestFit="1" customWidth="1"/>
    <col min="17" max="19" width="6.42578125" bestFit="1" customWidth="1"/>
    <col min="20" max="20" width="6.5703125" bestFit="1" customWidth="1"/>
    <col min="21" max="29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49" t="s">
        <v>171</v>
      </c>
      <c r="Q1" s="49" t="s">
        <v>172</v>
      </c>
      <c r="R1" s="49" t="s">
        <v>173</v>
      </c>
      <c r="S1" s="49" t="s">
        <v>174</v>
      </c>
      <c r="T1" s="49" t="s">
        <v>175</v>
      </c>
      <c r="U1" s="49" t="s">
        <v>176</v>
      </c>
      <c r="V1" s="49" t="s">
        <v>177</v>
      </c>
      <c r="W1" s="49" t="s">
        <v>178</v>
      </c>
      <c r="X1" s="49" t="s">
        <v>179</v>
      </c>
      <c r="Y1" s="49" t="s">
        <v>180</v>
      </c>
      <c r="Z1" s="49" t="s">
        <v>181</v>
      </c>
      <c r="AA1" s="49" t="s">
        <v>182</v>
      </c>
      <c r="AB1" s="49" t="s">
        <v>183</v>
      </c>
      <c r="AC1" s="49" t="s">
        <v>189</v>
      </c>
    </row>
    <row r="2" spans="1:29" x14ac:dyDescent="0.25">
      <c r="A2" s="61">
        <v>6209835</v>
      </c>
      <c r="B2" s="54" t="s">
        <v>193</v>
      </c>
      <c r="C2" s="54" t="s">
        <v>194</v>
      </c>
      <c r="D2" s="54" t="s">
        <v>198</v>
      </c>
      <c r="E2" s="54" t="s">
        <v>195</v>
      </c>
      <c r="F2" s="54" t="s">
        <v>143</v>
      </c>
      <c r="G2" s="54" t="s">
        <v>143</v>
      </c>
      <c r="H2" s="54" t="s">
        <v>199</v>
      </c>
      <c r="I2" s="54" t="s">
        <v>200</v>
      </c>
      <c r="J2" s="54" t="s">
        <v>201</v>
      </c>
      <c r="K2" s="54" t="s">
        <v>196</v>
      </c>
      <c r="L2" s="54" t="s">
        <v>202</v>
      </c>
      <c r="M2" s="55">
        <v>42096</v>
      </c>
      <c r="N2" s="55">
        <v>11493</v>
      </c>
      <c r="O2" s="55">
        <v>30603</v>
      </c>
      <c r="P2" s="55">
        <v>30603</v>
      </c>
      <c r="Q2" s="54" t="s">
        <v>197</v>
      </c>
      <c r="R2" s="54" t="s">
        <v>184</v>
      </c>
      <c r="S2" s="54">
        <v>7098</v>
      </c>
      <c r="T2" s="55">
        <v>30603</v>
      </c>
      <c r="U2" s="47"/>
      <c r="V2" s="47"/>
      <c r="W2" s="47"/>
      <c r="X2" s="47"/>
      <c r="Y2" s="47"/>
      <c r="Z2" s="47"/>
      <c r="AA2" s="47"/>
      <c r="AB2" s="47"/>
    </row>
    <row r="3" spans="1:29" hidden="1" x14ac:dyDescent="0.25"/>
  </sheetData>
  <autoFilter ref="A1:AB3" xr:uid="{00000000-0001-0000-0200-000000000000}">
    <filterColumn colId="4">
      <filters>
        <filter val="06.315.338/0177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2021-05-31T15:18:54Z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