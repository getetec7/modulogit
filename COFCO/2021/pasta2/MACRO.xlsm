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pivotTables/pivotTable1.xml" ContentType="application/vnd.openxmlformats-officedocument.spreadsheetml.pivotTable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ROJETOS\GOBI\COFCO\2021\pasta2\"/>
    </mc:Choice>
  </mc:AlternateContent>
  <xr:revisionPtr revIDLastSave="0" documentId="13_ncr:1_{772DE47D-F6F8-4972-89EC-192AB0FB65FF}" xr6:coauthVersionLast="46" xr6:coauthVersionMax="46" xr10:uidLastSave="{00000000-0000-0000-0000-000000000000}"/>
  <bookViews>
    <workbookView xWindow="-120" yWindow="-120" windowWidth="24240" windowHeight="17790" xr2:uid="{00000000-000D-0000-FFFF-FFFF00000000}"/>
  </bookViews>
  <sheets>
    <sheet name="Report" sheetId="1" r:id="rId1"/>
    <sheet name="FILTRO" sheetId="4" r:id="rId2"/>
    <sheet name="BASE" sheetId="3" r:id="rId3"/>
    <sheet name="LAYOUT" sheetId="2" r:id="rId4"/>
    <sheet name="Executa" sheetId="5" r:id="rId5"/>
  </sheets>
  <functionGroups builtInGroupCount="19"/>
  <definedNames>
    <definedName name="_xlnm._FilterDatabase" localSheetId="1" hidden="1">FILTRO!$A$1:$AD$63</definedName>
    <definedName name="_xlnm._FilterDatabase" localSheetId="0" hidden="1">Report!#REF!</definedName>
    <definedName name="lista_Valores">OFFSET(FILTRO!$A$1,0,0,COUNTA(FILTRO!$A:$A),COUNTA(FILTRO!$1:$1))</definedName>
  </definedNames>
  <calcPr calcId="191029"/>
  <pivotCaches>
    <pivotCache cacheId="8" r:id="rId6"/>
  </pivotCaches>
</workbook>
</file>

<file path=xl/calcChain.xml><?xml version="1.0" encoding="utf-8"?>
<calcChain xmlns="http://schemas.openxmlformats.org/spreadsheetml/2006/main">
  <c r="AD1" i="1" l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J45" i="3"/>
  <c r="J46" i="3"/>
  <c r="J47" i="3"/>
  <c r="J48" i="3"/>
  <c r="J49" i="3"/>
  <c r="J50" i="3"/>
  <c r="J51" i="3"/>
  <c r="J52" i="3"/>
  <c r="J53" i="3"/>
  <c r="J54" i="3"/>
  <c r="J7" i="3"/>
  <c r="J8" i="3" s="1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6" i="3"/>
  <c r="AD1" i="4"/>
  <c r="C7" i="2"/>
  <c r="C12" i="3" l="1"/>
  <c r="C11" i="3" l="1"/>
  <c r="C10" i="3" l="1"/>
  <c r="B10" i="2" l="1"/>
  <c r="A10" i="2" s="1"/>
  <c r="C4" i="2" l="1"/>
  <c r="C3" i="3" l="1"/>
  <c r="C4" i="3"/>
  <c r="C5" i="3"/>
  <c r="C6" i="3"/>
  <c r="C7" i="3"/>
  <c r="C8" i="3"/>
  <c r="C9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H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H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C7" authorId="0" shapeId="0" xr:uid="{C57454E5-064A-4EFF-B029-533762437FE1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<sst xmlns="http://schemas.openxmlformats.org/spreadsheetml/2006/main" count="2150" uniqueCount="264">
  <si>
    <t>Documento</t>
  </si>
  <si>
    <t>CNPJ</t>
  </si>
  <si>
    <t>FILIAL</t>
  </si>
  <si>
    <t>DESTINO</t>
  </si>
  <si>
    <t>TBO</t>
  </si>
  <si>
    <t>ADM - SANTOS</t>
  </si>
  <si>
    <t>02.003.402/0007-60</t>
  </si>
  <si>
    <t>56.216.872/0001-46</t>
  </si>
  <si>
    <t>ALL-TERMINAL RONDO</t>
  </si>
  <si>
    <t>soja</t>
  </si>
  <si>
    <t>TERM.XXXIX</t>
  </si>
  <si>
    <t>04.244.527/0001-12</t>
  </si>
  <si>
    <t>milho</t>
  </si>
  <si>
    <t>TERM. GRANEIS GUARUJA</t>
  </si>
  <si>
    <t>05.527.694/0001-33</t>
  </si>
  <si>
    <t>TEG</t>
  </si>
  <si>
    <t>09.079.434/0001-01</t>
  </si>
  <si>
    <t>25.278.404/0001-72</t>
  </si>
  <si>
    <t>02.933.023/0002-65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</si>
  <si>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</si>
  <si>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</si>
  <si>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</si>
  <si>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</si>
  <si>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</si>
  <si>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</si>
  <si>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</si>
  <si>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</si>
  <si>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</si>
  <si>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</si>
  <si>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</si>
  <si>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</si>
  <si>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</si>
  <si>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</si>
  <si>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</si>
  <si>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</si>
  <si>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</si>
  <si>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</si>
  <si>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</si>
  <si>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</si>
  <si>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</si>
  <si>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</si>
  <si>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C24</t>
  </si>
  <si>
    <t>C23</t>
  </si>
  <si>
    <t>C25</t>
  </si>
  <si>
    <t>S I S P A T</t>
  </si>
  <si>
    <t>Rateio de Transbordo</t>
  </si>
  <si>
    <t>Contrato:</t>
  </si>
  <si>
    <t>Cliente:</t>
  </si>
  <si>
    <t>Origem:</t>
  </si>
  <si>
    <t>Destino:</t>
  </si>
  <si>
    <t>Produto:</t>
  </si>
  <si>
    <t>Vagão</t>
  </si>
  <si>
    <t>Bruto</t>
  </si>
  <si>
    <t>Tara</t>
  </si>
  <si>
    <t>Líquido</t>
  </si>
  <si>
    <t>Data Saída</t>
  </si>
  <si>
    <t>Fluxo</t>
  </si>
  <si>
    <t>DCL</t>
  </si>
  <si>
    <t>Peso</t>
  </si>
  <si>
    <t>29332398000579</t>
  </si>
  <si>
    <t>29332398000811</t>
  </si>
  <si>
    <t>29332398000307</t>
  </si>
  <si>
    <t>29332398000498</t>
  </si>
  <si>
    <t>06315338000208</t>
  </si>
  <si>
    <t>06315338001190</t>
  </si>
  <si>
    <t>06315338001000</t>
  </si>
  <si>
    <t>06315338001352</t>
  </si>
  <si>
    <t>06315338000976</t>
  </si>
  <si>
    <t>06315338002677</t>
  </si>
  <si>
    <t>06315338005005</t>
  </si>
  <si>
    <t>06315338002596</t>
  </si>
  <si>
    <t>06315338003134</t>
  </si>
  <si>
    <t>06315338002758</t>
  </si>
  <si>
    <t>06315338016546</t>
  </si>
  <si>
    <t>06315338017003</t>
  </si>
  <si>
    <t>06315338017518</t>
  </si>
  <si>
    <t>29332398000226</t>
  </si>
  <si>
    <t>29332398001036</t>
  </si>
  <si>
    <t>29332398001389</t>
  </si>
  <si>
    <t>29332398000730</t>
  </si>
  <si>
    <t>inativa</t>
  </si>
  <si>
    <t>NOBLE - 4</t>
  </si>
  <si>
    <t>NOBLE - 5</t>
  </si>
  <si>
    <t>NOBLE - 6</t>
  </si>
  <si>
    <t>NOBLE - 9</t>
  </si>
  <si>
    <t>NOBLE - 1</t>
  </si>
  <si>
    <t>NOBLE - 30</t>
  </si>
  <si>
    <t>NOBLE - 2</t>
  </si>
  <si>
    <t>NOBLE - 3</t>
  </si>
  <si>
    <t>NOBLE - 7</t>
  </si>
  <si>
    <t>NOBLE - 8</t>
  </si>
  <si>
    <t>NOBLE - 11</t>
  </si>
  <si>
    <t>NOBLE - 10</t>
  </si>
  <si>
    <t>NOBLE - 12</t>
  </si>
  <si>
    <t>NOBLE - 09</t>
  </si>
  <si>
    <t>NOBLE - 13</t>
  </si>
  <si>
    <t>NOBLE - 14</t>
  </si>
  <si>
    <t>NOBLE - 15</t>
  </si>
  <si>
    <t>NOBLE - 16</t>
  </si>
  <si>
    <t>NOBLE - 17</t>
  </si>
  <si>
    <t>NOBLE - 18</t>
  </si>
  <si>
    <t>NOBLE - 19</t>
  </si>
  <si>
    <t>NOBLE - 21</t>
  </si>
  <si>
    <t>NOBLE - 22</t>
  </si>
  <si>
    <t>NOBLE - 23</t>
  </si>
  <si>
    <t>INTERALLI</t>
  </si>
  <si>
    <t>04.731.861/0001-09</t>
  </si>
  <si>
    <t>T GRAOS</t>
  </si>
  <si>
    <t>24962466001108</t>
  </si>
  <si>
    <t>ALL-TRANSP</t>
  </si>
  <si>
    <t>24962466000136</t>
  </si>
  <si>
    <t xml:space="preserve"> </t>
  </si>
  <si>
    <t>16/10/2012 20:19:41</t>
  </si>
  <si>
    <t xml:space="preserve">Contrato: NOBLT39-AC -  De 01/10/2012 00:00:01 até 10/10/2012 23:59:59 / </t>
  </si>
  <si>
    <t>Página 1 de 2</t>
  </si>
  <si>
    <t>NOBLT39-AC</t>
  </si>
  <si>
    <t>NOBLE</t>
  </si>
  <si>
    <t xml:space="preserve">NOBLE - </t>
  </si>
  <si>
    <t>Transportadora:</t>
  </si>
  <si>
    <t>24.962.466/0001-36</t>
  </si>
  <si>
    <t>SOJA EM GRAOS-Transbordo</t>
  </si>
  <si>
    <t>Valor</t>
  </si>
  <si>
    <t>Total/Parcial</t>
  </si>
  <si>
    <t>A</t>
  </si>
  <si>
    <t>06315338000119</t>
  </si>
  <si>
    <t>06315338000380</t>
  </si>
  <si>
    <t>06315338000623</t>
  </si>
  <si>
    <t>06315338000542</t>
  </si>
  <si>
    <t>06315338001514</t>
  </si>
  <si>
    <t>06315338001603</t>
  </si>
  <si>
    <t>06315338001786</t>
  </si>
  <si>
    <t>06315338001948</t>
  </si>
  <si>
    <t>06315338002839</t>
  </si>
  <si>
    <t>06315338000269</t>
  </si>
  <si>
    <t>06315338003053</t>
  </si>
  <si>
    <t>06315338016465</t>
  </si>
  <si>
    <t>06315338016708</t>
  </si>
  <si>
    <t>06315338016970</t>
  </si>
  <si>
    <t>06315338017194</t>
  </si>
  <si>
    <t>06315338017275</t>
  </si>
  <si>
    <t>06315338017356</t>
  </si>
  <si>
    <t>06315338017437</t>
  </si>
  <si>
    <t>06315338017607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</si>
  <si>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</si>
  <si>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</si>
  <si>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</si>
  <si>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</si>
  <si>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</si>
  <si>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</si>
  <si>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</si>
  <si>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</si>
  <si>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06315338020225</t>
  </si>
  <si>
    <t>06315338019308</t>
  </si>
  <si>
    <t>06315338019480</t>
  </si>
  <si>
    <t>06315338017780</t>
  </si>
  <si>
    <t>INFORMAR NOBLE</t>
  </si>
  <si>
    <t>ELEVACOES PORTUARIAS S/A</t>
  </si>
  <si>
    <t>TERMINAL 12 A S.A.</t>
  </si>
  <si>
    <t>C26</t>
  </si>
  <si>
    <t>C27</t>
  </si>
  <si>
    <t>C28</t>
  </si>
  <si>
    <t>C29</t>
  </si>
  <si>
    <t>COMPANHIA AUXILIAR DE ARMAZENS GERAIS</t>
  </si>
  <si>
    <t>61.145.488/0003-00</t>
  </si>
  <si>
    <t xml:space="preserve">Busca Pelo "Destino" </t>
  </si>
  <si>
    <t>T GRAO CARGO TERMINAL DE GRANEIS S.A</t>
  </si>
  <si>
    <t>TERMINAIS DE GRANEIS DO GUARUJA</t>
  </si>
  <si>
    <t>TRO - RONDONOPOLIS</t>
  </si>
  <si>
    <t>MILHO</t>
  </si>
  <si>
    <t>HFT</t>
  </si>
  <si>
    <t>06315338020659</t>
  </si>
  <si>
    <t>T</t>
  </si>
  <si>
    <t>COFCO INTERNATIONAL GRAINS LTDA</t>
  </si>
  <si>
    <t>003 - TGG</t>
  </si>
  <si>
    <t>HPT</t>
  </si>
  <si>
    <t>GN29856</t>
  </si>
  <si>
    <t>29.332.398/0004-98</t>
  </si>
  <si>
    <t>SORRISO</t>
  </si>
  <si>
    <t>GN29846</t>
  </si>
  <si>
    <t>29.332.398/0007-30</t>
  </si>
  <si>
    <t>NOVA MARINGA</t>
  </si>
  <si>
    <t>NFe51210129332398000730550010000121241733208441</t>
  </si>
  <si>
    <t>GN29855</t>
  </si>
  <si>
    <t>29.332.398/0005-79</t>
  </si>
  <si>
    <t>ITANHANGA</t>
  </si>
  <si>
    <t>TAG - ALTO ARAGUAIA</t>
  </si>
  <si>
    <t>COFCO INTERNATIONAL BRASIL S.A.</t>
  </si>
  <si>
    <t>GN29866</t>
  </si>
  <si>
    <t>NFe51201206315338018409550010000170111733208440</t>
  </si>
  <si>
    <t>06.315.338/0184-09</t>
  </si>
  <si>
    <t>NOVA UBIRATA</t>
  </si>
  <si>
    <t>COFCO INTERNATIONAL BRASIL S A</t>
  </si>
  <si>
    <t>NFe51210106315338018409550010000170251733208440</t>
  </si>
  <si>
    <t>GN29863</t>
  </si>
  <si>
    <t>NFe51210106315338018409550010000170221911360500</t>
  </si>
  <si>
    <t>NFe51210106315338018409550010000170231274984824</t>
  </si>
  <si>
    <t>NFe51201206315338018409550010000170101733208442</t>
  </si>
  <si>
    <t>GN29868</t>
  </si>
  <si>
    <t>NFe51201006315338020659550010000040161655619892</t>
  </si>
  <si>
    <t>06.315.338/0206-59</t>
  </si>
  <si>
    <t>NOVA MUTUM</t>
  </si>
  <si>
    <t>NFe51201206315338020659550010000055561825762865</t>
  </si>
  <si>
    <t>NFe51201006315338020659550010000040191294096018</t>
  </si>
  <si>
    <t>GN29869</t>
  </si>
  <si>
    <t>NFe51201206315338020659550010000056911268979762</t>
  </si>
  <si>
    <t>NFe51201006315338020659550010000040061561768618</t>
  </si>
  <si>
    <t>NFe51210106315338018409550010000170211733208441</t>
  </si>
  <si>
    <t>NFe51201006315338020659550010000040241854549110</t>
  </si>
  <si>
    <t>NFe51201229332398000579550010000127991838390854</t>
  </si>
  <si>
    <t>NFe51201229332398000579550010000127971911360501</t>
  </si>
  <si>
    <t>NFe51201229332398000579550010000127931838390850</t>
  </si>
  <si>
    <t>NFe51201229332398000579550010000127801733208442</t>
  </si>
  <si>
    <t>NFe51201229332398000579550010000128141838390852</t>
  </si>
  <si>
    <t>NFe51210129332398000498550010000305811911360501</t>
  </si>
  <si>
    <t>NFe51210129332398000498550010000305771733208447</t>
  </si>
  <si>
    <t>NFe51210129332398000498550010000305821274984825</t>
  </si>
  <si>
    <t>NFe51201229332398000579550010000128101192510796</t>
  </si>
  <si>
    <t>NFe51201229332398000579550010000127891911360500</t>
  </si>
  <si>
    <t>NFe51201229332398000579550010000128051733208443</t>
  </si>
  <si>
    <t>NFe51210129332398000730550010000120731733208440</t>
  </si>
  <si>
    <t>NFe51201229332398000730550010000120171838390856</t>
  </si>
  <si>
    <t>NFe51210129332398000730550010000120761274984820</t>
  </si>
  <si>
    <t>NFe51201229332398000730550010000119731526754430</t>
  </si>
  <si>
    <t>NFe51210129332398000730550010000120751911360507</t>
  </si>
  <si>
    <t>NFe51210129332398000730550010000120901911360503</t>
  </si>
  <si>
    <t>NFe51201229332398000730550010000119841911360505</t>
  </si>
  <si>
    <t>NFe51201229332398000579550010000127951192510798</t>
  </si>
  <si>
    <t>NFe51201229332398000579550010000127981274984825</t>
  </si>
  <si>
    <t>NFe51210129332398000498550010000305801733208442</t>
  </si>
  <si>
    <t>GN29870</t>
  </si>
  <si>
    <t>NFe51201229332398001036550010000128121092866960</t>
  </si>
  <si>
    <t>29.332.398/0010-36</t>
  </si>
  <si>
    <t>DIAMANTINO</t>
  </si>
  <si>
    <t>NFe51210129332398000730550010000120721733208443</t>
  </si>
  <si>
    <t>NFe51201229332398000730550010000119821733208449</t>
  </si>
  <si>
    <t>NFe51201229332398000579550010000127811911360501</t>
  </si>
  <si>
    <t>NFe51201229332398000579550010000128111733208440</t>
  </si>
  <si>
    <t>NFe51210129332398000498550010000305751733208442</t>
  </si>
  <si>
    <t>NFe51201229332398000498550010000304081218341185</t>
  </si>
  <si>
    <t>NFe51210129332398000730550010000120781838390857</t>
  </si>
  <si>
    <t>NFe51210129332398000730550010000120741911360500</t>
  </si>
  <si>
    <t>COFCO/MILHO/TAG x TGGTAG - ALTO ARAGUAIA</t>
  </si>
  <si>
    <t>COFCO/MILHO/TRO x TGGTRO - RONDONOPOLIS</t>
  </si>
  <si>
    <t>HFT0555029</t>
  </si>
  <si>
    <t>HPT0301426</t>
  </si>
  <si>
    <t>HPT0301922</t>
  </si>
  <si>
    <t>HPT0531146</t>
  </si>
  <si>
    <t>HFT8424152</t>
  </si>
  <si>
    <t>HPT8443904</t>
  </si>
  <si>
    <t>HPT0329096</t>
  </si>
  <si>
    <t>HPT0300080</t>
  </si>
  <si>
    <t>HPT0302201</t>
  </si>
  <si>
    <t>HPT0306321</t>
  </si>
  <si>
    <t>HPT0311481</t>
  </si>
  <si>
    <t>HPT0312363</t>
  </si>
  <si>
    <t>HPT0326763</t>
  </si>
  <si>
    <t>HPT0328898</t>
  </si>
  <si>
    <t>HFT0536814</t>
  </si>
  <si>
    <t>HFT0908738</t>
  </si>
  <si>
    <t>HFT0990531</t>
  </si>
  <si>
    <t>HPT8400512</t>
  </si>
  <si>
    <t>HPT8404518</t>
  </si>
  <si>
    <t>HFT8419221</t>
  </si>
  <si>
    <t>HPT8448922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</si>
</sst>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* #,##0.00_);_(* \(#,##0.00\);_(* &quot;-&quot;??_);_(@_)"/>
    <numFmt numFmtId="165" formatCode="000,000"/>
    <numFmt numFmtId="166" formatCode="00,000"/>
    <numFmt numFmtId="167" formatCode="dd/mm/yyyy"/>
  </numFmts>
  <fonts count="23" x14ac:knownFonts="1">
    <font>
      <sz val="11"/>
      <color indexed="10"/>
      <name val="Calibri"/>
      <charset val="1"/>
    </font>
    <font>
      <sz val="11"/>
      <color theme="1"/>
      <name val="Calibri"/>
      <family val="2"/>
      <scheme val="minor"/>
    </font>
    <font>
      <sz val="10"/>
      <color indexed="8"/>
      <name val="Arial"/>
      <charset val="1"/>
    </font>
    <font>
      <b/>
      <sz val="11"/>
      <color theme="1"/>
      <name val="Calibri"/>
      <family val="2"/>
      <scheme val="minor"/>
    </font>
    <font>
      <b/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8"/>
      <color theme="1"/>
      <name val="Calibri"/>
      <family val="2"/>
      <scheme val="minor"/>
    </font>
    <font>
      <sz val="11"/>
      <color indexed="10"/>
      <name val="Calibri"/>
      <family val="2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</font>
    <font>
      <sz val="8"/>
      <color indexed="8"/>
      <name val="Calibri"/>
      <family val="2"/>
    </font>
    <font>
      <sz val="8"/>
      <color indexed="8"/>
      <name val="Arial"/>
      <family val="2"/>
    </font>
    <font>
      <b/>
      <sz val="10"/>
      <color rgb="FFFF0000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</font>
    <font>
      <b/>
      <sz val="11"/>
      <color indexed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6">
    <xf numFmtId="0" fontId="0" fillId="0" borderId="0">
      <alignment vertical="top"/>
    </xf>
    <xf numFmtId="0" fontId="8" fillId="0" borderId="0" applyNumberFormat="0" applyFill="0" applyBorder="0" applyAlignment="0" applyProtection="0"/>
    <xf numFmtId="0" fontId="9" fillId="0" borderId="0"/>
    <xf numFmtId="0" fontId="13" fillId="0" borderId="0" applyNumberFormat="0" applyFill="0" applyBorder="0" applyAlignment="0" applyProtection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164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8" fillId="0" borderId="0" applyFont="0" applyFill="0" applyBorder="0" applyAlignment="0" applyProtection="0"/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11" fillId="2" borderId="0" applyNumberFormat="0" applyBorder="0" applyAlignment="0" applyProtection="0"/>
    <xf numFmtId="0" fontId="17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</cellStyleXfs>
  <cellXfs count="53">
    <xf numFmtId="0" fontId="0" fillId="0" borderId="0" xfId="0" applyProtection="1">
      <alignment vertical="top"/>
      <protection locked="0"/>
    </xf>
    <xf numFmtId="0" fontId="0" fillId="0" borderId="0" xfId="0" applyAlignment="1"/>
    <xf numFmtId="0" fontId="4" fillId="0" borderId="0" xfId="0" applyFont="1" applyAlignment="1" applyProtection="1">
      <alignment horizontal="center" vertical="top"/>
      <protection locked="0"/>
    </xf>
    <xf numFmtId="0" fontId="5" fillId="0" borderId="0" xfId="0" applyFont="1" applyAlignment="1" applyProtection="1">
      <alignment horizontal="center" vertical="top"/>
      <protection locked="0"/>
    </xf>
    <xf numFmtId="0" fontId="5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right" vertical="top"/>
      <protection locked="0"/>
    </xf>
    <xf numFmtId="0" fontId="3" fillId="0" borderId="0" xfId="0" applyFont="1" applyAlignment="1"/>
    <xf numFmtId="49" fontId="0" fillId="0" borderId="0" xfId="0" applyNumberFormat="1" applyAlignment="1"/>
    <xf numFmtId="49" fontId="3" fillId="0" borderId="0" xfId="2" applyNumberFormat="1" applyFont="1"/>
    <xf numFmtId="0" fontId="5" fillId="0" borderId="0" xfId="0" applyFont="1" applyAlignment="1"/>
    <xf numFmtId="49" fontId="8" fillId="0" borderId="0" xfId="0" applyNumberFormat="1" applyFont="1" applyAlignment="1"/>
    <xf numFmtId="1" fontId="0" fillId="0" borderId="0" xfId="0" applyNumberFormat="1" applyProtection="1">
      <alignment vertical="top"/>
      <protection locked="0"/>
    </xf>
    <xf numFmtId="37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0" borderId="0" xfId="4" applyNumberFormat="1"/>
    <xf numFmtId="49" fontId="12" fillId="0" borderId="0" xfId="4" applyNumberFormat="1" applyFont="1"/>
    <xf numFmtId="1" fontId="2" fillId="0" borderId="0" xfId="0" applyNumberFormat="1" applyFont="1" applyAlignment="1">
      <alignment horizontal="center" vertical="center"/>
    </xf>
    <xf numFmtId="0" fontId="20" fillId="0" borderId="0" xfId="0" applyFont="1" applyAlignment="1" applyProtection="1">
      <alignment horizontal="center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15" fillId="0" borderId="0" xfId="0" applyFont="1" applyAlignment="1"/>
    <xf numFmtId="0" fontId="19" fillId="0" borderId="0" xfId="0" applyFont="1" applyAlignment="1">
      <alignment horizontal="center"/>
    </xf>
    <xf numFmtId="0" fontId="8" fillId="0" borderId="0" xfId="0" applyFont="1" applyAlignment="1"/>
    <xf numFmtId="0" fontId="5" fillId="0" borderId="0" xfId="1" applyFont="1" applyAlignment="1" applyProtection="1">
      <alignment horizontal="left" vertical="top"/>
      <protection locked="0"/>
    </xf>
    <xf numFmtId="0" fontId="16" fillId="0" borderId="0" xfId="1" applyFont="1" applyAlignment="1" applyProtection="1">
      <alignment horizontal="left" vertical="top"/>
      <protection locked="0"/>
    </xf>
    <xf numFmtId="0" fontId="5" fillId="0" borderId="0" xfId="3" applyFont="1"/>
    <xf numFmtId="49" fontId="13" fillId="0" borderId="0" xfId="3" applyNumberFormat="1"/>
    <xf numFmtId="49" fontId="8" fillId="0" borderId="0" xfId="3" applyNumberFormat="1" applyFont="1"/>
    <xf numFmtId="0" fontId="14" fillId="0" borderId="1" xfId="11" applyFont="1" applyBorder="1" applyAlignment="1">
      <alignment horizontal="center" vertical="center" wrapText="1"/>
    </xf>
    <xf numFmtId="49" fontId="0" fillId="0" borderId="0" xfId="0" applyNumberFormat="1" applyProtection="1">
      <alignment vertical="top"/>
      <protection locked="0"/>
    </xf>
    <xf numFmtId="49" fontId="2" fillId="0" borderId="0" xfId="0" applyNumberFormat="1" applyFont="1" applyAlignment="1">
      <alignment horizontal="center" vertical="center"/>
    </xf>
    <xf numFmtId="0" fontId="0" fillId="0" borderId="0" xfId="0" pivotButton="1" applyProtection="1">
      <alignment vertical="top"/>
      <protection locked="0"/>
    </xf>
    <xf numFmtId="0" fontId="21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5" fillId="5" borderId="2" xfId="18" applyFont="1" applyFill="1" applyBorder="1" applyAlignment="1" applyProtection="1">
      <alignment horizontal="left" vertical="top"/>
      <protection locked="0"/>
    </xf>
    <xf numFmtId="0" fontId="1" fillId="5" borderId="2" xfId="18" applyFill="1" applyBorder="1" applyAlignment="1">
      <alignment horizontal="center"/>
    </xf>
    <xf numFmtId="0" fontId="13" fillId="5" borderId="2" xfId="3" applyFill="1" applyBorder="1" applyAlignment="1">
      <alignment horizontal="center"/>
    </xf>
    <xf numFmtId="0" fontId="0" fillId="5" borderId="2" xfId="0" applyFill="1" applyBorder="1" applyAlignment="1"/>
    <xf numFmtId="0" fontId="0" fillId="5" borderId="2" xfId="0" applyFill="1" applyBorder="1" applyAlignment="1">
      <alignment horizontal="center"/>
    </xf>
    <xf numFmtId="0" fontId="22" fillId="0" borderId="0" xfId="0" applyFont="1" applyAlignment="1"/>
    <xf numFmtId="22" fontId="0" fillId="0" borderId="0" xfId="0" applyNumberFormat="1" applyAlignment="1"/>
    <xf numFmtId="0" fontId="0" fillId="0" borderId="0" xfId="0" quotePrefix="1" applyAlignment="1"/>
    <xf numFmtId="0" fontId="8" fillId="0" borderId="0" xfId="3" applyNumberFormat="1" applyFont="1"/>
    <xf numFmtId="0" fontId="0" fillId="0" borderId="2" xfId="0" applyBorder="1" applyAlignment="1"/>
    <xf numFmtId="1" fontId="0" fillId="0" borderId="2" xfId="0" applyNumberFormat="1" applyBorder="1" applyAlignment="1"/>
    <xf numFmtId="166" fontId="0" fillId="0" borderId="2" xfId="0" applyNumberFormat="1" applyBorder="1" applyAlignment="1"/>
    <xf numFmtId="165" fontId="0" fillId="0" borderId="2" xfId="0" applyNumberFormat="1" applyBorder="1" applyAlignment="1"/>
    <xf numFmtId="14" fontId="0" fillId="0" borderId="2" xfId="0" applyNumberFormat="1" applyBorder="1" applyAlignment="1"/>
    <xf numFmtId="22" fontId="0" fillId="0" borderId="2" xfId="0" applyNumberFormat="1" applyBorder="1" applyAlignment="1"/>
    <xf numFmtId="14" fontId="0" fillId="0" borderId="0" xfId="0" applyNumberFormat="1" applyAlignment="1"/>
    <xf numFmtId="167" fontId="0" fillId="0" borderId="2" xfId="0" applyNumberFormat="1" applyBorder="1" applyAlignment="1"/>
  </cellXfs>
  <cellStyles count="36">
    <cellStyle name="Incorreto" xfId="28" xr:uid="{00000000-0005-0000-0000-000000000000}"/>
    <cellStyle name="Neutra" xfId="29" xr:uid="{00000000-0005-0000-0000-000001000000}"/>
    <cellStyle name="Normal" xfId="0" builtinId="0"/>
    <cellStyle name="Normal 10" xfId="14" xr:uid="{00000000-0005-0000-0000-000003000000}"/>
    <cellStyle name="Normal 11" xfId="15" xr:uid="{00000000-0005-0000-0000-000004000000}"/>
    <cellStyle name="Normal 11 2" xfId="25" xr:uid="{00000000-0005-0000-0000-000005000000}"/>
    <cellStyle name="Normal 12" xfId="16" xr:uid="{00000000-0005-0000-0000-000006000000}"/>
    <cellStyle name="Normal 12 2" xfId="26" xr:uid="{00000000-0005-0000-0000-000007000000}"/>
    <cellStyle name="Normal 13" xfId="17" xr:uid="{00000000-0005-0000-0000-000008000000}"/>
    <cellStyle name="Normal 13 2" xfId="27" xr:uid="{00000000-0005-0000-0000-000009000000}"/>
    <cellStyle name="Normal 14" xfId="30" xr:uid="{00000000-0005-0000-0000-00000A000000}"/>
    <cellStyle name="Normal 15" xfId="31" xr:uid="{00000000-0005-0000-0000-00000B000000}"/>
    <cellStyle name="Normal 16" xfId="32" xr:uid="{00000000-0005-0000-0000-00000C000000}"/>
    <cellStyle name="Normal 17" xfId="34" xr:uid="{00000000-0005-0000-0000-00000D000000}"/>
    <cellStyle name="Normal 18" xfId="35" xr:uid="{00000000-0005-0000-0000-00000E000000}"/>
    <cellStyle name="Normal 19" xfId="3" xr:uid="{00000000-0005-0000-0000-00000F000000}"/>
    <cellStyle name="Normal 2" xfId="1" xr:uid="{00000000-0005-0000-0000-000010000000}"/>
    <cellStyle name="Normal 2 2" xfId="33" xr:uid="{00000000-0005-0000-0000-000011000000}"/>
    <cellStyle name="Normal 3" xfId="2" xr:uid="{00000000-0005-0000-0000-000012000000}"/>
    <cellStyle name="Normal 3 2" xfId="18" xr:uid="{00000000-0005-0000-0000-000013000000}"/>
    <cellStyle name="Normal 3 3" xfId="4" xr:uid="{00000000-0005-0000-0000-000014000000}"/>
    <cellStyle name="Normal 4" xfId="5" xr:uid="{00000000-0005-0000-0000-000015000000}"/>
    <cellStyle name="Normal 4 2" xfId="19" xr:uid="{00000000-0005-0000-0000-000016000000}"/>
    <cellStyle name="Normal 5" xfId="6" xr:uid="{00000000-0005-0000-0000-000017000000}"/>
    <cellStyle name="Normal 5 2" xfId="20" xr:uid="{00000000-0005-0000-0000-000018000000}"/>
    <cellStyle name="Normal 6" xfId="7" xr:uid="{00000000-0005-0000-0000-000019000000}"/>
    <cellStyle name="Normal 6 2" xfId="21" xr:uid="{00000000-0005-0000-0000-00001A000000}"/>
    <cellStyle name="Normal 7" xfId="8" xr:uid="{00000000-0005-0000-0000-00001B000000}"/>
    <cellStyle name="Normal 7 2" xfId="22" xr:uid="{00000000-0005-0000-0000-00001C000000}"/>
    <cellStyle name="Normal 8" xfId="9" xr:uid="{00000000-0005-0000-0000-00001D000000}"/>
    <cellStyle name="Normal 8 2" xfId="23" xr:uid="{00000000-0005-0000-0000-00001E000000}"/>
    <cellStyle name="Normal 9" xfId="10" xr:uid="{00000000-0005-0000-0000-00001F000000}"/>
    <cellStyle name="Normal_Plan1" xfId="11" xr:uid="{00000000-0005-0000-0000-000020000000}"/>
    <cellStyle name="Porcentagem 3" xfId="13" xr:uid="{00000000-0005-0000-0000-000021000000}"/>
    <cellStyle name="Vírgula 2" xfId="24" xr:uid="{00000000-0005-0000-0000-000022000000}"/>
    <cellStyle name="Vírgula 3" xfId="12" xr:uid="{00000000-0005-0000-0000-000023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00000"/>
      <rgbColor rgb="00000000"/>
      <rgbColor rgb="00800000"/>
      <rgbColor rgb="00008000"/>
      <rgbColor rgb="00808000"/>
      <rgbColor rgb="00000080"/>
      <rgbColor rgb="00800080"/>
      <rgbColor rgb="00008080"/>
      <rgbColor rgb="00808080"/>
      <rgbColor rgb="00C0C0C0"/>
      <rgbColor rgb="00FF0000"/>
      <rgbColor rgb="0000FF00"/>
      <rgbColor rgb="00FFFF00"/>
      <rgbColor rgb="000000FF"/>
      <rgbColor rgb="00FF00FF"/>
      <rgbColor rgb="0000FFFF"/>
      <rgbColor rgb="00C0C0C0"/>
      <rgbColor rgb="00808080"/>
      <rgbColor rgb="00FFFFFF"/>
      <rgbColor rgb="00C0DCC0"/>
      <rgbColor rgb="00A6CAF0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28575</xdr:rowOff>
    </xdr:from>
    <xdr:to>
      <xdr:col>3</xdr:col>
      <xdr:colOff>581025</xdr:colOff>
      <xdr:row>3</xdr:row>
      <xdr:rowOff>171450</xdr:rowOff>
    </xdr:to>
    <xdr:sp macro="[0]!dispara_processamento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28650" y="219075"/>
          <a:ext cx="1781175" cy="52387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Dispara</a:t>
          </a:r>
          <a:r>
            <a:rPr lang="pt-BR" sz="1200" baseline="0"/>
            <a:t> Processamento</a:t>
          </a:r>
          <a:endParaRPr lang="pt-BR" sz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14.405852314812" createdVersion="4" refreshedVersion="6" minRefreshableVersion="3" recordCount="62" xr:uid="{00000000-000A-0000-FFFF-FFFF00000000}">
  <cacheSource type="worksheet">
    <worksheetSource name="=lista_Valores"/>
  </cacheSource>
  <cacheFields count="30">
    <cacheField name="C1" numFmtId="0">
      <sharedItems count="5">
        <s v="COFCO/MILHO/TAG x TGGTAG - ALTO ARAGUAIA"/>
        <s v="COFCO/MILHO/TRO x TGGTRO - RONDONOPOLIS"/>
        <s v="COFCO/MILHO/TRO-TGGTRO - RONDONOPOLIS" u="1"/>
        <s v="COFCO/MILHO/TRO-TGRAOTRO - RONDONOPOLIS" u="1"/>
        <s v="COFCO/MILHO/TRO-RUMOTRO - RONDONOPOLIS" u="1"/>
      </sharedItems>
    </cacheField>
    <cacheField name="C2" numFmtId="0">
      <sharedItems/>
    </cacheField>
    <cacheField name="C3" numFmtId="0">
      <sharedItems/>
    </cacheField>
    <cacheField name="C4" numFmtId="0">
      <sharedItems/>
    </cacheField>
    <cacheField name="C5" numFmtId="0">
      <sharedItems/>
    </cacheField>
    <cacheField name="C6" numFmtId="0">
      <sharedItems/>
    </cacheField>
    <cacheField name="C7" numFmtId="0">
      <sharedItems containsSemiMixedTypes="0" containsString="0" containsNumber="1" containsInteger="1" minValue="300080" maxValue="8448922"/>
    </cacheField>
    <cacheField name="C8" numFmtId="0">
      <sharedItems/>
    </cacheField>
    <cacheField name="C9" numFmtId="14">
      <sharedItems containsSemiMixedTypes="0" containsNonDate="0" containsDate="1" containsString="0" minDate="2021-01-12T17:29:49" maxDate="2021-01-12T19:32:43"/>
    </cacheField>
    <cacheField name="C10" numFmtId="14">
      <sharedItems containsSemiMixedTypes="0" containsNonDate="0" containsDate="1" containsString="0" minDate="2021-01-17T04:24:21" maxDate="2021-01-17T04:24:36"/>
    </cacheField>
    <cacheField name="C11" numFmtId="0">
      <sharedItems containsSemiMixedTypes="0" containsString="0" containsNumber="1" containsInteger="1" minValue="113560" maxValue="125350"/>
    </cacheField>
    <cacheField name="C12" numFmtId="0">
      <sharedItems containsSemiMixedTypes="0" containsString="0" containsNumber="1" containsInteger="1" minValue="24820" maxValue="35000"/>
    </cacheField>
    <cacheField name="C13" numFmtId="0">
      <sharedItems containsSemiMixedTypes="0" containsString="0" containsNumber="1" containsInteger="1" minValue="78560" maxValue="97383"/>
    </cacheField>
    <cacheField name="C14" numFmtId="0">
      <sharedItems/>
    </cacheField>
    <cacheField name="C15" numFmtId="22">
      <sharedItems containsSemiMixedTypes="0" containsNonDate="0" containsDate="1" containsString="0" minDate="2020-10-28T16:32:05" maxDate="2021-01-12T20:44:10"/>
    </cacheField>
    <cacheField name="C16" numFmtId="0">
      <sharedItems containsSemiMixedTypes="0" containsString="0" containsNumber="1" containsInteger="1" minValue="4006" maxValue="30582"/>
    </cacheField>
    <cacheField name="C17" numFmtId="0">
      <sharedItems containsSemiMixedTypes="0" containsString="0" containsNumber="1" containsInteger="1" minValue="1" maxValue="1"/>
    </cacheField>
    <cacheField name="C18" numFmtId="22">
      <sharedItems containsSemiMixedTypes="0" containsNonDate="0" containsDate="1" containsString="0" minDate="2020-10-27T11:15:13" maxDate="2021-01-07T18:01:27"/>
    </cacheField>
    <cacheField name="C19" numFmtId="0">
      <sharedItems/>
    </cacheField>
    <cacheField name="C20" numFmtId="0">
      <sharedItems containsSemiMixedTypes="0" containsString="0" containsNumber="1" containsInteger="1" minValue="5700" maxValue="51340"/>
    </cacheField>
    <cacheField name="C21" numFmtId="0">
      <sharedItems containsSemiMixedTypes="0" containsString="0" containsNumber="1" containsInteger="1" minValue="5700" maxValue="51340"/>
    </cacheField>
    <cacheField name="C22" numFmtId="0">
      <sharedItems containsSemiMixedTypes="0" containsString="0" containsNumber="1" containsInteger="1" minValue="431" maxValue="51200"/>
    </cacheField>
    <cacheField name="C23" numFmtId="0">
      <sharedItems count="13">
        <s v="06.315.338/0184-09"/>
        <s v="06.315.338/0206-59"/>
        <s v="29.332.398/0005-79"/>
        <s v="29.332.398/0004-98"/>
        <s v="29.332.398/0007-30"/>
        <s v="29.332.398/0010-36"/>
        <s v="06315338020659" u="1"/>
        <s v="29332398000579" u="1"/>
        <s v="29332398001036" u="1"/>
        <s v="29332398001389" u="1"/>
        <s v="06315338/0206-59" u="1"/>
        <s v="06315338003134" u="1"/>
        <s v="06315338018247" u="1"/>
      </sharedItems>
    </cacheField>
    <cacheField name="C24" numFmtId="0">
      <sharedItems/>
    </cacheField>
    <cacheField name="C25" numFmtId="0">
      <sharedItems/>
    </cacheField>
    <cacheField name="C26" numFmtId="0">
      <sharedItems/>
    </cacheField>
    <cacheField name="C27" numFmtId="0">
      <sharedItems/>
    </cacheField>
    <cacheField name="C28" numFmtId="0">
      <sharedItems/>
    </cacheField>
    <cacheField name="C29" numFmtId="0">
      <sharedItems containsSemiMixedTypes="0" containsDate="1" containsString="0" containsMixedTypes="1" minDate="2020-10-28T16:32:05" maxDate="1900-01-06T08:50:04"/>
    </cacheField>
    <cacheField name="C8C7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s v="TAG - ALTO ARAGUAIA"/>
    <s v="COFCO INTERNATIONAL BRASIL S.A."/>
    <s v="003 - TGG"/>
    <s v="05.527.694/0001-33"/>
    <s v="MILHO"/>
    <n v="555029"/>
    <s v="HFT"/>
    <d v="2021-01-12T19:32:43"/>
    <d v="2021-01-17T04:24:36"/>
    <n v="125232"/>
    <n v="27849"/>
    <n v="97383"/>
    <s v="GN29866"/>
    <d v="2021-01-12T20:44:10"/>
    <n v="17011"/>
    <n v="1"/>
    <d v="2020-12-29T16:49:10"/>
    <s v="NFe51201206315338018409550010000170111733208440"/>
    <n v="49730"/>
    <n v="49730"/>
    <n v="49600"/>
    <x v="0"/>
    <s v="COFCO INTERNATIONAL BRASIL S.A."/>
    <s v="NOVA UBIRATA"/>
    <s v="06.315.338/0184-09"/>
    <s v="COFCO INTERNATIONAL BRASIL S A"/>
    <s v="NOVA UBIRATA"/>
    <d v="2021-01-12T20:44:10"/>
    <s v="HFT0555029"/>
  </r>
  <r>
    <x v="0"/>
    <s v="TAG - ALTO ARAGUAIA"/>
    <s v="COFCO INTERNATIONAL BRASIL S.A."/>
    <s v="003 - TGG"/>
    <s v="05.527.694/0001-33"/>
    <s v="MILHO"/>
    <n v="555029"/>
    <s v="HFT"/>
    <d v="2021-01-12T19:32:43"/>
    <d v="2021-01-17T04:24:36"/>
    <n v="125232"/>
    <n v="27849"/>
    <n v="97383"/>
    <s v="GN29866"/>
    <d v="2021-01-12T09:32:54"/>
    <n v="17025"/>
    <n v="1"/>
    <d v="2021-01-07T18:01:27"/>
    <s v="NFe51210106315338018409550010000170251733208440"/>
    <n v="49817"/>
    <n v="49817"/>
    <n v="47783"/>
    <x v="0"/>
    <s v="COFCO INTERNATIONAL BRASIL S.A."/>
    <s v="NOVA UBIRATA"/>
    <s v="06.315.338/0184-09"/>
    <s v="COFCO INTERNATIONAL BRASIL S A"/>
    <s v="NOVA UBIRATA"/>
    <d v="2021-01-12T09:32:54"/>
    <s v="HFT0555029"/>
  </r>
  <r>
    <x v="1"/>
    <s v="TRO - RONDONOPOLIS"/>
    <s v="COFCO INTERNATIONAL BRASIL S.A."/>
    <s v="003 - TGG"/>
    <s v="05.527.694/0001-33"/>
    <s v="MILHO"/>
    <n v="301426"/>
    <s v="HPT"/>
    <d v="2021-01-12T17:33:51"/>
    <d v="2021-01-17T04:24:25"/>
    <n v="125340"/>
    <n v="29580"/>
    <n v="95760"/>
    <s v="GN29863"/>
    <d v="2021-01-08T20:14:39"/>
    <n v="17022"/>
    <n v="1"/>
    <d v="2021-01-07T14:45:28"/>
    <s v="NFe51210106315338018409550010000170221911360500"/>
    <n v="48810"/>
    <n v="48810"/>
    <n v="6326"/>
    <x v="0"/>
    <s v="COFCO INTERNATIONAL BRASIL S.A."/>
    <s v="NOVA UBIRATA"/>
    <s v="06.315.338/0184-09"/>
    <s v="COFCO INTERNATIONAL BRASIL S A"/>
    <s v="NOVA UBIRATA"/>
    <d v="2021-01-08T20:14:39"/>
    <s v="HPT0301426"/>
  </r>
  <r>
    <x v="1"/>
    <s v="TRO - RONDONOPOLIS"/>
    <s v="COFCO INTERNATIONAL BRASIL S.A."/>
    <s v="003 - TGG"/>
    <s v="05.527.694/0001-33"/>
    <s v="MILHO"/>
    <n v="301426"/>
    <s v="HPT"/>
    <d v="2021-01-12T17:33:51"/>
    <d v="2021-01-17T04:24:25"/>
    <n v="125340"/>
    <n v="29580"/>
    <n v="95760"/>
    <s v="GN29863"/>
    <d v="2021-01-08T20:05:10"/>
    <n v="17023"/>
    <n v="1"/>
    <d v="2021-01-07T14:46:53"/>
    <s v="NFe51210106315338018409550010000170231274984824"/>
    <n v="48660"/>
    <n v="48660"/>
    <n v="48610"/>
    <x v="0"/>
    <s v="COFCO INTERNATIONAL BRASIL S.A."/>
    <s v="NOVA UBIRATA"/>
    <s v="06.315.338/0184-09"/>
    <s v="COFCO INTERNATIONAL BRASIL S A"/>
    <s v="NOVA UBIRATA"/>
    <d v="2021-01-08T20:05:10"/>
    <s v="HPT0301426"/>
  </r>
  <r>
    <x v="1"/>
    <s v="TRO - RONDONOPOLIS"/>
    <s v="COFCO INTERNATIONAL BRASIL S.A."/>
    <s v="003 - TGG"/>
    <s v="05.527.694/0001-33"/>
    <s v="MILHO"/>
    <n v="301426"/>
    <s v="HPT"/>
    <d v="2021-01-12T17:33:51"/>
    <d v="2021-01-17T04:24:25"/>
    <n v="125340"/>
    <n v="29580"/>
    <n v="95760"/>
    <s v="GN29863"/>
    <d v="2021-01-05T19:22:22"/>
    <n v="17010"/>
    <n v="1"/>
    <d v="2020-12-29T16:32:20"/>
    <s v="NFe51201206315338018409550010000170101733208442"/>
    <n v="49080"/>
    <n v="49080"/>
    <n v="40824"/>
    <x v="0"/>
    <s v="COFCO INTERNATIONAL BRASIL S.A."/>
    <s v="NOVA UBIRATA"/>
    <s v="06.315.338/0184-09"/>
    <s v="COFCO INTERNATIONAL BRASIL S A"/>
    <s v="NOVA UBIRATA"/>
    <d v="2021-01-05T19:22:22"/>
    <s v="HPT0301426"/>
  </r>
  <r>
    <x v="1"/>
    <s v="TRO - RONDONOPOLIS"/>
    <s v="COFCO INTERNATIONAL BRASIL S.A."/>
    <s v="003 - TGG"/>
    <s v="05.527.694/0001-33"/>
    <s v="MILHO"/>
    <n v="301922"/>
    <s v="HPT"/>
    <d v="2021-01-12T17:55:09"/>
    <d v="2021-01-17T04:24:25"/>
    <n v="125200"/>
    <n v="29385"/>
    <n v="95815"/>
    <s v="GN29868"/>
    <d v="2020-10-28T18:22:07"/>
    <n v="4016"/>
    <n v="1"/>
    <d v="2020-10-27T13:58:53"/>
    <s v="NFe51201006315338020659550010000040161655619892"/>
    <n v="50240"/>
    <n v="50240"/>
    <n v="50240"/>
    <x v="1"/>
    <s v="COFCO INTERNATIONAL BRASIL S.A."/>
    <s v="NOVA MUTUM"/>
    <s v="06.315.338/0206-59"/>
    <s v="COFCO INTERNATIONAL BRASIL S A"/>
    <s v="NOVA MUTUM"/>
    <d v="2020-10-28T18:22:07"/>
    <s v="HPT0301922"/>
  </r>
  <r>
    <x v="1"/>
    <s v="TRO - RONDONOPOLIS"/>
    <s v="COFCO INTERNATIONAL BRASIL S.A."/>
    <s v="003 - TGG"/>
    <s v="05.527.694/0001-33"/>
    <s v="MILHO"/>
    <n v="301922"/>
    <s v="HPT"/>
    <d v="2021-01-12T17:55:09"/>
    <d v="2021-01-17T04:24:25"/>
    <n v="125200"/>
    <n v="29385"/>
    <n v="95815"/>
    <s v="GN29868"/>
    <d v="2021-01-08T20:23:04"/>
    <n v="5556"/>
    <n v="1"/>
    <d v="2020-12-15T16:29:42"/>
    <s v="NFe51201206315338020659550010000055561825762865"/>
    <n v="38200"/>
    <n v="38200"/>
    <n v="25136"/>
    <x v="1"/>
    <s v="COFCO INTERNATIONAL BRASIL S.A."/>
    <s v="NOVA MUTUM"/>
    <s v="06.315.338/0206-59"/>
    <s v="COFCO INTERNATIONAL BRASIL S A"/>
    <s v="NOVA MUTUM"/>
    <d v="2021-01-08T20:23:04"/>
    <s v="HPT0301922"/>
  </r>
  <r>
    <x v="1"/>
    <s v="TRO - RONDONOPOLIS"/>
    <s v="COFCO INTERNATIONAL BRASIL S.A."/>
    <s v="003 - TGG"/>
    <s v="05.527.694/0001-33"/>
    <s v="MILHO"/>
    <n v="301922"/>
    <s v="HPT"/>
    <d v="2021-01-12T17:55:09"/>
    <d v="2021-01-17T04:24:25"/>
    <n v="125200"/>
    <n v="29385"/>
    <n v="95815"/>
    <s v="GN29868"/>
    <d v="2020-10-28T17:54:34"/>
    <n v="4019"/>
    <n v="1"/>
    <d v="2020-10-27T16:45:38"/>
    <s v="NFe51201006315338020659550010000040191294096018"/>
    <n v="49980"/>
    <n v="49980"/>
    <n v="20439"/>
    <x v="1"/>
    <s v="COFCO INTERNATIONAL BRASIL S.A."/>
    <s v="NOVA MUTUM"/>
    <s v="06.315.338/0206-59"/>
    <s v="COFCO INTERNATIONAL BRASIL S A"/>
    <s v="NOVA MUTUM"/>
    <d v="2020-10-28T17:54:34"/>
    <s v="HPT0301922"/>
  </r>
  <r>
    <x v="1"/>
    <s v="TRO - RONDONOPOLIS"/>
    <s v="COFCO INTERNATIONAL BRASIL S.A."/>
    <s v="003 - TGG"/>
    <s v="05.527.694/0001-33"/>
    <s v="MILHO"/>
    <n v="531146"/>
    <s v="HPT"/>
    <d v="2021-01-12T17:50:59"/>
    <d v="2021-01-17T04:24:25"/>
    <n v="113560"/>
    <n v="35000"/>
    <n v="78560"/>
    <s v="GN29869"/>
    <d v="2021-01-04T17:35:41"/>
    <n v="5691"/>
    <n v="1"/>
    <d v="2020-12-19T14:59:14"/>
    <s v="NFe51201206315338020659550010000056911268979762"/>
    <n v="5700"/>
    <n v="5700"/>
    <n v="2749"/>
    <x v="1"/>
    <s v="COFCO INTERNATIONAL BRASIL S.A."/>
    <s v="NOVA MUTUM"/>
    <s v="06.315.338/0206-59"/>
    <s v="COFCO INTERNATIONAL BRASIL S A"/>
    <s v="NOVA MUTUM"/>
    <d v="2021-01-04T17:35:41"/>
    <s v="HPT0531146"/>
  </r>
  <r>
    <x v="1"/>
    <s v="TRO - RONDONOPOLIS"/>
    <s v="COFCO INTERNATIONAL BRASIL S.A."/>
    <s v="003 - TGG"/>
    <s v="05.527.694/0001-33"/>
    <s v="MILHO"/>
    <n v="531146"/>
    <s v="HPT"/>
    <d v="2021-01-12T17:50:59"/>
    <d v="2021-01-17T04:24:25"/>
    <n v="113560"/>
    <n v="35000"/>
    <n v="78560"/>
    <s v="GN29868"/>
    <d v="2020-10-28T17:54:34"/>
    <n v="4019"/>
    <n v="1"/>
    <d v="2020-10-27T16:45:38"/>
    <s v="NFe51201006315338020659550010000040191294096018"/>
    <n v="49980"/>
    <n v="49980"/>
    <n v="29541"/>
    <x v="1"/>
    <s v="COFCO INTERNATIONAL BRASIL S.A."/>
    <s v="NOVA MUTUM"/>
    <s v="06.315.338/0206-59"/>
    <s v="COFCO INTERNATIONAL BRASIL S A"/>
    <s v="NOVA MUTUM"/>
    <d v="2020-10-28T17:54:34"/>
    <s v="HPT0531146"/>
  </r>
  <r>
    <x v="1"/>
    <s v="TRO - RONDONOPOLIS"/>
    <s v="COFCO INTERNATIONAL BRASIL S.A."/>
    <s v="003 - TGG"/>
    <s v="05.527.694/0001-33"/>
    <s v="MILHO"/>
    <n v="531146"/>
    <s v="HPT"/>
    <d v="2021-01-12T17:50:59"/>
    <d v="2021-01-17T04:24:25"/>
    <n v="113560"/>
    <n v="35000"/>
    <n v="78560"/>
    <s v="GN29868"/>
    <d v="2020-10-28T16:32:05"/>
    <n v="4006"/>
    <n v="1"/>
    <d v="2020-10-27T11:15:13"/>
    <s v="NFe51201006315338020659550010000040061561768618"/>
    <n v="46300"/>
    <n v="46300"/>
    <n v="46270"/>
    <x v="1"/>
    <s v="COFCO INTERNATIONAL BRASIL S.A."/>
    <s v="NOVA MUTUM"/>
    <s v="06.315.338/0206-59"/>
    <s v="COFCO INTERNATIONAL BRASIL S A"/>
    <s v="NOVA MUTUM"/>
    <d v="2020-10-28T16:32:05"/>
    <s v="HPT0531146"/>
  </r>
  <r>
    <x v="1"/>
    <s v="TRO - RONDONOPOLIS"/>
    <s v="COFCO INTERNATIONAL BRASIL S.A."/>
    <s v="003 - TGG"/>
    <s v="05.527.694/0001-33"/>
    <s v="MILHO"/>
    <n v="8424152"/>
    <s v="HFT"/>
    <d v="2021-01-12T17:40:52"/>
    <d v="2021-01-17T04:24:25"/>
    <n v="125140"/>
    <n v="30175"/>
    <n v="94965"/>
    <s v="GN29863"/>
    <d v="2021-01-08T23:51:43"/>
    <n v="17021"/>
    <n v="1"/>
    <d v="2021-01-07T14:44:01"/>
    <s v="NFe51210106315338018409550010000170211733208441"/>
    <n v="49540"/>
    <n v="49540"/>
    <n v="49540"/>
    <x v="0"/>
    <s v="COFCO INTERNATIONAL BRASIL S.A."/>
    <s v="NOVA UBIRATA"/>
    <s v="06.315.338/0184-09"/>
    <s v="COFCO INTERNATIONAL BRASIL S A"/>
    <s v="NOVA UBIRATA"/>
    <d v="2021-01-08T23:51:43"/>
    <s v="HFT8424152"/>
  </r>
  <r>
    <x v="1"/>
    <s v="TRO - RONDONOPOLIS"/>
    <s v="COFCO INTERNATIONAL BRASIL S.A."/>
    <s v="003 - TGG"/>
    <s v="05.527.694/0001-33"/>
    <s v="MILHO"/>
    <n v="8424152"/>
    <s v="HFT"/>
    <d v="2021-01-12T17:40:52"/>
    <d v="2021-01-17T04:24:25"/>
    <n v="125140"/>
    <n v="30175"/>
    <n v="94965"/>
    <s v="GN29869"/>
    <d v="2021-01-04T17:35:41"/>
    <n v="5691"/>
    <n v="1"/>
    <d v="2020-12-19T14:59:14"/>
    <s v="NFe51201206315338020659550010000056911268979762"/>
    <n v="5700"/>
    <n v="5700"/>
    <n v="2951"/>
    <x v="1"/>
    <s v="COFCO INTERNATIONAL BRASIL S.A."/>
    <s v="NOVA MUTUM"/>
    <s v="06.315.338/0206-59"/>
    <s v="COFCO INTERNATIONAL BRASIL S A"/>
    <s v="NOVA MUTUM"/>
    <d v="2021-01-04T17:35:41"/>
    <s v="HFT8424152"/>
  </r>
  <r>
    <x v="1"/>
    <s v="TRO - RONDONOPOLIS"/>
    <s v="COFCO INTERNATIONAL BRASIL S.A."/>
    <s v="003 - TGG"/>
    <s v="05.527.694/0001-33"/>
    <s v="MILHO"/>
    <n v="8424152"/>
    <s v="HFT"/>
    <d v="2021-01-12T17:40:52"/>
    <d v="2021-01-17T04:24:25"/>
    <n v="125140"/>
    <n v="30175"/>
    <n v="94965"/>
    <s v="GN29863"/>
    <d v="2021-01-08T20:14:39"/>
    <n v="17022"/>
    <n v="1"/>
    <d v="2021-01-07T14:45:28"/>
    <s v="NFe51210106315338018409550010000170221911360500"/>
    <n v="48810"/>
    <n v="48810"/>
    <n v="42474"/>
    <x v="0"/>
    <s v="COFCO INTERNATIONAL BRASIL S.A."/>
    <s v="NOVA UBIRATA"/>
    <s v="06.315.338/0184-09"/>
    <s v="COFCO INTERNATIONAL BRASIL S A"/>
    <s v="NOVA UBIRATA"/>
    <d v="2021-01-08T20:14:39"/>
    <s v="HFT8424152"/>
  </r>
  <r>
    <x v="1"/>
    <s v="TRO - RONDONOPOLIS"/>
    <s v="COFCO INTERNATIONAL BRASIL S.A."/>
    <s v="003 - TGG"/>
    <s v="05.527.694/0001-33"/>
    <s v="MILHO"/>
    <n v="8443904"/>
    <s v="HPT"/>
    <d v="2021-01-12T17:59:26"/>
    <d v="2021-01-17T04:24:25"/>
    <n v="125200"/>
    <n v="29100"/>
    <n v="96100"/>
    <s v="GN29868"/>
    <d v="2021-01-08T20:23:04"/>
    <n v="5556"/>
    <n v="1"/>
    <d v="2020-12-15T16:29:42"/>
    <s v="NFe51201206315338020659550010000055561825762865"/>
    <n v="38200"/>
    <n v="38200"/>
    <n v="13064"/>
    <x v="1"/>
    <s v="COFCO INTERNATIONAL BRASIL S.A."/>
    <s v="NOVA MUTUM"/>
    <s v="06.315.338/0206-59"/>
    <s v="COFCO INTERNATIONAL BRASIL S A"/>
    <s v="NOVA MUTUM"/>
    <d v="2021-01-08T20:23:04"/>
    <s v="HPT8443904"/>
  </r>
  <r>
    <x v="1"/>
    <s v="TRO - RONDONOPOLIS"/>
    <s v="COFCO INTERNATIONAL BRASIL S.A."/>
    <s v="003 - TGG"/>
    <s v="05.527.694/0001-33"/>
    <s v="MILHO"/>
    <n v="8443904"/>
    <s v="HPT"/>
    <d v="2021-01-12T17:59:26"/>
    <d v="2021-01-17T04:24:25"/>
    <n v="125200"/>
    <n v="29100"/>
    <n v="96100"/>
    <s v="GN29868"/>
    <d v="2020-11-11T11:52:47"/>
    <n v="4024"/>
    <n v="1"/>
    <d v="2020-10-27T19:45:33"/>
    <s v="NFe51201006315338020659550010000040241854549110"/>
    <n v="34820"/>
    <n v="34820"/>
    <n v="34087"/>
    <x v="1"/>
    <s v="COFCO INTERNATIONAL BRASIL S.A."/>
    <s v="NOVA MUTUM"/>
    <s v="06.315.338/0206-59"/>
    <s v="COFCO INTERNATIONAL BRASIL S A"/>
    <s v="NOVA MUTUM"/>
    <d v="2020-11-11T11:52:47"/>
    <s v="HPT8443904"/>
  </r>
  <r>
    <x v="1"/>
    <s v="TRO - RONDONOPOLIS"/>
    <s v="COFCO INTERNATIONAL BRASIL S.A."/>
    <s v="003 - TGG"/>
    <s v="05.527.694/0001-33"/>
    <s v="MILHO"/>
    <n v="329096"/>
    <s v="HPT"/>
    <d v="2021-01-12T17:29:49"/>
    <d v="2021-01-17T04:24:21"/>
    <n v="125300"/>
    <n v="28740"/>
    <n v="96560"/>
    <s v="GN29863"/>
    <d v="2021-01-05T19:22:22"/>
    <n v="17010"/>
    <n v="1"/>
    <d v="2020-12-29T16:32:20"/>
    <s v="NFe51201206315338018409550010000170101733208442"/>
    <n v="49080"/>
    <n v="49080"/>
    <n v="8066"/>
    <x v="0"/>
    <s v="COFCO INTERNATIONAL BRASIL S.A."/>
    <s v="NOVA UBIRATA"/>
    <s v="06.315.338/0184-09"/>
    <s v="COFCO INTERNATIONAL BRASIL S A"/>
    <s v="NOVA UBIRATA"/>
    <d v="2021-01-05T19:22:22"/>
    <s v="HPT0329096"/>
  </r>
  <r>
    <x v="1"/>
    <s v="TRO - RONDONOPOLIS"/>
    <s v="COFCO INTERNATIONAL GRAINS LTDA"/>
    <s v="003 - TGG"/>
    <s v="05.527.694/0001-33"/>
    <s v="MILHO"/>
    <n v="300080"/>
    <s v="HPT"/>
    <d v="2021-01-12T18:26:26"/>
    <d v="2021-01-17T04:24:36"/>
    <n v="125280"/>
    <n v="30700"/>
    <n v="94580"/>
    <s v="GN29855"/>
    <d v="2021-01-03T19:28:14"/>
    <n v="12799"/>
    <n v="1"/>
    <d v="2020-12-29T18:37:46"/>
    <s v="NFe51201229332398000579550010000127991838390854"/>
    <n v="49100"/>
    <n v="49100"/>
    <n v="20787"/>
    <x v="2"/>
    <s v="COFCO INTERNATIONAL GRAINS LTDA"/>
    <s v="ITANHANGA"/>
    <s v="29.332.398/0005-79"/>
    <s v="COFCO INTERNATIONAL GRAINS LTDA"/>
    <s v="ITANHANGA"/>
    <n v="44199.811273148145"/>
    <s v="HPT0300080"/>
  </r>
  <r>
    <x v="1"/>
    <s v="TRO - RONDONOPOLIS"/>
    <s v="COFCO INTERNATIONAL GRAINS LTDA"/>
    <s v="003 - TGG"/>
    <s v="05.527.694/0001-33"/>
    <s v="MILHO"/>
    <n v="300080"/>
    <s v="HPT"/>
    <d v="2021-01-12T18:26:26"/>
    <d v="2021-01-17T04:24:36"/>
    <n v="125280"/>
    <n v="30700"/>
    <n v="94580"/>
    <s v="GN29855"/>
    <d v="2021-01-03T08:15:19"/>
    <n v="12797"/>
    <n v="1"/>
    <d v="2020-12-29T18:17:22"/>
    <s v="NFe51201229332398000579550010000127971911360501"/>
    <n v="50400"/>
    <n v="50400"/>
    <n v="36483"/>
    <x v="2"/>
    <s v="COFCO INTERNATIONAL GRAINS LTDA"/>
    <s v="ITANHANGA"/>
    <s v="29.332.398/0005-79"/>
    <s v="COFCO INTERNATIONAL GRAINS LTDA"/>
    <s v="ITANHANGA"/>
    <n v="44199.343969907408"/>
    <s v="HPT0300080"/>
  </r>
  <r>
    <x v="1"/>
    <s v="TRO - RONDONOPOLIS"/>
    <s v="COFCO INTERNATIONAL GRAINS LTDA"/>
    <s v="003 - TGG"/>
    <s v="05.527.694/0001-33"/>
    <s v="MILHO"/>
    <n v="300080"/>
    <s v="HPT"/>
    <d v="2021-01-12T18:26:26"/>
    <d v="2021-01-17T04:24:36"/>
    <n v="125280"/>
    <n v="30700"/>
    <n v="94580"/>
    <s v="GN29855"/>
    <d v="2021-01-03T16:08:39"/>
    <n v="12793"/>
    <n v="1"/>
    <d v="2020-12-29T15:28:07"/>
    <s v="NFe51201229332398000579550010000127931838390850"/>
    <n v="37340"/>
    <n v="37340"/>
    <n v="37310"/>
    <x v="2"/>
    <s v="COFCO INTERNATIONAL GRAINS LTDA"/>
    <s v="ITANHANGA"/>
    <s v="29.332.398/0005-79"/>
    <s v="COFCO INTERNATIONAL GRAINS LTDA"/>
    <s v="ITANHANGA"/>
    <n v="44199.672673611109"/>
    <s v="HPT0300080"/>
  </r>
  <r>
    <x v="1"/>
    <s v="TRO - RONDONOPOLIS"/>
    <s v="COFCO INTERNATIONAL GRAINS LTDA"/>
    <s v="003 - TGG"/>
    <s v="05.527.694/0001-33"/>
    <s v="MILHO"/>
    <n v="302201"/>
    <s v="HPT"/>
    <d v="2021-01-12T18:31:46"/>
    <d v="2021-01-17T04:24:36"/>
    <n v="125260"/>
    <n v="29984"/>
    <n v="95276"/>
    <s v="GN29855"/>
    <d v="2021-01-03T20:22:48"/>
    <n v="12780"/>
    <n v="1"/>
    <d v="2020-12-28T22:23:40"/>
    <s v="NFe51201229332398000579550010000127801733208442"/>
    <n v="47280"/>
    <n v="47280"/>
    <n v="20913"/>
    <x v="2"/>
    <s v="COFCO INTERNATIONAL GRAINS LTDA"/>
    <s v="ITANHANGA"/>
    <s v="29.332.398/0005-79"/>
    <s v="COFCO INTERNATIONAL GRAINS LTDA"/>
    <s v="ITANHANGA"/>
    <n v="44199.849166666667"/>
    <s v="HPT0302201"/>
  </r>
  <r>
    <x v="1"/>
    <s v="TRO - RONDONOPOLIS"/>
    <s v="COFCO INTERNATIONAL GRAINS LTDA"/>
    <s v="003 - TGG"/>
    <s v="05.527.694/0001-33"/>
    <s v="MILHO"/>
    <n v="302201"/>
    <s v="HPT"/>
    <d v="2021-01-12T18:31:46"/>
    <d v="2021-01-17T04:24:36"/>
    <n v="125260"/>
    <n v="29984"/>
    <n v="95276"/>
    <s v="GN29855"/>
    <d v="2021-01-03T19:28:14"/>
    <n v="12799"/>
    <n v="1"/>
    <d v="2020-12-29T18:37:46"/>
    <s v="NFe51201229332398000579550010000127991838390854"/>
    <n v="49100"/>
    <n v="49100"/>
    <n v="28063"/>
    <x v="2"/>
    <s v="COFCO INTERNATIONAL GRAINS LTDA"/>
    <s v="ITANHANGA"/>
    <s v="29.332.398/0005-79"/>
    <s v="COFCO INTERNATIONAL GRAINS LTDA"/>
    <s v="ITANHANGA"/>
    <n v="44199.811273148145"/>
    <s v="HPT0302201"/>
  </r>
  <r>
    <x v="1"/>
    <s v="TRO - RONDONOPOLIS"/>
    <s v="COFCO INTERNATIONAL GRAINS LTDA"/>
    <s v="003 - TGG"/>
    <s v="05.527.694/0001-33"/>
    <s v="MILHO"/>
    <n v="302201"/>
    <s v="HPT"/>
    <d v="2021-01-12T18:31:46"/>
    <d v="2021-01-17T04:24:36"/>
    <n v="125260"/>
    <n v="29984"/>
    <n v="95276"/>
    <s v="GN29855"/>
    <d v="2021-01-03T20:10:09"/>
    <n v="12814"/>
    <n v="1"/>
    <d v="2020-12-30T00:25:29"/>
    <s v="NFe51201229332398000579550010000128141838390852"/>
    <n v="46320"/>
    <n v="46320"/>
    <n v="46300"/>
    <x v="2"/>
    <s v="COFCO INTERNATIONAL GRAINS LTDA"/>
    <s v="ITANHANGA"/>
    <s v="29.332.398/0005-79"/>
    <s v="COFCO INTERNATIONAL GRAINS LTDA"/>
    <s v="ITANHANGA"/>
    <n v="44199.840381944443"/>
    <s v="HPT0302201"/>
  </r>
  <r>
    <x v="1"/>
    <s v="TRO - RONDONOPOLIS"/>
    <s v="COFCO INTERNATIONAL GRAINS LTDA"/>
    <s v="003 - TGG"/>
    <s v="05.527.694/0001-33"/>
    <s v="MILHO"/>
    <n v="306321"/>
    <s v="HPT"/>
    <d v="2021-01-12T18:12:13"/>
    <d v="2021-01-17T04:24:36"/>
    <n v="125289"/>
    <n v="28770"/>
    <n v="96519"/>
    <s v="GN29856"/>
    <d v="2021-01-08T10:29:09"/>
    <n v="30581"/>
    <n v="1"/>
    <d v="2021-01-07T07:40:37"/>
    <s v="NFe51210129332398000498550010000305811911360501"/>
    <n v="47410"/>
    <n v="47410"/>
    <n v="47410"/>
    <x v="3"/>
    <s v="COFCO INTERNATIONAL GRAINS LTDA"/>
    <s v="SORRISO"/>
    <s v="29.332.398/0004-98"/>
    <s v="COFCO INTERNATIONAL GRAINS LTDA"/>
    <s v="SORRISO"/>
    <n v="44204.436909722222"/>
    <s v="HPT0306321"/>
  </r>
  <r>
    <x v="1"/>
    <s v="TRO - RONDONOPOLIS"/>
    <s v="COFCO INTERNATIONAL GRAINS LTDA"/>
    <s v="003 - TGG"/>
    <s v="05.527.694/0001-33"/>
    <s v="MILHO"/>
    <n v="306321"/>
    <s v="HPT"/>
    <d v="2021-01-12T18:12:13"/>
    <d v="2021-01-17T04:24:36"/>
    <n v="125289"/>
    <n v="28770"/>
    <n v="96519"/>
    <s v="GN29856"/>
    <d v="2021-01-07T21:15:47"/>
    <n v="30577"/>
    <n v="1"/>
    <d v="2021-01-05T16:47:27"/>
    <s v="NFe51210129332398000498550010000305771733208447"/>
    <n v="50410"/>
    <n v="50410"/>
    <n v="4681"/>
    <x v="3"/>
    <s v="COFCO INTERNATIONAL GRAINS LTDA"/>
    <s v="SORRISO"/>
    <s v="29.332.398/0004-98"/>
    <s v="COFCO INTERNATIONAL GRAINS LTDA"/>
    <s v="SORRISO"/>
    <n v="44203.885960648149"/>
    <s v="HPT0306321"/>
  </r>
  <r>
    <x v="1"/>
    <s v="TRO - RONDONOPOLIS"/>
    <s v="COFCO INTERNATIONAL GRAINS LTDA"/>
    <s v="003 - TGG"/>
    <s v="05.527.694/0001-33"/>
    <s v="MILHO"/>
    <n v="306321"/>
    <s v="HPT"/>
    <d v="2021-01-12T18:12:13"/>
    <d v="2021-01-17T04:24:36"/>
    <n v="125289"/>
    <n v="28770"/>
    <n v="96519"/>
    <s v="GN29856"/>
    <d v="2021-01-08T11:45:03"/>
    <n v="30582"/>
    <n v="1"/>
    <d v="2021-01-07T07:48:24"/>
    <s v="NFe51210129332398000498550010000305821274984825"/>
    <n v="49090"/>
    <n v="49090"/>
    <n v="44428"/>
    <x v="3"/>
    <s v="COFCO INTERNATIONAL GRAINS LTDA"/>
    <s v="SORRISO"/>
    <s v="29.332.398/0004-98"/>
    <s v="COFCO INTERNATIONAL GRAINS LTDA"/>
    <s v="SORRISO"/>
    <n v="44204.489618055559"/>
    <s v="HPT0306321"/>
  </r>
  <r>
    <x v="1"/>
    <s v="TRO - RONDONOPOLIS"/>
    <s v="COFCO INTERNATIONAL GRAINS LTDA"/>
    <s v="003 - TGG"/>
    <s v="05.527.694/0001-33"/>
    <s v="MILHO"/>
    <n v="311481"/>
    <s v="HPT"/>
    <d v="2021-01-12T18:44:38"/>
    <d v="2021-01-17T04:24:36"/>
    <n v="125240"/>
    <n v="30500"/>
    <n v="94740"/>
    <s v="GN29855"/>
    <d v="2021-01-05T21:16:57"/>
    <n v="12810"/>
    <n v="1"/>
    <d v="2020-12-29T22:53:51"/>
    <s v="NFe51201229332398000579550010000128101192510796"/>
    <n v="49260"/>
    <n v="49260"/>
    <n v="18608"/>
    <x v="2"/>
    <s v="COFCO INTERNATIONAL GRAINS LTDA"/>
    <s v="ITANHANGA"/>
    <s v="29.332.398/0005-79"/>
    <s v="COFCO INTERNATIONAL GRAINS LTDA"/>
    <s v="ITANHANGA"/>
    <n v="44201.886770833335"/>
    <s v="HPT0311481"/>
  </r>
  <r>
    <x v="1"/>
    <s v="TRO - RONDONOPOLIS"/>
    <s v="COFCO INTERNATIONAL GRAINS LTDA"/>
    <s v="003 - TGG"/>
    <s v="05.527.694/0001-33"/>
    <s v="MILHO"/>
    <n v="311481"/>
    <s v="HPT"/>
    <d v="2021-01-12T18:44:38"/>
    <d v="2021-01-17T04:24:36"/>
    <n v="125240"/>
    <n v="30500"/>
    <n v="94740"/>
    <s v="GN29855"/>
    <d v="2021-01-04T18:19:21"/>
    <n v="12789"/>
    <n v="1"/>
    <d v="2020-12-29T14:45:02"/>
    <s v="NFe51201229332398000579550010000127891911360500"/>
    <n v="47580"/>
    <n v="47580"/>
    <n v="25542"/>
    <x v="2"/>
    <s v="COFCO INTERNATIONAL GRAINS LTDA"/>
    <s v="ITANHANGA"/>
    <s v="29.332.398/0005-79"/>
    <s v="COFCO INTERNATIONAL GRAINS LTDA"/>
    <s v="ITANHANGA"/>
    <n v="44200.763437499998"/>
    <s v="HPT0311481"/>
  </r>
  <r>
    <x v="1"/>
    <s v="TRO - RONDONOPOLIS"/>
    <s v="COFCO INTERNATIONAL GRAINS LTDA"/>
    <s v="003 - TGG"/>
    <s v="05.527.694/0001-33"/>
    <s v="MILHO"/>
    <n v="311481"/>
    <s v="HPT"/>
    <d v="2021-01-12T18:44:38"/>
    <d v="2021-01-17T04:24:36"/>
    <n v="125240"/>
    <n v="30500"/>
    <n v="94740"/>
    <s v="GN29855"/>
    <d v="2021-01-04T21:53:27"/>
    <n v="12805"/>
    <n v="1"/>
    <d v="2020-12-29T21:26:13"/>
    <s v="NFe51201229332398000579550010000128051733208443"/>
    <n v="50680"/>
    <n v="50680"/>
    <n v="50590"/>
    <x v="2"/>
    <s v="COFCO INTERNATIONAL GRAINS LTDA"/>
    <s v="ITANHANGA"/>
    <s v="29.332.398/0005-79"/>
    <s v="COFCO INTERNATIONAL GRAINS LTDA"/>
    <s v="ITANHANGA"/>
    <n v="44200.912118055552"/>
    <s v="HPT0311481"/>
  </r>
  <r>
    <x v="1"/>
    <s v="TRO - RONDONOPOLIS"/>
    <s v="COFCO INTERNATIONAL GRAINS LTDA"/>
    <s v="003 - TGG"/>
    <s v="05.527.694/0001-33"/>
    <s v="MILHO"/>
    <n v="312363"/>
    <s v="HPT"/>
    <d v="2021-01-12T18:56:40"/>
    <d v="2021-01-17T04:24:36"/>
    <n v="125132"/>
    <n v="30400"/>
    <n v="94732"/>
    <s v="GN29846"/>
    <d v="2021-01-03T15:23:45"/>
    <n v="12073"/>
    <n v="1"/>
    <d v="2021-01-02T09:10:33"/>
    <s v="NFe51210129332398000730550010000120731733208440"/>
    <n v="46220"/>
    <n v="46220"/>
    <n v="17295"/>
    <x v="4"/>
    <s v="COFCO INTERNATIONAL GRAINS LTDA"/>
    <s v="NOVA MARINGA"/>
    <s v="29.332.398/0007-30"/>
    <s v="COFCO INTERNATIONAL GRAINS LTDA"/>
    <s v="NOVA MARINGA"/>
    <n v="44199.641493055555"/>
    <s v="HPT0312363"/>
  </r>
  <r>
    <x v="1"/>
    <s v="TRO - RONDONOPOLIS"/>
    <s v="COFCO INTERNATIONAL GRAINS LTDA"/>
    <s v="003 - TGG"/>
    <s v="05.527.694/0001-33"/>
    <s v="MILHO"/>
    <n v="312363"/>
    <s v="HPT"/>
    <d v="2021-01-12T18:56:40"/>
    <d v="2021-01-17T04:24:36"/>
    <n v="125132"/>
    <n v="30400"/>
    <n v="94732"/>
    <s v="GN29846"/>
    <d v="2021-01-04T09:33:26"/>
    <n v="12017"/>
    <n v="1"/>
    <d v="2020-12-29T12:40:57"/>
    <s v="NFe51201229332398000730550010000120171838390856"/>
    <n v="48780"/>
    <n v="48780"/>
    <n v="48750"/>
    <x v="4"/>
    <s v="COFCO INTERNATIONAL GRAINS LTDA"/>
    <s v="NOVA MARINGA"/>
    <s v="29.332.398/0007-30"/>
    <s v="COFCO INTERNATIONAL GRAINS LTDA"/>
    <s v="NOVA MARINGA"/>
    <n v="44200.398217592592"/>
    <s v="HPT0312363"/>
  </r>
  <r>
    <x v="1"/>
    <s v="TRO - RONDONOPOLIS"/>
    <s v="COFCO INTERNATIONAL GRAINS LTDA"/>
    <s v="003 - TGG"/>
    <s v="05.527.694/0001-33"/>
    <s v="MILHO"/>
    <n v="312363"/>
    <s v="HPT"/>
    <d v="2021-01-12T18:56:40"/>
    <d v="2021-01-17T04:24:36"/>
    <n v="125132"/>
    <n v="30400"/>
    <n v="94732"/>
    <s v="GN29846"/>
    <d v="2021-01-04T09:35:06"/>
    <n v="12076"/>
    <n v="1"/>
    <d v="2021-01-02T09:20:15"/>
    <s v="NFe51210129332398000730550010000120761274984820"/>
    <n v="49340"/>
    <n v="49340"/>
    <n v="28687"/>
    <x v="4"/>
    <s v="COFCO INTERNATIONAL GRAINS LTDA"/>
    <s v="NOVA MARINGA"/>
    <s v="29.332.398/0007-30"/>
    <s v="COFCO INTERNATIONAL GRAINS LTDA"/>
    <s v="NOVA MARINGA"/>
    <n v="44200.399375000001"/>
    <s v="HPT0312363"/>
  </r>
  <r>
    <x v="1"/>
    <s v="TRO - RONDONOPOLIS"/>
    <s v="COFCO INTERNATIONAL GRAINS LTDA"/>
    <s v="003 - TGG"/>
    <s v="05.527.694/0001-33"/>
    <s v="MILHO"/>
    <n v="326763"/>
    <s v="HPT"/>
    <d v="2021-01-12T18:51:13"/>
    <d v="2021-01-17T04:24:36"/>
    <n v="125240"/>
    <n v="28653"/>
    <n v="96587"/>
    <s v="GN29846"/>
    <d v="2021-01-03T15:23:45"/>
    <n v="12073"/>
    <n v="1"/>
    <d v="2021-01-02T09:10:33"/>
    <s v="NFe51210129332398000730550010000120731733208440"/>
    <n v="46220"/>
    <n v="46220"/>
    <n v="28885"/>
    <x v="4"/>
    <s v="COFCO INTERNATIONAL GRAINS LTDA"/>
    <s v="NOVA MARINGA"/>
    <s v="29.332.398/0007-30"/>
    <s v="COFCO INTERNATIONAL GRAINS LTDA"/>
    <s v="NOVA MARINGA"/>
    <n v="44199.641493055555"/>
    <s v="HPT0326763"/>
  </r>
  <r>
    <x v="1"/>
    <s v="TRO - RONDONOPOLIS"/>
    <s v="COFCO INTERNATIONAL GRAINS LTDA"/>
    <s v="003 - TGG"/>
    <s v="05.527.694/0001-33"/>
    <s v="MILHO"/>
    <n v="326763"/>
    <s v="HPT"/>
    <d v="2021-01-12T18:51:13"/>
    <d v="2021-01-17T04:24:36"/>
    <n v="125240"/>
    <n v="28653"/>
    <n v="96587"/>
    <s v="GN29846"/>
    <d v="2021-01-03T03:32:50"/>
    <n v="11973"/>
    <n v="1"/>
    <d v="2020-12-28T16:20:12"/>
    <s v="NFe51201229332398000730550010000119731526754430"/>
    <n v="37340"/>
    <n v="37340"/>
    <n v="37260"/>
    <x v="4"/>
    <s v="COFCO INTERNATIONAL GRAINS LTDA"/>
    <s v="NOVA MARINGA"/>
    <s v="29.332.398/0007-30"/>
    <s v="COFCO INTERNATIONAL GRAINS LTDA"/>
    <s v="NOVA MARINGA"/>
    <n v="44199.147800925923"/>
    <s v="HPT0326763"/>
  </r>
  <r>
    <x v="1"/>
    <s v="TRO - RONDONOPOLIS"/>
    <s v="COFCO INTERNATIONAL GRAINS LTDA"/>
    <s v="003 - TGG"/>
    <s v="05.527.694/0001-33"/>
    <s v="MILHO"/>
    <n v="326763"/>
    <s v="HPT"/>
    <d v="2021-01-12T18:51:13"/>
    <d v="2021-01-17T04:24:36"/>
    <n v="125240"/>
    <n v="28653"/>
    <n v="96587"/>
    <s v="GN29855"/>
    <d v="2021-01-05T21:16:57"/>
    <n v="12810"/>
    <n v="1"/>
    <d v="2020-12-29T22:53:51"/>
    <s v="NFe51201229332398000579550010000128101192510796"/>
    <n v="49260"/>
    <n v="49260"/>
    <n v="30442"/>
    <x v="2"/>
    <s v="COFCO INTERNATIONAL GRAINS LTDA"/>
    <s v="ITANHANGA"/>
    <s v="29.332.398/0005-79"/>
    <s v="COFCO INTERNATIONAL GRAINS LTDA"/>
    <s v="ITANHANGA"/>
    <n v="44201.886770833335"/>
    <s v="HPT0326763"/>
  </r>
  <r>
    <x v="1"/>
    <s v="TRO - RONDONOPOLIS"/>
    <s v="COFCO INTERNATIONAL GRAINS LTDA"/>
    <s v="003 - TGG"/>
    <s v="05.527.694/0001-33"/>
    <s v="MILHO"/>
    <n v="328898"/>
    <s v="HPT"/>
    <d v="2021-01-12T19:10:13"/>
    <d v="2021-01-17T04:24:36"/>
    <n v="125279"/>
    <n v="28781"/>
    <n v="96498"/>
    <s v="GN29846"/>
    <d v="2021-01-04T14:26:04"/>
    <n v="12075"/>
    <n v="1"/>
    <d v="2021-01-02T09:17:52"/>
    <s v="NFe51210129332398000730550010000120751911360507"/>
    <n v="49960"/>
    <n v="49960"/>
    <n v="38125"/>
    <x v="4"/>
    <s v="COFCO INTERNATIONAL GRAINS LTDA"/>
    <s v="NOVA MARINGA"/>
    <s v="29.332.398/0007-30"/>
    <s v="COFCO INTERNATIONAL GRAINS LTDA"/>
    <s v="NOVA MARINGA"/>
    <n v="44200.601435185185"/>
    <s v="HPT0328898"/>
  </r>
  <r>
    <x v="1"/>
    <s v="TRO - RONDONOPOLIS"/>
    <s v="COFCO INTERNATIONAL GRAINS LTDA"/>
    <s v="003 - TGG"/>
    <s v="05.527.694/0001-33"/>
    <s v="MILHO"/>
    <n v="328898"/>
    <s v="HPT"/>
    <d v="2021-01-12T19:10:13"/>
    <d v="2021-01-17T04:24:36"/>
    <n v="125279"/>
    <n v="28781"/>
    <n v="96498"/>
    <s v="GN29846"/>
    <d v="2021-01-04T11:05:04"/>
    <n v="12090"/>
    <n v="1"/>
    <d v="2021-01-02T11:35:51"/>
    <s v="NFe51210129332398000730550010000120901911360503"/>
    <n v="31540"/>
    <n v="31540"/>
    <n v="31490"/>
    <x v="4"/>
    <s v="COFCO INTERNATIONAL GRAINS LTDA"/>
    <s v="NOVA MARINGA"/>
    <s v="29.332.398/0007-30"/>
    <s v="COFCO INTERNATIONAL GRAINS LTDA"/>
    <s v="NOVA MARINGA"/>
    <n v="44200.461851851855"/>
    <s v="HPT0328898"/>
  </r>
  <r>
    <x v="1"/>
    <s v="TRO - RONDONOPOLIS"/>
    <s v="COFCO INTERNATIONAL GRAINS LTDA"/>
    <s v="003 - TGG"/>
    <s v="05.527.694/0001-33"/>
    <s v="MILHO"/>
    <n v="328898"/>
    <s v="HPT"/>
    <d v="2021-01-12T19:10:13"/>
    <d v="2021-01-17T04:24:36"/>
    <n v="125279"/>
    <n v="28781"/>
    <n v="96498"/>
    <s v="GN29846"/>
    <d v="2021-01-04T10:53:55"/>
    <n v="11984"/>
    <n v="1"/>
    <d v="2020-12-28T18:29:54"/>
    <s v="NFe51201229332398000730550010000119841911360505"/>
    <n v="50200"/>
    <n v="50200"/>
    <n v="26883"/>
    <x v="4"/>
    <s v="COFCO INTERNATIONAL GRAINS LTDA"/>
    <s v="NOVA MARINGA"/>
    <s v="29.332.398/0007-30"/>
    <s v="COFCO INTERNATIONAL GRAINS LTDA"/>
    <s v="NOVA MARINGA"/>
    <n v="44200.454108796293"/>
    <s v="HPT0328898"/>
  </r>
  <r>
    <x v="1"/>
    <s v="TRO - RONDONOPOLIS"/>
    <s v="COFCO INTERNATIONAL GRAINS LTDA"/>
    <s v="003 - TGG"/>
    <s v="05.527.694/0001-33"/>
    <s v="MILHO"/>
    <n v="536814"/>
    <s v="HFT"/>
    <d v="2021-01-12T18:17:11"/>
    <d v="2021-01-17T04:24:36"/>
    <n v="125220"/>
    <n v="28640"/>
    <n v="96580"/>
    <s v="GN29855"/>
    <d v="2021-01-02T22:54:10"/>
    <n v="12795"/>
    <n v="1"/>
    <d v="2020-12-29T16:16:38"/>
    <s v="NFe51201229332398000579550010000127951192510798"/>
    <n v="38140"/>
    <n v="38140"/>
    <n v="5238"/>
    <x v="2"/>
    <s v="COFCO INTERNATIONAL GRAINS LTDA"/>
    <s v="ITANHANGA"/>
    <s v="29.332.398/0005-79"/>
    <s v="COFCO INTERNATIONAL GRAINS LTDA"/>
    <s v="ITANHANGA"/>
    <n v="44198.954282407409"/>
    <s v="HFT0536814"/>
  </r>
  <r>
    <x v="1"/>
    <s v="TRO - RONDONOPOLIS"/>
    <s v="COFCO INTERNATIONAL GRAINS LTDA"/>
    <s v="003 - TGG"/>
    <s v="05.527.694/0001-33"/>
    <s v="MILHO"/>
    <n v="536814"/>
    <s v="HFT"/>
    <d v="2021-01-12T18:17:11"/>
    <d v="2021-01-17T04:24:36"/>
    <n v="125220"/>
    <n v="28640"/>
    <n v="96580"/>
    <s v="GN29855"/>
    <d v="2021-01-02T22:38:47"/>
    <n v="12798"/>
    <n v="1"/>
    <d v="2020-12-29T18:33:21"/>
    <s v="NFe51201229332398000579550010000127981274984825"/>
    <n v="37540"/>
    <n v="37540"/>
    <n v="37500"/>
    <x v="2"/>
    <s v="COFCO INTERNATIONAL GRAINS LTDA"/>
    <s v="ITANHANGA"/>
    <s v="29.332.398/0005-79"/>
    <s v="COFCO INTERNATIONAL GRAINS LTDA"/>
    <s v="ITANHANGA"/>
    <n v="44198.943599537037"/>
    <s v="HFT0536814"/>
  </r>
  <r>
    <x v="1"/>
    <s v="TRO - RONDONOPOLIS"/>
    <s v="COFCO INTERNATIONAL GRAINS LTDA"/>
    <s v="003 - TGG"/>
    <s v="05.527.694/0001-33"/>
    <s v="MILHO"/>
    <n v="536814"/>
    <s v="HFT"/>
    <d v="2021-01-12T18:17:11"/>
    <d v="2021-01-17T04:24:36"/>
    <n v="125220"/>
    <n v="28640"/>
    <n v="96580"/>
    <s v="GN29856"/>
    <d v="2021-01-08T11:59:52"/>
    <n v="30580"/>
    <n v="1"/>
    <d v="2021-01-07T07:35:39"/>
    <s v="NFe51210129332398000498550010000305801733208442"/>
    <n v="49390"/>
    <n v="49390"/>
    <n v="49260"/>
    <x v="3"/>
    <s v="COFCO INTERNATIONAL GRAINS LTDA"/>
    <s v="SORRISO"/>
    <s v="29.332.398/0004-98"/>
    <s v="COFCO INTERNATIONAL GRAINS LTDA"/>
    <s v="SORRISO"/>
    <n v="44204.499907407408"/>
    <s v="HFT0536814"/>
  </r>
  <r>
    <x v="1"/>
    <s v="TRO - RONDONOPOLIS"/>
    <s v="COFCO INTERNATIONAL GRAINS LTDA"/>
    <s v="003 - TGG"/>
    <s v="05.527.694/0001-33"/>
    <s v="MILHO"/>
    <n v="536814"/>
    <s v="HFT"/>
    <d v="2021-01-12T18:17:11"/>
    <d v="2021-01-17T04:24:36"/>
    <n v="125220"/>
    <n v="28640"/>
    <n v="96580"/>
    <s v="GN29856"/>
    <d v="2021-01-08T11:45:03"/>
    <n v="30582"/>
    <n v="1"/>
    <d v="2021-01-07T07:48:24"/>
    <s v="NFe51210129332398000498550010000305821274984825"/>
    <n v="49090"/>
    <n v="49090"/>
    <n v="4582"/>
    <x v="3"/>
    <s v="COFCO INTERNATIONAL GRAINS LTDA"/>
    <s v="SORRISO"/>
    <s v="29.332.398/0004-98"/>
    <s v="COFCO INTERNATIONAL GRAINS LTDA"/>
    <s v="SORRISO"/>
    <n v="44204.489618055559"/>
    <s v="HFT0536814"/>
  </r>
  <r>
    <x v="1"/>
    <s v="TRO - RONDONOPOLIS"/>
    <s v="COFCO INTERNATIONAL GRAINS LTDA"/>
    <s v="003 - TGG"/>
    <s v="05.527.694/0001-33"/>
    <s v="MILHO"/>
    <n v="908738"/>
    <s v="HFT"/>
    <d v="2021-01-12T19:28:02"/>
    <d v="2021-01-17T04:24:36"/>
    <n v="120560"/>
    <n v="24820"/>
    <n v="95740"/>
    <s v="GN29870"/>
    <d v="2021-01-04T17:07:33"/>
    <n v="12812"/>
    <n v="1"/>
    <d v="2020-12-19T11:06:48"/>
    <s v="NFe51201229332398001036550010000128121092866960"/>
    <n v="43980"/>
    <n v="43980"/>
    <n v="16563"/>
    <x v="5"/>
    <s v="COFCO INTERNATIONAL GRAINS LTDA"/>
    <s v="DIAMANTINO"/>
    <s v="29.332.398/0010-36"/>
    <s v="COFCO INTERNATIONAL GRAINS LTDA"/>
    <s v="DIAMANTINO"/>
    <n v="44200.713576388887"/>
    <s v="HFT0908738"/>
  </r>
  <r>
    <x v="1"/>
    <s v="TRO - RONDONOPOLIS"/>
    <s v="COFCO INTERNATIONAL GRAINS LTDA"/>
    <s v="003 - TGG"/>
    <s v="05.527.694/0001-33"/>
    <s v="MILHO"/>
    <n v="908738"/>
    <s v="HFT"/>
    <d v="2021-01-12T19:28:02"/>
    <d v="2021-01-17T04:24:36"/>
    <n v="120560"/>
    <n v="24820"/>
    <n v="95740"/>
    <s v="GN29846"/>
    <d v="2021-01-08T12:37:36"/>
    <n v="12124"/>
    <n v="1"/>
    <d v="2021-01-07T15:40:43"/>
    <s v="NFe51210129332398000730550010000121241733208441"/>
    <n v="37800"/>
    <n v="37800"/>
    <n v="13139"/>
    <x v="4"/>
    <s v="COFCO INTERNATIONAL GRAINS LTDA"/>
    <s v="NOVA MARINGA"/>
    <s v="29.332.398/0007-30"/>
    <s v="COFCO INTERNATIONAL GRAINS LTDA"/>
    <s v="NOVA MARINGA"/>
    <n v="44204.52611111111"/>
    <s v="HFT0908738"/>
  </r>
  <r>
    <x v="1"/>
    <s v="TRO - RONDONOPOLIS"/>
    <s v="COFCO INTERNATIONAL GRAINS LTDA"/>
    <s v="003 - TGG"/>
    <s v="05.527.694/0001-33"/>
    <s v="MILHO"/>
    <n v="908738"/>
    <s v="HFT"/>
    <d v="2021-01-12T19:28:02"/>
    <d v="2021-01-17T04:24:36"/>
    <n v="120560"/>
    <n v="24820"/>
    <n v="95740"/>
    <s v="GN29846"/>
    <d v="2021-01-04T19:30:36"/>
    <n v="12072"/>
    <n v="1"/>
    <d v="2021-01-02T09:09:21"/>
    <s v="NFe51210129332398000730550010000120721733208443"/>
    <n v="50120"/>
    <n v="50120"/>
    <n v="14838"/>
    <x v="4"/>
    <s v="COFCO INTERNATIONAL GRAINS LTDA"/>
    <s v="NOVA MARINGA"/>
    <s v="29.332.398/0007-30"/>
    <s v="COFCO INTERNATIONAL GRAINS LTDA"/>
    <s v="NOVA MARINGA"/>
    <n v="44200.812916666669"/>
    <s v="HFT0908738"/>
  </r>
  <r>
    <x v="1"/>
    <s v="TRO - RONDONOPOLIS"/>
    <s v="COFCO INTERNATIONAL GRAINS LTDA"/>
    <s v="003 - TGG"/>
    <s v="05.527.694/0001-33"/>
    <s v="MILHO"/>
    <n v="908738"/>
    <s v="HFT"/>
    <d v="2021-01-12T19:28:02"/>
    <d v="2021-01-17T04:24:36"/>
    <n v="120560"/>
    <n v="24820"/>
    <n v="95740"/>
    <s v="GN29846"/>
    <d v="2021-01-05T01:15:52"/>
    <n v="11982"/>
    <n v="1"/>
    <d v="2020-12-28T17:46:51"/>
    <s v="NFe51201229332398000730550010000119821733208449"/>
    <n v="51340"/>
    <n v="51340"/>
    <n v="51200"/>
    <x v="4"/>
    <s v="COFCO INTERNATIONAL GRAINS LTDA"/>
    <s v="NOVA MARINGA"/>
    <s v="29.332.398/0007-30"/>
    <s v="COFCO INTERNATIONAL GRAINS LTDA"/>
    <s v="NOVA MARINGA"/>
    <n v="44201.052685185183"/>
    <s v="HFT0908738"/>
  </r>
  <r>
    <x v="1"/>
    <s v="TRO - RONDONOPOLIS"/>
    <s v="COFCO INTERNATIONAL GRAINS LTDA"/>
    <s v="003 - TGG"/>
    <s v="05.527.694/0001-33"/>
    <s v="MILHO"/>
    <n v="990531"/>
    <s v="HFT"/>
    <d v="2021-01-12T18:39:18"/>
    <d v="2021-01-17T04:24:36"/>
    <n v="125320"/>
    <n v="30305"/>
    <n v="95015"/>
    <s v="GN29855"/>
    <d v="2021-01-04T18:19:21"/>
    <n v="12789"/>
    <n v="1"/>
    <d v="2020-12-29T14:45:02"/>
    <s v="NFe51201229332398000579550010000127891911360500"/>
    <n v="47580"/>
    <n v="47580"/>
    <n v="21998"/>
    <x v="2"/>
    <s v="COFCO INTERNATIONAL GRAINS LTDA"/>
    <s v="ITANHANGA"/>
    <s v="29.332.398/0005-79"/>
    <s v="COFCO INTERNATIONAL GRAINS LTDA"/>
    <s v="ITANHANGA"/>
    <n v="44200.763437499998"/>
    <s v="HFT0990531"/>
  </r>
  <r>
    <x v="1"/>
    <s v="TRO - RONDONOPOLIS"/>
    <s v="COFCO INTERNATIONAL GRAINS LTDA"/>
    <s v="003 - TGG"/>
    <s v="05.527.694/0001-33"/>
    <s v="MILHO"/>
    <n v="990531"/>
    <s v="HFT"/>
    <d v="2021-01-12T18:39:18"/>
    <d v="2021-01-17T04:24:36"/>
    <n v="125320"/>
    <n v="30305"/>
    <n v="95015"/>
    <s v="GN29855"/>
    <d v="2021-01-04T10:10:31"/>
    <n v="12781"/>
    <n v="1"/>
    <d v="2020-12-28T22:26:38"/>
    <s v="NFe51201229332398000579550010000127811911360501"/>
    <n v="46720"/>
    <n v="46720"/>
    <n v="46710"/>
    <x v="2"/>
    <s v="COFCO INTERNATIONAL GRAINS LTDA"/>
    <s v="ITANHANGA"/>
    <s v="29.332.398/0005-79"/>
    <s v="COFCO INTERNATIONAL GRAINS LTDA"/>
    <s v="ITANHANGA"/>
    <n v="44200.42396990741"/>
    <s v="HFT0990531"/>
  </r>
  <r>
    <x v="1"/>
    <s v="TRO - RONDONOPOLIS"/>
    <s v="COFCO INTERNATIONAL GRAINS LTDA"/>
    <s v="003 - TGG"/>
    <s v="05.527.694/0001-33"/>
    <s v="MILHO"/>
    <n v="990531"/>
    <s v="HFT"/>
    <d v="2021-01-12T18:39:18"/>
    <d v="2021-01-17T04:24:36"/>
    <n v="125320"/>
    <n v="30305"/>
    <n v="95015"/>
    <s v="GN29855"/>
    <d v="2021-01-03T20:22:48"/>
    <n v="12780"/>
    <n v="1"/>
    <d v="2020-12-28T22:23:40"/>
    <s v="NFe51201229332398000579550010000127801733208442"/>
    <n v="47280"/>
    <n v="47280"/>
    <n v="26307"/>
    <x v="2"/>
    <s v="COFCO INTERNATIONAL GRAINS LTDA"/>
    <s v="ITANHANGA"/>
    <s v="29.332.398/0005-79"/>
    <s v="COFCO INTERNATIONAL GRAINS LTDA"/>
    <s v="ITANHANGA"/>
    <n v="44199.849166666667"/>
    <s v="HFT0990531"/>
  </r>
  <r>
    <x v="1"/>
    <s v="TRO - RONDONOPOLIS"/>
    <s v="COFCO INTERNATIONAL GRAINS LTDA"/>
    <s v="003 - TGG"/>
    <s v="05.527.694/0001-33"/>
    <s v="MILHO"/>
    <n v="8400512"/>
    <s v="HPT"/>
    <d v="2021-01-12T18:21:26"/>
    <d v="2021-01-17T04:24:36"/>
    <n v="125240"/>
    <n v="28681"/>
    <n v="96559"/>
    <s v="GN29855"/>
    <d v="2021-01-02T23:05:33"/>
    <n v="12811"/>
    <n v="1"/>
    <d v="2020-12-30T00:03:53"/>
    <s v="NFe51201229332398000579550010000128111733208440"/>
    <n v="49880"/>
    <n v="49880"/>
    <n v="49770"/>
    <x v="2"/>
    <s v="COFCO INTERNATIONAL GRAINS LTDA"/>
    <s v="ITANHANGA"/>
    <s v="29.332.398/0005-79"/>
    <s v="COFCO INTERNATIONAL GRAINS LTDA"/>
    <s v="ITANHANGA"/>
    <n v="44198.962187500001"/>
    <s v="HPT8400512"/>
  </r>
  <r>
    <x v="1"/>
    <s v="TRO - RONDONOPOLIS"/>
    <s v="COFCO INTERNATIONAL GRAINS LTDA"/>
    <s v="003 - TGG"/>
    <s v="05.527.694/0001-33"/>
    <s v="MILHO"/>
    <n v="8400512"/>
    <s v="HPT"/>
    <d v="2021-01-12T18:21:26"/>
    <d v="2021-01-17T04:24:36"/>
    <n v="125240"/>
    <n v="28681"/>
    <n v="96559"/>
    <s v="GN29855"/>
    <d v="2021-01-02T22:54:10"/>
    <n v="12795"/>
    <n v="1"/>
    <d v="2020-12-29T16:16:38"/>
    <s v="NFe51201229332398000579550010000127951192510798"/>
    <n v="38140"/>
    <n v="38140"/>
    <n v="32872"/>
    <x v="2"/>
    <s v="COFCO INTERNATIONAL GRAINS LTDA"/>
    <s v="ITANHANGA"/>
    <s v="29.332.398/0005-79"/>
    <s v="COFCO INTERNATIONAL GRAINS LTDA"/>
    <s v="ITANHANGA"/>
    <n v="44198.954282407409"/>
    <s v="HPT8400512"/>
  </r>
  <r>
    <x v="1"/>
    <s v="TRO - RONDONOPOLIS"/>
    <s v="COFCO INTERNATIONAL GRAINS LTDA"/>
    <s v="003 - TGG"/>
    <s v="05.527.694/0001-33"/>
    <s v="MILHO"/>
    <n v="8400512"/>
    <s v="HPT"/>
    <d v="2021-01-12T18:21:26"/>
    <d v="2021-01-17T04:24:36"/>
    <n v="125240"/>
    <n v="28681"/>
    <n v="96559"/>
    <s v="GN29855"/>
    <d v="2021-01-03T08:15:19"/>
    <n v="12797"/>
    <n v="1"/>
    <d v="2020-12-29T18:17:22"/>
    <s v="NFe51201229332398000579550010000127971911360501"/>
    <n v="50400"/>
    <n v="50400"/>
    <n v="13917"/>
    <x v="2"/>
    <s v="COFCO INTERNATIONAL GRAINS LTDA"/>
    <s v="ITANHANGA"/>
    <s v="29.332.398/0005-79"/>
    <s v="COFCO INTERNATIONAL GRAINS LTDA"/>
    <s v="ITANHANGA"/>
    <n v="44199.343969907408"/>
    <s v="HPT8400512"/>
  </r>
  <r>
    <x v="1"/>
    <s v="TRO - RONDONOPOLIS"/>
    <s v="COFCO INTERNATIONAL GRAINS LTDA"/>
    <s v="003 - TGG"/>
    <s v="05.527.694/0001-33"/>
    <s v="MILHO"/>
    <n v="8404518"/>
    <s v="HPT"/>
    <d v="2021-01-12T18:07:54"/>
    <d v="2021-01-17T04:24:36"/>
    <n v="125200"/>
    <n v="28560"/>
    <n v="96640"/>
    <s v="GN29856"/>
    <d v="2021-01-07T20:52:40"/>
    <n v="30575"/>
    <n v="1"/>
    <d v="2021-01-05T14:48:56"/>
    <s v="NFe51210129332398000498550010000305751733208442"/>
    <n v="50610"/>
    <n v="50610"/>
    <n v="50540"/>
    <x v="3"/>
    <s v="COFCO INTERNATIONAL GRAINS LTDA"/>
    <s v="SORRISO"/>
    <s v="29.332.398/0004-98"/>
    <s v="COFCO INTERNATIONAL GRAINS LTDA"/>
    <s v="SORRISO"/>
    <n v="44203.86990740741"/>
    <s v="HPT8404518"/>
  </r>
  <r>
    <x v="1"/>
    <s v="TRO - RONDONOPOLIS"/>
    <s v="COFCO INTERNATIONAL GRAINS LTDA"/>
    <s v="003 - TGG"/>
    <s v="05.527.694/0001-33"/>
    <s v="MILHO"/>
    <n v="8404518"/>
    <s v="HPT"/>
    <d v="2021-01-12T18:07:54"/>
    <d v="2021-01-17T04:24:36"/>
    <n v="125200"/>
    <n v="28560"/>
    <n v="96640"/>
    <s v="GN29856"/>
    <d v="2021-01-07T21:15:47"/>
    <n v="30577"/>
    <n v="1"/>
    <d v="2021-01-05T16:47:27"/>
    <s v="NFe51210129332398000498550010000305771733208447"/>
    <n v="50410"/>
    <n v="50410"/>
    <n v="45669"/>
    <x v="3"/>
    <s v="COFCO INTERNATIONAL GRAINS LTDA"/>
    <s v="SORRISO"/>
    <s v="29.332.398/0004-98"/>
    <s v="COFCO INTERNATIONAL GRAINS LTDA"/>
    <s v="SORRISO"/>
    <n v="44203.885960648149"/>
    <s v="HPT8404518"/>
  </r>
  <r>
    <x v="1"/>
    <s v="TRO - RONDONOPOLIS"/>
    <s v="COFCO INTERNATIONAL GRAINS LTDA"/>
    <s v="003 - TGG"/>
    <s v="05.527.694/0001-33"/>
    <s v="MILHO"/>
    <n v="8404518"/>
    <s v="HPT"/>
    <d v="2021-01-12T18:07:54"/>
    <d v="2021-01-17T04:24:36"/>
    <n v="125200"/>
    <n v="28560"/>
    <n v="96640"/>
    <s v="GN29856"/>
    <d v="2021-01-05T21:05:32"/>
    <n v="30408"/>
    <n v="1"/>
    <d v="2020-12-21T10:55:11"/>
    <s v="NFe51201229332398000498550010000304081218341185"/>
    <n v="49640"/>
    <n v="49640"/>
    <n v="431"/>
    <x v="3"/>
    <s v="COFCO INTERNATIONAL GRAINS LTDA"/>
    <s v="SORRISO"/>
    <s v="29.332.398/0004-98"/>
    <s v="COFCO INTERNATIONAL GRAINS LTDA"/>
    <s v="SORRISO"/>
    <n v="44201.878842592596"/>
    <s v="HPT8404518"/>
  </r>
  <r>
    <x v="1"/>
    <s v="TRO - RONDONOPOLIS"/>
    <s v="COFCO INTERNATIONAL GRAINS LTDA"/>
    <s v="003 - TGG"/>
    <s v="05.527.694/0001-33"/>
    <s v="MILHO"/>
    <n v="8419221"/>
    <s v="HFT"/>
    <d v="2021-01-12T19:04:12"/>
    <d v="2021-01-17T04:24:36"/>
    <n v="125350"/>
    <n v="30990"/>
    <n v="94360"/>
    <s v="GN29846"/>
    <d v="2021-01-04T09:35:06"/>
    <n v="12076"/>
    <n v="1"/>
    <d v="2021-01-02T09:20:15"/>
    <s v="NFe51210129332398000730550010000120761274984820"/>
    <n v="49340"/>
    <n v="49340"/>
    <n v="20653"/>
    <x v="4"/>
    <s v="COFCO INTERNATIONAL GRAINS LTDA"/>
    <s v="NOVA MARINGA"/>
    <s v="29.332.398/0007-30"/>
    <s v="COFCO INTERNATIONAL GRAINS LTDA"/>
    <s v="NOVA MARINGA"/>
    <n v="44200.399375000001"/>
    <s v="HFT8419221"/>
  </r>
  <r>
    <x v="1"/>
    <s v="TRO - RONDONOPOLIS"/>
    <s v="COFCO INTERNATIONAL GRAINS LTDA"/>
    <s v="003 - TGG"/>
    <s v="05.527.694/0001-33"/>
    <s v="MILHO"/>
    <n v="8419221"/>
    <s v="HFT"/>
    <d v="2021-01-12T19:04:12"/>
    <d v="2021-01-17T04:24:36"/>
    <n v="125350"/>
    <n v="30990"/>
    <n v="94360"/>
    <s v="GN29846"/>
    <d v="2021-01-04T10:45:30"/>
    <n v="12078"/>
    <n v="1"/>
    <d v="2021-01-02T10:04:40"/>
    <s v="NFe51210129332398000730550010000120781838390857"/>
    <n v="50620"/>
    <n v="50620"/>
    <n v="50520"/>
    <x v="4"/>
    <s v="COFCO INTERNATIONAL GRAINS LTDA"/>
    <s v="NOVA MARINGA"/>
    <s v="29.332.398/0007-30"/>
    <s v="COFCO INTERNATIONAL GRAINS LTDA"/>
    <s v="NOVA MARINGA"/>
    <n v="44200.448263888888"/>
    <s v="HFT8419221"/>
  </r>
  <r>
    <x v="1"/>
    <s v="TRO - RONDONOPOLIS"/>
    <s v="COFCO INTERNATIONAL GRAINS LTDA"/>
    <s v="003 - TGG"/>
    <s v="05.527.694/0001-33"/>
    <s v="MILHO"/>
    <n v="8419221"/>
    <s v="HFT"/>
    <d v="2021-01-12T19:04:12"/>
    <d v="2021-01-17T04:24:36"/>
    <n v="125350"/>
    <n v="30990"/>
    <n v="94360"/>
    <s v="GN29846"/>
    <d v="2021-01-04T10:53:55"/>
    <n v="11984"/>
    <n v="1"/>
    <d v="2020-12-28T18:29:54"/>
    <s v="NFe51201229332398000730550010000119841911360505"/>
    <n v="50200"/>
    <n v="50200"/>
    <n v="23187"/>
    <x v="4"/>
    <s v="COFCO INTERNATIONAL GRAINS LTDA"/>
    <s v="NOVA MARINGA"/>
    <s v="29.332.398/0007-30"/>
    <s v="COFCO INTERNATIONAL GRAINS LTDA"/>
    <s v="NOVA MARINGA"/>
    <n v="44200.454108796293"/>
    <s v="HFT8419221"/>
  </r>
  <r>
    <x v="1"/>
    <s v="TRO - RONDONOPOLIS"/>
    <s v="COFCO INTERNATIONAL GRAINS LTDA"/>
    <s v="003 - TGG"/>
    <s v="05.527.694/0001-33"/>
    <s v="MILHO"/>
    <n v="8448922"/>
    <s v="HPT"/>
    <d v="2021-01-12T19:15:16"/>
    <d v="2021-01-17T04:24:36"/>
    <n v="125220"/>
    <n v="28823"/>
    <n v="96397"/>
    <s v="GN29846"/>
    <d v="2021-01-04T19:25:34"/>
    <n v="12074"/>
    <n v="1"/>
    <d v="2021-01-02T09:12:43"/>
    <s v="NFe51210129332398000730550010000120741911360500"/>
    <n v="49700"/>
    <n v="49700"/>
    <n v="49570"/>
    <x v="4"/>
    <s v="COFCO INTERNATIONAL GRAINS LTDA"/>
    <s v="NOVA MARINGA"/>
    <s v="29.332.398/0007-30"/>
    <s v="COFCO INTERNATIONAL GRAINS LTDA"/>
    <s v="NOVA MARINGA"/>
    <n v="44200.809421296297"/>
    <s v="HPT8448922"/>
  </r>
  <r>
    <x v="1"/>
    <s v="TRO - RONDONOPOLIS"/>
    <s v="COFCO INTERNATIONAL GRAINS LTDA"/>
    <s v="003 - TGG"/>
    <s v="05.527.694/0001-33"/>
    <s v="MILHO"/>
    <n v="8448922"/>
    <s v="HPT"/>
    <d v="2021-01-12T19:15:16"/>
    <d v="2021-01-17T04:24:36"/>
    <n v="125220"/>
    <n v="28823"/>
    <n v="96397"/>
    <s v="GN29846"/>
    <d v="2021-01-04T19:30:36"/>
    <n v="12072"/>
    <n v="1"/>
    <d v="2021-01-02T09:09:21"/>
    <s v="NFe51210129332398000730550010000120721733208443"/>
    <n v="50120"/>
    <n v="50120"/>
    <n v="35182"/>
    <x v="4"/>
    <s v="COFCO INTERNATIONAL GRAINS LTDA"/>
    <s v="NOVA MARINGA"/>
    <s v="29.332.398/0007-30"/>
    <s v="COFCO INTERNATIONAL GRAINS LTDA"/>
    <s v="NOVA MARINGA"/>
    <n v="44200.812916666669"/>
    <s v="HPT8448922"/>
  </r>
  <r>
    <x v="1"/>
    <s v="TRO - RONDONOPOLIS"/>
    <s v="COFCO INTERNATIONAL GRAINS LTDA"/>
    <s v="003 - TGG"/>
    <s v="05.527.694/0001-33"/>
    <s v="MILHO"/>
    <n v="8448922"/>
    <s v="HPT"/>
    <d v="2021-01-12T19:15:16"/>
    <d v="2021-01-17T04:24:36"/>
    <n v="125220"/>
    <n v="28823"/>
    <n v="96397"/>
    <s v="GN29846"/>
    <d v="2021-01-04T14:26:04"/>
    <n v="12075"/>
    <n v="1"/>
    <d v="2021-01-02T09:17:52"/>
    <s v="NFe51210129332398000730550010000120751911360507"/>
    <n v="49960"/>
    <n v="49960"/>
    <n v="11645"/>
    <x v="4"/>
    <s v="COFCO INTERNATIONAL GRAINS LTDA"/>
    <s v="NOVA MARINGA"/>
    <s v="29.332.398/0007-30"/>
    <s v="COFCO INTERNATIONAL GRAINS LTDA"/>
    <s v="NOVA MARINGA"/>
    <n v="44200.601435185185"/>
    <s v="HPT8448922"/>
  </r>
  <r>
    <x v="1"/>
    <s v="TRO - RONDONOPOLIS"/>
    <s v="COFCO INTERNATIONAL GRAINS LTDA"/>
    <s v="003 - TGG"/>
    <s v="05.527.694/0001-33"/>
    <s v="MILHO"/>
    <n v="8443904"/>
    <s v="HPT"/>
    <d v="2021-01-12T17:59:26"/>
    <d v="2021-01-17T04:24:25"/>
    <n v="125200"/>
    <n v="29100"/>
    <n v="96100"/>
    <s v="GN29856"/>
    <d v="2021-01-05T21:05:32"/>
    <n v="30408"/>
    <n v="1"/>
    <d v="2020-12-21T10:55:11"/>
    <s v="NFe51201229332398000498550010000304081218341185"/>
    <n v="49640"/>
    <n v="49640"/>
    <n v="48949"/>
    <x v="3"/>
    <s v="COFCO INTERNATIONAL GRAINS LTDA"/>
    <s v="SORRISO"/>
    <s v="29.332.398/0004-98"/>
    <s v="COFCO INTERNATIONAL GRAINS LTDA"/>
    <s v="SORRISO"/>
    <n v="44201.878842592596"/>
    <s v="HPT84439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8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gridDropZones="1" multipleFieldFilters="0" rowHeaderCaption="CNPJ`s" customListSort="0">
  <location ref="K4:R12" firstHeaderRow="2" firstDataRow="2" firstDataCol="2"/>
  <pivotFields count="30">
    <pivotField axis="axisRow" compact="0" outline="0" showAll="0">
      <items count="6">
        <item m="1" x="3"/>
        <item m="1" x="4"/>
        <item m="1" x="2"/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axis="axisRow" compact="0" outline="0" showAll="0" defaultSubtotal="0">
      <items count="13">
        <item m="1" x="11"/>
        <item m="1" x="12"/>
        <item m="1" x="6"/>
        <item m="1" x="8"/>
        <item m="1" x="9"/>
        <item m="1" x="7"/>
        <item m="1" x="10"/>
        <item x="1"/>
        <item x="0"/>
        <item x="3"/>
        <item x="4"/>
        <item x="2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22"/>
    <field x="0"/>
  </rowFields>
  <rowItems count="7">
    <i>
      <x v="7"/>
      <x v="4"/>
    </i>
    <i>
      <x v="8"/>
      <x v="3"/>
    </i>
    <i r="1">
      <x v="4"/>
    </i>
    <i>
      <x v="9"/>
      <x v="4"/>
    </i>
    <i>
      <x v="10"/>
      <x v="4"/>
    </i>
    <i>
      <x v="11"/>
      <x v="4"/>
    </i>
    <i>
      <x v="12"/>
      <x v="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D14425"/>
  <sheetViews>
    <sheetView tabSelected="1" showOutlineSymbols="0" topLeftCell="H1" workbookViewId="0">
      <selection sqref="A1:W62"/>
    </sheetView>
  </sheetViews>
  <sheetFormatPr defaultRowHeight="15" x14ac:dyDescent="0.25"/>
  <cols>
    <col min="1" max="8" width="9.140625" style="1"/>
    <col min="9" max="9" width="20.7109375" style="51" bestFit="1" customWidth="1"/>
    <col min="10" max="10" width="12.140625" style="51" bestFit="1" customWidth="1"/>
    <col min="11" max="16384" width="9.140625" style="1"/>
  </cols>
  <sheetData>
    <row r="1" spans="1:30" x14ac:dyDescent="0.25">
      <c r="A1" s="45" t="s">
        <v>241</v>
      </c>
      <c r="B1" s="45" t="s">
        <v>185</v>
      </c>
      <c r="C1" s="45" t="s">
        <v>186</v>
      </c>
      <c r="D1" s="45" t="s">
        <v>173</v>
      </c>
      <c r="E1" s="45" t="s">
        <v>14</v>
      </c>
      <c r="F1" s="45" t="s">
        <v>168</v>
      </c>
      <c r="G1" s="45">
        <v>555029</v>
      </c>
      <c r="H1" s="45" t="s">
        <v>169</v>
      </c>
      <c r="I1" s="49">
        <v>44208.814386574071</v>
      </c>
      <c r="J1" s="49">
        <v>44213.183749999997</v>
      </c>
      <c r="K1" s="45">
        <v>125232</v>
      </c>
      <c r="L1" s="45">
        <v>27849</v>
      </c>
      <c r="M1" s="45">
        <v>97383</v>
      </c>
      <c r="N1" s="45" t="s">
        <v>187</v>
      </c>
      <c r="O1" s="50">
        <v>44208.864004629628</v>
      </c>
      <c r="P1" s="45">
        <v>17011</v>
      </c>
      <c r="Q1" s="45">
        <v>1</v>
      </c>
      <c r="R1" s="50">
        <v>44194.700810185182</v>
      </c>
      <c r="S1" s="45" t="s">
        <v>188</v>
      </c>
      <c r="T1" s="45">
        <v>49730</v>
      </c>
      <c r="U1" s="45">
        <v>49730</v>
      </c>
      <c r="V1" s="45">
        <v>49600</v>
      </c>
      <c r="W1" s="45" t="s">
        <v>189</v>
      </c>
      <c r="X1" s="45" t="s">
        <v>186</v>
      </c>
      <c r="Y1" s="45" t="s">
        <v>190</v>
      </c>
      <c r="Z1" s="45" t="s">
        <v>189</v>
      </c>
      <c r="AA1" s="45" t="s">
        <v>191</v>
      </c>
      <c r="AB1" s="45" t="s">
        <v>190</v>
      </c>
      <c r="AC1" s="50">
        <v>44208.864004629628</v>
      </c>
      <c r="AD1" s="1" t="str">
        <f t="shared" ref="AD1:AD32" si="0">H1&amp;TEXT(G1,"0000000")</f>
        <v>HFT0555029</v>
      </c>
    </row>
    <row r="2" spans="1:30" x14ac:dyDescent="0.25">
      <c r="A2" s="45" t="s">
        <v>241</v>
      </c>
      <c r="B2" s="45" t="s">
        <v>185</v>
      </c>
      <c r="C2" s="45" t="s">
        <v>186</v>
      </c>
      <c r="D2" s="45" t="s">
        <v>173</v>
      </c>
      <c r="E2" s="45" t="s">
        <v>14</v>
      </c>
      <c r="F2" s="45" t="s">
        <v>168</v>
      </c>
      <c r="G2" s="45">
        <v>555029</v>
      </c>
      <c r="H2" s="45" t="s">
        <v>169</v>
      </c>
      <c r="I2" s="49">
        <v>44208.814386574071</v>
      </c>
      <c r="J2" s="49">
        <v>44213.183749999997</v>
      </c>
      <c r="K2" s="45">
        <v>125232</v>
      </c>
      <c r="L2" s="45">
        <v>27849</v>
      </c>
      <c r="M2" s="45">
        <v>97383</v>
      </c>
      <c r="N2" s="45" t="s">
        <v>187</v>
      </c>
      <c r="O2" s="50">
        <v>44208.397847222222</v>
      </c>
      <c r="P2" s="45">
        <v>17025</v>
      </c>
      <c r="Q2" s="45">
        <v>1</v>
      </c>
      <c r="R2" s="50">
        <v>44203.751006944447</v>
      </c>
      <c r="S2" s="45" t="s">
        <v>192</v>
      </c>
      <c r="T2" s="45">
        <v>49817</v>
      </c>
      <c r="U2" s="45">
        <v>49817</v>
      </c>
      <c r="V2" s="45">
        <v>47783</v>
      </c>
      <c r="W2" s="45" t="s">
        <v>189</v>
      </c>
      <c r="X2" s="45" t="s">
        <v>186</v>
      </c>
      <c r="Y2" s="45" t="s">
        <v>190</v>
      </c>
      <c r="Z2" s="45" t="s">
        <v>189</v>
      </c>
      <c r="AA2" s="45" t="s">
        <v>191</v>
      </c>
      <c r="AB2" s="45" t="s">
        <v>190</v>
      </c>
      <c r="AC2" s="50">
        <v>44208.397847222222</v>
      </c>
      <c r="AD2" s="1" t="str">
        <f t="shared" si="0"/>
        <v>HFT0555029</v>
      </c>
    </row>
    <row r="3" spans="1:30" x14ac:dyDescent="0.25">
      <c r="A3" s="45" t="s">
        <v>242</v>
      </c>
      <c r="B3" s="45" t="s">
        <v>167</v>
      </c>
      <c r="C3" s="45" t="s">
        <v>186</v>
      </c>
      <c r="D3" s="45" t="s">
        <v>173</v>
      </c>
      <c r="E3" s="45" t="s">
        <v>14</v>
      </c>
      <c r="F3" s="45" t="s">
        <v>168</v>
      </c>
      <c r="G3" s="45">
        <v>301426</v>
      </c>
      <c r="H3" s="45" t="s">
        <v>174</v>
      </c>
      <c r="I3" s="49">
        <v>44208.731840277775</v>
      </c>
      <c r="J3" s="49">
        <v>44213.183622685188</v>
      </c>
      <c r="K3" s="45">
        <v>125340</v>
      </c>
      <c r="L3" s="45">
        <v>29580</v>
      </c>
      <c r="M3" s="45">
        <v>95760</v>
      </c>
      <c r="N3" s="45" t="s">
        <v>193</v>
      </c>
      <c r="O3" s="50">
        <v>44204.843506944446</v>
      </c>
      <c r="P3" s="45">
        <v>17022</v>
      </c>
      <c r="Q3" s="45">
        <v>1</v>
      </c>
      <c r="R3" s="50">
        <v>44203.614907407406</v>
      </c>
      <c r="S3" s="45" t="s">
        <v>194</v>
      </c>
      <c r="T3" s="45">
        <v>48810</v>
      </c>
      <c r="U3" s="45">
        <v>48810</v>
      </c>
      <c r="V3" s="45">
        <v>6326</v>
      </c>
      <c r="W3" s="45" t="s">
        <v>189</v>
      </c>
      <c r="X3" s="45" t="s">
        <v>186</v>
      </c>
      <c r="Y3" s="45" t="s">
        <v>190</v>
      </c>
      <c r="Z3" s="45" t="s">
        <v>189</v>
      </c>
      <c r="AA3" s="45" t="s">
        <v>191</v>
      </c>
      <c r="AB3" s="45" t="s">
        <v>190</v>
      </c>
      <c r="AC3" s="50">
        <v>44204.843506944446</v>
      </c>
      <c r="AD3" s="1" t="str">
        <f t="shared" si="0"/>
        <v>HPT0301426</v>
      </c>
    </row>
    <row r="4" spans="1:30" x14ac:dyDescent="0.25">
      <c r="A4" s="45" t="s">
        <v>242</v>
      </c>
      <c r="B4" s="45" t="s">
        <v>167</v>
      </c>
      <c r="C4" s="45" t="s">
        <v>186</v>
      </c>
      <c r="D4" s="45" t="s">
        <v>173</v>
      </c>
      <c r="E4" s="45" t="s">
        <v>14</v>
      </c>
      <c r="F4" s="45" t="s">
        <v>168</v>
      </c>
      <c r="G4" s="45">
        <v>301426</v>
      </c>
      <c r="H4" s="45" t="s">
        <v>174</v>
      </c>
      <c r="I4" s="49">
        <v>44208.731840277775</v>
      </c>
      <c r="J4" s="49">
        <v>44213.183622685188</v>
      </c>
      <c r="K4" s="45">
        <v>125340</v>
      </c>
      <c r="L4" s="45">
        <v>29580</v>
      </c>
      <c r="M4" s="45">
        <v>95760</v>
      </c>
      <c r="N4" s="45" t="s">
        <v>193</v>
      </c>
      <c r="O4" s="50">
        <v>44204.836921296293</v>
      </c>
      <c r="P4" s="45">
        <v>17023</v>
      </c>
      <c r="Q4" s="45">
        <v>1</v>
      </c>
      <c r="R4" s="50">
        <v>44203.615891203706</v>
      </c>
      <c r="S4" s="45" t="s">
        <v>195</v>
      </c>
      <c r="T4" s="45">
        <v>48660</v>
      </c>
      <c r="U4" s="45">
        <v>48660</v>
      </c>
      <c r="V4" s="45">
        <v>48610</v>
      </c>
      <c r="W4" s="45" t="s">
        <v>189</v>
      </c>
      <c r="X4" s="45" t="s">
        <v>186</v>
      </c>
      <c r="Y4" s="45" t="s">
        <v>190</v>
      </c>
      <c r="Z4" s="45" t="s">
        <v>189</v>
      </c>
      <c r="AA4" s="45" t="s">
        <v>191</v>
      </c>
      <c r="AB4" s="45" t="s">
        <v>190</v>
      </c>
      <c r="AC4" s="50">
        <v>44204.836921296293</v>
      </c>
      <c r="AD4" s="1" t="str">
        <f t="shared" si="0"/>
        <v>HPT0301426</v>
      </c>
    </row>
    <row r="5" spans="1:30" x14ac:dyDescent="0.25">
      <c r="A5" s="45" t="s">
        <v>242</v>
      </c>
      <c r="B5" s="45" t="s">
        <v>167</v>
      </c>
      <c r="C5" s="45" t="s">
        <v>186</v>
      </c>
      <c r="D5" s="45" t="s">
        <v>173</v>
      </c>
      <c r="E5" s="45" t="s">
        <v>14</v>
      </c>
      <c r="F5" s="45" t="s">
        <v>168</v>
      </c>
      <c r="G5" s="45">
        <v>301426</v>
      </c>
      <c r="H5" s="45" t="s">
        <v>174</v>
      </c>
      <c r="I5" s="49">
        <v>44208.731840277775</v>
      </c>
      <c r="J5" s="49">
        <v>44213.183622685188</v>
      </c>
      <c r="K5" s="45">
        <v>125340</v>
      </c>
      <c r="L5" s="45">
        <v>29580</v>
      </c>
      <c r="M5" s="45">
        <v>95760</v>
      </c>
      <c r="N5" s="45" t="s">
        <v>193</v>
      </c>
      <c r="O5" s="50">
        <v>44201.807199074072</v>
      </c>
      <c r="P5" s="45">
        <v>17010</v>
      </c>
      <c r="Q5" s="45">
        <v>1</v>
      </c>
      <c r="R5" s="50">
        <v>44194.689120370371</v>
      </c>
      <c r="S5" s="45" t="s">
        <v>196</v>
      </c>
      <c r="T5" s="45">
        <v>49080</v>
      </c>
      <c r="U5" s="45">
        <v>49080</v>
      </c>
      <c r="V5" s="45">
        <v>40824</v>
      </c>
      <c r="W5" s="45" t="s">
        <v>189</v>
      </c>
      <c r="X5" s="45" t="s">
        <v>186</v>
      </c>
      <c r="Y5" s="45" t="s">
        <v>190</v>
      </c>
      <c r="Z5" s="45" t="s">
        <v>189</v>
      </c>
      <c r="AA5" s="45" t="s">
        <v>191</v>
      </c>
      <c r="AB5" s="45" t="s">
        <v>190</v>
      </c>
      <c r="AC5" s="50">
        <v>44201.807199074072</v>
      </c>
      <c r="AD5" s="1" t="str">
        <f t="shared" si="0"/>
        <v>HPT0301426</v>
      </c>
    </row>
    <row r="6" spans="1:30" x14ac:dyDescent="0.25">
      <c r="A6" s="45" t="s">
        <v>242</v>
      </c>
      <c r="B6" s="45" t="s">
        <v>167</v>
      </c>
      <c r="C6" s="45" t="s">
        <v>186</v>
      </c>
      <c r="D6" s="45" t="s">
        <v>173</v>
      </c>
      <c r="E6" s="45" t="s">
        <v>14</v>
      </c>
      <c r="F6" s="45" t="s">
        <v>168</v>
      </c>
      <c r="G6" s="45">
        <v>301922</v>
      </c>
      <c r="H6" s="45" t="s">
        <v>174</v>
      </c>
      <c r="I6" s="49">
        <v>44208.746631944443</v>
      </c>
      <c r="J6" s="49">
        <v>44213.183622685188</v>
      </c>
      <c r="K6" s="45">
        <v>125200</v>
      </c>
      <c r="L6" s="45">
        <v>29385</v>
      </c>
      <c r="M6" s="45">
        <v>95815</v>
      </c>
      <c r="N6" s="45" t="s">
        <v>197</v>
      </c>
      <c r="O6" s="50">
        <v>44132.7653587963</v>
      </c>
      <c r="P6" s="45">
        <v>4016</v>
      </c>
      <c r="Q6" s="45">
        <v>1</v>
      </c>
      <c r="R6" s="50">
        <v>44131.582557870373</v>
      </c>
      <c r="S6" s="45" t="s">
        <v>198</v>
      </c>
      <c r="T6" s="45">
        <v>50240</v>
      </c>
      <c r="U6" s="45">
        <v>50240</v>
      </c>
      <c r="V6" s="45">
        <v>50240</v>
      </c>
      <c r="W6" s="45" t="s">
        <v>199</v>
      </c>
      <c r="X6" s="45" t="s">
        <v>186</v>
      </c>
      <c r="Y6" s="45" t="s">
        <v>200</v>
      </c>
      <c r="Z6" s="45" t="s">
        <v>199</v>
      </c>
      <c r="AA6" s="45" t="s">
        <v>191</v>
      </c>
      <c r="AB6" s="45" t="s">
        <v>200</v>
      </c>
      <c r="AC6" s="50">
        <v>44132.7653587963</v>
      </c>
      <c r="AD6" s="1" t="str">
        <f t="shared" si="0"/>
        <v>HPT0301922</v>
      </c>
    </row>
    <row r="7" spans="1:30" x14ac:dyDescent="0.25">
      <c r="A7" s="45" t="s">
        <v>242</v>
      </c>
      <c r="B7" s="45" t="s">
        <v>167</v>
      </c>
      <c r="C7" s="45" t="s">
        <v>186</v>
      </c>
      <c r="D7" s="45" t="s">
        <v>173</v>
      </c>
      <c r="E7" s="45" t="s">
        <v>14</v>
      </c>
      <c r="F7" s="45" t="s">
        <v>168</v>
      </c>
      <c r="G7" s="45">
        <v>301922</v>
      </c>
      <c r="H7" s="45" t="s">
        <v>174</v>
      </c>
      <c r="I7" s="49">
        <v>44208.746631944443</v>
      </c>
      <c r="J7" s="49">
        <v>44213.183622685188</v>
      </c>
      <c r="K7" s="45">
        <v>125200</v>
      </c>
      <c r="L7" s="45">
        <v>29385</v>
      </c>
      <c r="M7" s="45">
        <v>95815</v>
      </c>
      <c r="N7" s="45" t="s">
        <v>197</v>
      </c>
      <c r="O7" s="50">
        <v>44204.849351851852</v>
      </c>
      <c r="P7" s="45">
        <v>5556</v>
      </c>
      <c r="Q7" s="45">
        <v>1</v>
      </c>
      <c r="R7" s="50">
        <v>44180.687291666669</v>
      </c>
      <c r="S7" s="45" t="s">
        <v>201</v>
      </c>
      <c r="T7" s="45">
        <v>38200</v>
      </c>
      <c r="U7" s="45">
        <v>38200</v>
      </c>
      <c r="V7" s="45">
        <v>25136</v>
      </c>
      <c r="W7" s="45" t="s">
        <v>199</v>
      </c>
      <c r="X7" s="45" t="s">
        <v>186</v>
      </c>
      <c r="Y7" s="45" t="s">
        <v>200</v>
      </c>
      <c r="Z7" s="45" t="s">
        <v>199</v>
      </c>
      <c r="AA7" s="45" t="s">
        <v>191</v>
      </c>
      <c r="AB7" s="45" t="s">
        <v>200</v>
      </c>
      <c r="AC7" s="50">
        <v>44204.849351851852</v>
      </c>
      <c r="AD7" s="1" t="str">
        <f t="shared" si="0"/>
        <v>HPT0301922</v>
      </c>
    </row>
    <row r="8" spans="1:30" x14ac:dyDescent="0.25">
      <c r="A8" s="45" t="s">
        <v>242</v>
      </c>
      <c r="B8" s="45" t="s">
        <v>167</v>
      </c>
      <c r="C8" s="45" t="s">
        <v>186</v>
      </c>
      <c r="D8" s="45" t="s">
        <v>173</v>
      </c>
      <c r="E8" s="45" t="s">
        <v>14</v>
      </c>
      <c r="F8" s="45" t="s">
        <v>168</v>
      </c>
      <c r="G8" s="45">
        <v>301922</v>
      </c>
      <c r="H8" s="45" t="s">
        <v>174</v>
      </c>
      <c r="I8" s="49">
        <v>44208.746631944443</v>
      </c>
      <c r="J8" s="49">
        <v>44213.183622685188</v>
      </c>
      <c r="K8" s="45">
        <v>125200</v>
      </c>
      <c r="L8" s="45">
        <v>29385</v>
      </c>
      <c r="M8" s="45">
        <v>95815</v>
      </c>
      <c r="N8" s="45" t="s">
        <v>197</v>
      </c>
      <c r="O8" s="50">
        <v>44132.74622685185</v>
      </c>
      <c r="P8" s="45">
        <v>4019</v>
      </c>
      <c r="Q8" s="45">
        <v>1</v>
      </c>
      <c r="R8" s="50">
        <v>44131.69835648148</v>
      </c>
      <c r="S8" s="45" t="s">
        <v>202</v>
      </c>
      <c r="T8" s="45">
        <v>49980</v>
      </c>
      <c r="U8" s="45">
        <v>49980</v>
      </c>
      <c r="V8" s="45">
        <v>20439</v>
      </c>
      <c r="W8" s="45" t="s">
        <v>199</v>
      </c>
      <c r="X8" s="45" t="s">
        <v>186</v>
      </c>
      <c r="Y8" s="45" t="s">
        <v>200</v>
      </c>
      <c r="Z8" s="45" t="s">
        <v>199</v>
      </c>
      <c r="AA8" s="45" t="s">
        <v>191</v>
      </c>
      <c r="AB8" s="45" t="s">
        <v>200</v>
      </c>
      <c r="AC8" s="50">
        <v>44132.74622685185</v>
      </c>
      <c r="AD8" s="1" t="str">
        <f t="shared" si="0"/>
        <v>HPT0301922</v>
      </c>
    </row>
    <row r="9" spans="1:30" x14ac:dyDescent="0.25">
      <c r="A9" s="45" t="s">
        <v>242</v>
      </c>
      <c r="B9" s="45" t="s">
        <v>167</v>
      </c>
      <c r="C9" s="45" t="s">
        <v>186</v>
      </c>
      <c r="D9" s="45" t="s">
        <v>173</v>
      </c>
      <c r="E9" s="45" t="s">
        <v>14</v>
      </c>
      <c r="F9" s="45" t="s">
        <v>168</v>
      </c>
      <c r="G9" s="45">
        <v>531146</v>
      </c>
      <c r="H9" s="45" t="s">
        <v>174</v>
      </c>
      <c r="I9" s="49">
        <v>44208.743738425925</v>
      </c>
      <c r="J9" s="49">
        <v>44213.183622685188</v>
      </c>
      <c r="K9" s="45">
        <v>113560</v>
      </c>
      <c r="L9" s="45">
        <v>35000</v>
      </c>
      <c r="M9" s="45">
        <v>78560</v>
      </c>
      <c r="N9" s="45" t="s">
        <v>203</v>
      </c>
      <c r="O9" s="50">
        <v>44200.733113425929</v>
      </c>
      <c r="P9" s="45">
        <v>5691</v>
      </c>
      <c r="Q9" s="45">
        <v>1</v>
      </c>
      <c r="R9" s="50">
        <v>44184.624467592592</v>
      </c>
      <c r="S9" s="45" t="s">
        <v>204</v>
      </c>
      <c r="T9" s="45">
        <v>5700</v>
      </c>
      <c r="U9" s="45">
        <v>5700</v>
      </c>
      <c r="V9" s="45">
        <v>2749</v>
      </c>
      <c r="W9" s="45" t="s">
        <v>199</v>
      </c>
      <c r="X9" s="45" t="s">
        <v>186</v>
      </c>
      <c r="Y9" s="45" t="s">
        <v>200</v>
      </c>
      <c r="Z9" s="45" t="s">
        <v>199</v>
      </c>
      <c r="AA9" s="45" t="s">
        <v>191</v>
      </c>
      <c r="AB9" s="45" t="s">
        <v>200</v>
      </c>
      <c r="AC9" s="50">
        <v>44200.733113425929</v>
      </c>
      <c r="AD9" s="1" t="str">
        <f t="shared" si="0"/>
        <v>HPT0531146</v>
      </c>
    </row>
    <row r="10" spans="1:30" x14ac:dyDescent="0.25">
      <c r="A10" s="45" t="s">
        <v>242</v>
      </c>
      <c r="B10" s="45" t="s">
        <v>167</v>
      </c>
      <c r="C10" s="45" t="s">
        <v>186</v>
      </c>
      <c r="D10" s="45" t="s">
        <v>173</v>
      </c>
      <c r="E10" s="45" t="s">
        <v>14</v>
      </c>
      <c r="F10" s="45" t="s">
        <v>168</v>
      </c>
      <c r="G10" s="45">
        <v>531146</v>
      </c>
      <c r="H10" s="45" t="s">
        <v>174</v>
      </c>
      <c r="I10" s="49">
        <v>44208.743738425925</v>
      </c>
      <c r="J10" s="49">
        <v>44213.183622685188</v>
      </c>
      <c r="K10" s="45">
        <v>113560</v>
      </c>
      <c r="L10" s="45">
        <v>35000</v>
      </c>
      <c r="M10" s="45">
        <v>78560</v>
      </c>
      <c r="N10" s="45" t="s">
        <v>197</v>
      </c>
      <c r="O10" s="50">
        <v>44132.74622685185</v>
      </c>
      <c r="P10" s="45">
        <v>4019</v>
      </c>
      <c r="Q10" s="45">
        <v>1</v>
      </c>
      <c r="R10" s="50">
        <v>44131.69835648148</v>
      </c>
      <c r="S10" s="45" t="s">
        <v>202</v>
      </c>
      <c r="T10" s="45">
        <v>49980</v>
      </c>
      <c r="U10" s="45">
        <v>49980</v>
      </c>
      <c r="V10" s="45">
        <v>29541</v>
      </c>
      <c r="W10" s="45" t="s">
        <v>199</v>
      </c>
      <c r="X10" s="45" t="s">
        <v>186</v>
      </c>
      <c r="Y10" s="45" t="s">
        <v>200</v>
      </c>
      <c r="Z10" s="45" t="s">
        <v>199</v>
      </c>
      <c r="AA10" s="45" t="s">
        <v>191</v>
      </c>
      <c r="AB10" s="45" t="s">
        <v>200</v>
      </c>
      <c r="AC10" s="50">
        <v>44132.74622685185</v>
      </c>
      <c r="AD10" s="1" t="str">
        <f t="shared" si="0"/>
        <v>HPT0531146</v>
      </c>
    </row>
    <row r="11" spans="1:30" x14ac:dyDescent="0.25">
      <c r="A11" s="45" t="s">
        <v>242</v>
      </c>
      <c r="B11" s="45" t="s">
        <v>167</v>
      </c>
      <c r="C11" s="45" t="s">
        <v>186</v>
      </c>
      <c r="D11" s="45" t="s">
        <v>173</v>
      </c>
      <c r="E11" s="45" t="s">
        <v>14</v>
      </c>
      <c r="F11" s="45" t="s">
        <v>168</v>
      </c>
      <c r="G11" s="45">
        <v>531146</v>
      </c>
      <c r="H11" s="45" t="s">
        <v>174</v>
      </c>
      <c r="I11" s="49">
        <v>44208.743738425925</v>
      </c>
      <c r="J11" s="49">
        <v>44213.183622685188</v>
      </c>
      <c r="K11" s="45">
        <v>113560</v>
      </c>
      <c r="L11" s="45">
        <v>35000</v>
      </c>
      <c r="M11" s="45">
        <v>78560</v>
      </c>
      <c r="N11" s="45" t="s">
        <v>197</v>
      </c>
      <c r="O11" s="50">
        <v>44132.688946759263</v>
      </c>
      <c r="P11" s="45">
        <v>4006</v>
      </c>
      <c r="Q11" s="45">
        <v>1</v>
      </c>
      <c r="R11" s="50">
        <v>44131.468900462962</v>
      </c>
      <c r="S11" s="45" t="s">
        <v>205</v>
      </c>
      <c r="T11" s="45">
        <v>46300</v>
      </c>
      <c r="U11" s="45">
        <v>46300</v>
      </c>
      <c r="V11" s="45">
        <v>46270</v>
      </c>
      <c r="W11" s="45" t="s">
        <v>199</v>
      </c>
      <c r="X11" s="45" t="s">
        <v>186</v>
      </c>
      <c r="Y11" s="45" t="s">
        <v>200</v>
      </c>
      <c r="Z11" s="45" t="s">
        <v>199</v>
      </c>
      <c r="AA11" s="45" t="s">
        <v>191</v>
      </c>
      <c r="AB11" s="45" t="s">
        <v>200</v>
      </c>
      <c r="AC11" s="50">
        <v>44132.688946759263</v>
      </c>
      <c r="AD11" s="1" t="str">
        <f t="shared" si="0"/>
        <v>HPT0531146</v>
      </c>
    </row>
    <row r="12" spans="1:30" x14ac:dyDescent="0.25">
      <c r="A12" s="45" t="s">
        <v>242</v>
      </c>
      <c r="B12" s="45" t="s">
        <v>167</v>
      </c>
      <c r="C12" s="45" t="s">
        <v>186</v>
      </c>
      <c r="D12" s="45" t="s">
        <v>173</v>
      </c>
      <c r="E12" s="45" t="s">
        <v>14</v>
      </c>
      <c r="F12" s="45" t="s">
        <v>168</v>
      </c>
      <c r="G12" s="45">
        <v>8424152</v>
      </c>
      <c r="H12" s="45" t="s">
        <v>169</v>
      </c>
      <c r="I12" s="49">
        <v>44208.736712962964</v>
      </c>
      <c r="J12" s="49">
        <v>44213.183622685188</v>
      </c>
      <c r="K12" s="45">
        <v>125140</v>
      </c>
      <c r="L12" s="45">
        <v>30175</v>
      </c>
      <c r="M12" s="45">
        <v>94965</v>
      </c>
      <c r="N12" s="45" t="s">
        <v>193</v>
      </c>
      <c r="O12" s="50">
        <v>44204.994247685187</v>
      </c>
      <c r="P12" s="45">
        <v>17021</v>
      </c>
      <c r="Q12" s="45">
        <v>1</v>
      </c>
      <c r="R12" s="50">
        <v>44203.613900462966</v>
      </c>
      <c r="S12" s="45" t="s">
        <v>206</v>
      </c>
      <c r="T12" s="45">
        <v>49540</v>
      </c>
      <c r="U12" s="45">
        <v>49540</v>
      </c>
      <c r="V12" s="45">
        <v>49540</v>
      </c>
      <c r="W12" s="45" t="s">
        <v>189</v>
      </c>
      <c r="X12" s="45" t="s">
        <v>186</v>
      </c>
      <c r="Y12" s="45" t="s">
        <v>190</v>
      </c>
      <c r="Z12" s="45" t="s">
        <v>189</v>
      </c>
      <c r="AA12" s="45" t="s">
        <v>191</v>
      </c>
      <c r="AB12" s="45" t="s">
        <v>190</v>
      </c>
      <c r="AC12" s="50">
        <v>44204.994247685187</v>
      </c>
      <c r="AD12" s="1" t="str">
        <f t="shared" si="0"/>
        <v>HFT8424152</v>
      </c>
    </row>
    <row r="13" spans="1:30" x14ac:dyDescent="0.25">
      <c r="A13" s="45" t="s">
        <v>242</v>
      </c>
      <c r="B13" s="45" t="s">
        <v>167</v>
      </c>
      <c r="C13" s="45" t="s">
        <v>186</v>
      </c>
      <c r="D13" s="45" t="s">
        <v>173</v>
      </c>
      <c r="E13" s="45" t="s">
        <v>14</v>
      </c>
      <c r="F13" s="45" t="s">
        <v>168</v>
      </c>
      <c r="G13" s="45">
        <v>8424152</v>
      </c>
      <c r="H13" s="45" t="s">
        <v>169</v>
      </c>
      <c r="I13" s="49">
        <v>44208.736712962964</v>
      </c>
      <c r="J13" s="49">
        <v>44213.183622685188</v>
      </c>
      <c r="K13" s="45">
        <v>125140</v>
      </c>
      <c r="L13" s="45">
        <v>30175</v>
      </c>
      <c r="M13" s="45">
        <v>94965</v>
      </c>
      <c r="N13" s="45" t="s">
        <v>203</v>
      </c>
      <c r="O13" s="50">
        <v>44200.733113425929</v>
      </c>
      <c r="P13" s="45">
        <v>5691</v>
      </c>
      <c r="Q13" s="45">
        <v>1</v>
      </c>
      <c r="R13" s="50">
        <v>44184.624467592592</v>
      </c>
      <c r="S13" s="45" t="s">
        <v>204</v>
      </c>
      <c r="T13" s="45">
        <v>5700</v>
      </c>
      <c r="U13" s="45">
        <v>5700</v>
      </c>
      <c r="V13" s="45">
        <v>2951</v>
      </c>
      <c r="W13" s="45" t="s">
        <v>199</v>
      </c>
      <c r="X13" s="45" t="s">
        <v>186</v>
      </c>
      <c r="Y13" s="45" t="s">
        <v>200</v>
      </c>
      <c r="Z13" s="45" t="s">
        <v>199</v>
      </c>
      <c r="AA13" s="45" t="s">
        <v>191</v>
      </c>
      <c r="AB13" s="45" t="s">
        <v>200</v>
      </c>
      <c r="AC13" s="50">
        <v>44200.733113425929</v>
      </c>
      <c r="AD13" s="1" t="str">
        <f t="shared" si="0"/>
        <v>HFT8424152</v>
      </c>
    </row>
    <row r="14" spans="1:30" x14ac:dyDescent="0.25">
      <c r="A14" s="45" t="s">
        <v>242</v>
      </c>
      <c r="B14" s="45" t="s">
        <v>167</v>
      </c>
      <c r="C14" s="45" t="s">
        <v>186</v>
      </c>
      <c r="D14" s="45" t="s">
        <v>173</v>
      </c>
      <c r="E14" s="45" t="s">
        <v>14</v>
      </c>
      <c r="F14" s="45" t="s">
        <v>168</v>
      </c>
      <c r="G14" s="45">
        <v>8424152</v>
      </c>
      <c r="H14" s="45" t="s">
        <v>169</v>
      </c>
      <c r="I14" s="49">
        <v>44208.736712962964</v>
      </c>
      <c r="J14" s="49">
        <v>44213.183622685188</v>
      </c>
      <c r="K14" s="45">
        <v>125140</v>
      </c>
      <c r="L14" s="45">
        <v>30175</v>
      </c>
      <c r="M14" s="45">
        <v>94965</v>
      </c>
      <c r="N14" s="45" t="s">
        <v>193</v>
      </c>
      <c r="O14" s="50">
        <v>44204.843506944446</v>
      </c>
      <c r="P14" s="45">
        <v>17022</v>
      </c>
      <c r="Q14" s="45">
        <v>1</v>
      </c>
      <c r="R14" s="50">
        <v>44203.614907407406</v>
      </c>
      <c r="S14" s="45" t="s">
        <v>194</v>
      </c>
      <c r="T14" s="45">
        <v>48810</v>
      </c>
      <c r="U14" s="45">
        <v>48810</v>
      </c>
      <c r="V14" s="45">
        <v>42474</v>
      </c>
      <c r="W14" s="45" t="s">
        <v>189</v>
      </c>
      <c r="X14" s="45" t="s">
        <v>186</v>
      </c>
      <c r="Y14" s="45" t="s">
        <v>190</v>
      </c>
      <c r="Z14" s="45" t="s">
        <v>189</v>
      </c>
      <c r="AA14" s="45" t="s">
        <v>191</v>
      </c>
      <c r="AB14" s="45" t="s">
        <v>190</v>
      </c>
      <c r="AC14" s="50">
        <v>44204.843506944446</v>
      </c>
      <c r="AD14" s="1" t="str">
        <f t="shared" si="0"/>
        <v>HFT8424152</v>
      </c>
    </row>
    <row r="15" spans="1:30" x14ac:dyDescent="0.25">
      <c r="A15" s="45" t="s">
        <v>242</v>
      </c>
      <c r="B15" s="45" t="s">
        <v>167</v>
      </c>
      <c r="C15" s="45" t="s">
        <v>186</v>
      </c>
      <c r="D15" s="45" t="s">
        <v>173</v>
      </c>
      <c r="E15" s="45" t="s">
        <v>14</v>
      </c>
      <c r="F15" s="45" t="s">
        <v>168</v>
      </c>
      <c r="G15" s="45">
        <v>8443904</v>
      </c>
      <c r="H15" s="45" t="s">
        <v>174</v>
      </c>
      <c r="I15" s="49">
        <v>44208.749606481484</v>
      </c>
      <c r="J15" s="49">
        <v>44213.183622685188</v>
      </c>
      <c r="K15" s="45">
        <v>125200</v>
      </c>
      <c r="L15" s="45">
        <v>29100</v>
      </c>
      <c r="M15" s="45">
        <v>96100</v>
      </c>
      <c r="N15" s="45" t="s">
        <v>197</v>
      </c>
      <c r="O15" s="50">
        <v>44204.849351851852</v>
      </c>
      <c r="P15" s="45">
        <v>5556</v>
      </c>
      <c r="Q15" s="45">
        <v>1</v>
      </c>
      <c r="R15" s="50">
        <v>44180.687291666669</v>
      </c>
      <c r="S15" s="45" t="s">
        <v>201</v>
      </c>
      <c r="T15" s="45">
        <v>38200</v>
      </c>
      <c r="U15" s="45">
        <v>38200</v>
      </c>
      <c r="V15" s="45">
        <v>13064</v>
      </c>
      <c r="W15" s="45" t="s">
        <v>199</v>
      </c>
      <c r="X15" s="45" t="s">
        <v>186</v>
      </c>
      <c r="Y15" s="45" t="s">
        <v>200</v>
      </c>
      <c r="Z15" s="45" t="s">
        <v>199</v>
      </c>
      <c r="AA15" s="45" t="s">
        <v>191</v>
      </c>
      <c r="AB15" s="45" t="s">
        <v>200</v>
      </c>
      <c r="AC15" s="50">
        <v>44204.849351851852</v>
      </c>
      <c r="AD15" s="1" t="str">
        <f t="shared" si="0"/>
        <v>HPT8443904</v>
      </c>
    </row>
    <row r="16" spans="1:30" x14ac:dyDescent="0.25">
      <c r="A16" s="45" t="s">
        <v>242</v>
      </c>
      <c r="B16" s="45" t="s">
        <v>167</v>
      </c>
      <c r="C16" s="45" t="s">
        <v>186</v>
      </c>
      <c r="D16" s="45" t="s">
        <v>173</v>
      </c>
      <c r="E16" s="45" t="s">
        <v>14</v>
      </c>
      <c r="F16" s="45" t="s">
        <v>168</v>
      </c>
      <c r="G16" s="45">
        <v>8443904</v>
      </c>
      <c r="H16" s="45" t="s">
        <v>174</v>
      </c>
      <c r="I16" s="49">
        <v>44208.749606481484</v>
      </c>
      <c r="J16" s="49">
        <v>44213.183622685188</v>
      </c>
      <c r="K16" s="45">
        <v>125200</v>
      </c>
      <c r="L16" s="45">
        <v>29100</v>
      </c>
      <c r="M16" s="45">
        <v>96100</v>
      </c>
      <c r="N16" s="45" t="s">
        <v>197</v>
      </c>
      <c r="O16" s="50">
        <v>44146.494988425926</v>
      </c>
      <c r="P16" s="45">
        <v>4024</v>
      </c>
      <c r="Q16" s="45">
        <v>1</v>
      </c>
      <c r="R16" s="50">
        <v>44131.823298611111</v>
      </c>
      <c r="S16" s="45" t="s">
        <v>207</v>
      </c>
      <c r="T16" s="45">
        <v>34820</v>
      </c>
      <c r="U16" s="45">
        <v>34820</v>
      </c>
      <c r="V16" s="45">
        <v>34087</v>
      </c>
      <c r="W16" s="45" t="s">
        <v>199</v>
      </c>
      <c r="X16" s="45" t="s">
        <v>186</v>
      </c>
      <c r="Y16" s="45" t="s">
        <v>200</v>
      </c>
      <c r="Z16" s="45" t="s">
        <v>199</v>
      </c>
      <c r="AA16" s="45" t="s">
        <v>191</v>
      </c>
      <c r="AB16" s="45" t="s">
        <v>200</v>
      </c>
      <c r="AC16" s="50">
        <v>44146.494988425926</v>
      </c>
      <c r="AD16" s="1" t="str">
        <f t="shared" si="0"/>
        <v>HPT8443904</v>
      </c>
    </row>
    <row r="17" spans="1:30" x14ac:dyDescent="0.25">
      <c r="A17" s="45" t="s">
        <v>242</v>
      </c>
      <c r="B17" s="45" t="s">
        <v>167</v>
      </c>
      <c r="C17" s="45" t="s">
        <v>186</v>
      </c>
      <c r="D17" s="45" t="s">
        <v>173</v>
      </c>
      <c r="E17" s="45" t="s">
        <v>14</v>
      </c>
      <c r="F17" s="45" t="s">
        <v>168</v>
      </c>
      <c r="G17" s="45">
        <v>329096</v>
      </c>
      <c r="H17" s="45" t="s">
        <v>174</v>
      </c>
      <c r="I17" s="49">
        <v>44208.729039351849</v>
      </c>
      <c r="J17" s="49">
        <v>44213.183576388888</v>
      </c>
      <c r="K17" s="45">
        <v>125300</v>
      </c>
      <c r="L17" s="45">
        <v>28740</v>
      </c>
      <c r="M17" s="45">
        <v>96560</v>
      </c>
      <c r="N17" s="45" t="s">
        <v>193</v>
      </c>
      <c r="O17" s="50">
        <v>44201.807199074072</v>
      </c>
      <c r="P17" s="45">
        <v>17010</v>
      </c>
      <c r="Q17" s="45">
        <v>1</v>
      </c>
      <c r="R17" s="50">
        <v>44194.689120370371</v>
      </c>
      <c r="S17" s="45" t="s">
        <v>196</v>
      </c>
      <c r="T17" s="45">
        <v>49080</v>
      </c>
      <c r="U17" s="45">
        <v>49080</v>
      </c>
      <c r="V17" s="45">
        <v>8066</v>
      </c>
      <c r="W17" s="45" t="s">
        <v>189</v>
      </c>
      <c r="X17" s="45" t="s">
        <v>186</v>
      </c>
      <c r="Y17" s="45" t="s">
        <v>190</v>
      </c>
      <c r="Z17" s="45" t="s">
        <v>189</v>
      </c>
      <c r="AA17" s="45" t="s">
        <v>191</v>
      </c>
      <c r="AB17" s="45" t="s">
        <v>190</v>
      </c>
      <c r="AC17" s="50">
        <v>44201.807199074072</v>
      </c>
      <c r="AD17" s="1" t="str">
        <f t="shared" si="0"/>
        <v>HPT0329096</v>
      </c>
    </row>
    <row r="18" spans="1:30" x14ac:dyDescent="0.25">
      <c r="A18" s="45" t="s">
        <v>242</v>
      </c>
      <c r="B18" s="45" t="s">
        <v>167</v>
      </c>
      <c r="C18" s="45" t="s">
        <v>172</v>
      </c>
      <c r="D18" s="45" t="s">
        <v>173</v>
      </c>
      <c r="E18" s="45" t="s">
        <v>14</v>
      </c>
      <c r="F18" s="45" t="s">
        <v>168</v>
      </c>
      <c r="G18" s="45">
        <v>300080</v>
      </c>
      <c r="H18" s="45" t="s">
        <v>174</v>
      </c>
      <c r="I18" s="49">
        <v>44208.76835648148</v>
      </c>
      <c r="J18" s="49">
        <v>44213.183749999997</v>
      </c>
      <c r="K18" s="45">
        <v>125280</v>
      </c>
      <c r="L18" s="45">
        <v>30700</v>
      </c>
      <c r="M18" s="45">
        <v>94580</v>
      </c>
      <c r="N18" s="45" t="s">
        <v>182</v>
      </c>
      <c r="O18" s="50">
        <v>44199.811273148145</v>
      </c>
      <c r="P18" s="45">
        <v>12799</v>
      </c>
      <c r="Q18" s="45">
        <v>1</v>
      </c>
      <c r="R18" s="50">
        <v>44194.776226851849</v>
      </c>
      <c r="S18" s="45" t="s">
        <v>208</v>
      </c>
      <c r="T18" s="45">
        <v>49100</v>
      </c>
      <c r="U18" s="45">
        <v>49100</v>
      </c>
      <c r="V18" s="45">
        <v>20787</v>
      </c>
      <c r="W18" s="45" t="s">
        <v>183</v>
      </c>
      <c r="X18" s="45" t="s">
        <v>172</v>
      </c>
      <c r="Y18" s="45" t="s">
        <v>184</v>
      </c>
      <c r="Z18" s="45" t="s">
        <v>183</v>
      </c>
      <c r="AA18" s="45" t="s">
        <v>172</v>
      </c>
      <c r="AB18" s="45" t="s">
        <v>184</v>
      </c>
      <c r="AC18" s="45">
        <v>44199.811273148145</v>
      </c>
      <c r="AD18" s="1" t="str">
        <f t="shared" si="0"/>
        <v>HPT0300080</v>
      </c>
    </row>
    <row r="19" spans="1:30" x14ac:dyDescent="0.25">
      <c r="A19" s="45" t="s">
        <v>242</v>
      </c>
      <c r="B19" s="45" t="s">
        <v>167</v>
      </c>
      <c r="C19" s="45" t="s">
        <v>172</v>
      </c>
      <c r="D19" s="45" t="s">
        <v>173</v>
      </c>
      <c r="E19" s="45" t="s">
        <v>14</v>
      </c>
      <c r="F19" s="45" t="s">
        <v>168</v>
      </c>
      <c r="G19" s="45">
        <v>300080</v>
      </c>
      <c r="H19" s="45" t="s">
        <v>174</v>
      </c>
      <c r="I19" s="49">
        <v>44208.76835648148</v>
      </c>
      <c r="J19" s="49">
        <v>44213.183749999997</v>
      </c>
      <c r="K19" s="45">
        <v>125280</v>
      </c>
      <c r="L19" s="45">
        <v>30700</v>
      </c>
      <c r="M19" s="45">
        <v>94580</v>
      </c>
      <c r="N19" s="45" t="s">
        <v>182</v>
      </c>
      <c r="O19" s="50">
        <v>44199.343969907408</v>
      </c>
      <c r="P19" s="45">
        <v>12797</v>
      </c>
      <c r="Q19" s="45">
        <v>1</v>
      </c>
      <c r="R19" s="50">
        <v>44194.762060185189</v>
      </c>
      <c r="S19" s="45" t="s">
        <v>209</v>
      </c>
      <c r="T19" s="45">
        <v>50400</v>
      </c>
      <c r="U19" s="45">
        <v>50400</v>
      </c>
      <c r="V19" s="45">
        <v>36483</v>
      </c>
      <c r="W19" s="45" t="s">
        <v>183</v>
      </c>
      <c r="X19" s="45" t="s">
        <v>172</v>
      </c>
      <c r="Y19" s="45" t="s">
        <v>184</v>
      </c>
      <c r="Z19" s="45" t="s">
        <v>183</v>
      </c>
      <c r="AA19" s="45" t="s">
        <v>172</v>
      </c>
      <c r="AB19" s="45" t="s">
        <v>184</v>
      </c>
      <c r="AC19" s="45">
        <v>44199.343969907408</v>
      </c>
      <c r="AD19" s="1" t="str">
        <f t="shared" si="0"/>
        <v>HPT0300080</v>
      </c>
    </row>
    <row r="20" spans="1:30" x14ac:dyDescent="0.25">
      <c r="A20" s="45" t="s">
        <v>242</v>
      </c>
      <c r="B20" s="45" t="s">
        <v>167</v>
      </c>
      <c r="C20" s="45" t="s">
        <v>172</v>
      </c>
      <c r="D20" s="45" t="s">
        <v>173</v>
      </c>
      <c r="E20" s="45" t="s">
        <v>14</v>
      </c>
      <c r="F20" s="45" t="s">
        <v>168</v>
      </c>
      <c r="G20" s="45">
        <v>300080</v>
      </c>
      <c r="H20" s="45" t="s">
        <v>174</v>
      </c>
      <c r="I20" s="49">
        <v>44208.76835648148</v>
      </c>
      <c r="J20" s="49">
        <v>44213.183749999997</v>
      </c>
      <c r="K20" s="45">
        <v>125280</v>
      </c>
      <c r="L20" s="45">
        <v>30700</v>
      </c>
      <c r="M20" s="45">
        <v>94580</v>
      </c>
      <c r="N20" s="45" t="s">
        <v>182</v>
      </c>
      <c r="O20" s="50">
        <v>44199.672673611109</v>
      </c>
      <c r="P20" s="45">
        <v>12793</v>
      </c>
      <c r="Q20" s="45">
        <v>1</v>
      </c>
      <c r="R20" s="50">
        <v>44194.644525462965</v>
      </c>
      <c r="S20" s="45" t="s">
        <v>210</v>
      </c>
      <c r="T20" s="45">
        <v>37340</v>
      </c>
      <c r="U20" s="45">
        <v>37340</v>
      </c>
      <c r="V20" s="45">
        <v>37310</v>
      </c>
      <c r="W20" s="45" t="s">
        <v>183</v>
      </c>
      <c r="X20" s="45" t="s">
        <v>172</v>
      </c>
      <c r="Y20" s="45" t="s">
        <v>184</v>
      </c>
      <c r="Z20" s="45" t="s">
        <v>183</v>
      </c>
      <c r="AA20" s="45" t="s">
        <v>172</v>
      </c>
      <c r="AB20" s="45" t="s">
        <v>184</v>
      </c>
      <c r="AC20" s="45">
        <v>44199.672673611109</v>
      </c>
      <c r="AD20" s="1" t="str">
        <f t="shared" si="0"/>
        <v>HPT0300080</v>
      </c>
    </row>
    <row r="21" spans="1:30" x14ac:dyDescent="0.25">
      <c r="A21" s="45" t="s">
        <v>242</v>
      </c>
      <c r="B21" s="45" t="s">
        <v>167</v>
      </c>
      <c r="C21" s="45" t="s">
        <v>172</v>
      </c>
      <c r="D21" s="45" t="s">
        <v>173</v>
      </c>
      <c r="E21" s="45" t="s">
        <v>14</v>
      </c>
      <c r="F21" s="45" t="s">
        <v>168</v>
      </c>
      <c r="G21" s="45">
        <v>302201</v>
      </c>
      <c r="H21" s="45" t="s">
        <v>174</v>
      </c>
      <c r="I21" s="49">
        <v>44208.772060185183</v>
      </c>
      <c r="J21" s="49">
        <v>44213.183749999997</v>
      </c>
      <c r="K21" s="45">
        <v>125260</v>
      </c>
      <c r="L21" s="45">
        <v>29984</v>
      </c>
      <c r="M21" s="45">
        <v>95276</v>
      </c>
      <c r="N21" s="45" t="s">
        <v>182</v>
      </c>
      <c r="O21" s="50">
        <v>44199.849166666667</v>
      </c>
      <c r="P21" s="45">
        <v>12780</v>
      </c>
      <c r="Q21" s="45">
        <v>1</v>
      </c>
      <c r="R21" s="50">
        <v>44193.93310185185</v>
      </c>
      <c r="S21" s="45" t="s">
        <v>211</v>
      </c>
      <c r="T21" s="45">
        <v>47280</v>
      </c>
      <c r="U21" s="45">
        <v>47280</v>
      </c>
      <c r="V21" s="45">
        <v>20913</v>
      </c>
      <c r="W21" s="45" t="s">
        <v>183</v>
      </c>
      <c r="X21" s="45" t="s">
        <v>172</v>
      </c>
      <c r="Y21" s="45" t="s">
        <v>184</v>
      </c>
      <c r="Z21" s="45" t="s">
        <v>183</v>
      </c>
      <c r="AA21" s="45" t="s">
        <v>172</v>
      </c>
      <c r="AB21" s="45" t="s">
        <v>184</v>
      </c>
      <c r="AC21" s="45">
        <v>44199.849166666667</v>
      </c>
      <c r="AD21" s="1" t="str">
        <f t="shared" si="0"/>
        <v>HPT0302201</v>
      </c>
    </row>
    <row r="22" spans="1:30" x14ac:dyDescent="0.25">
      <c r="A22" s="45" t="s">
        <v>242</v>
      </c>
      <c r="B22" s="45" t="s">
        <v>167</v>
      </c>
      <c r="C22" s="45" t="s">
        <v>172</v>
      </c>
      <c r="D22" s="45" t="s">
        <v>173</v>
      </c>
      <c r="E22" s="45" t="s">
        <v>14</v>
      </c>
      <c r="F22" s="45" t="s">
        <v>168</v>
      </c>
      <c r="G22" s="45">
        <v>302201</v>
      </c>
      <c r="H22" s="45" t="s">
        <v>174</v>
      </c>
      <c r="I22" s="49">
        <v>44208.772060185183</v>
      </c>
      <c r="J22" s="49">
        <v>44213.183749999997</v>
      </c>
      <c r="K22" s="45">
        <v>125260</v>
      </c>
      <c r="L22" s="45">
        <v>29984</v>
      </c>
      <c r="M22" s="45">
        <v>95276</v>
      </c>
      <c r="N22" s="45" t="s">
        <v>182</v>
      </c>
      <c r="O22" s="50">
        <v>44199.811273148145</v>
      </c>
      <c r="P22" s="45">
        <v>12799</v>
      </c>
      <c r="Q22" s="45">
        <v>1</v>
      </c>
      <c r="R22" s="50">
        <v>44194.776226851849</v>
      </c>
      <c r="S22" s="45" t="s">
        <v>208</v>
      </c>
      <c r="T22" s="45">
        <v>49100</v>
      </c>
      <c r="U22" s="45">
        <v>49100</v>
      </c>
      <c r="V22" s="45">
        <v>28063</v>
      </c>
      <c r="W22" s="45" t="s">
        <v>183</v>
      </c>
      <c r="X22" s="45" t="s">
        <v>172</v>
      </c>
      <c r="Y22" s="45" t="s">
        <v>184</v>
      </c>
      <c r="Z22" s="45" t="s">
        <v>183</v>
      </c>
      <c r="AA22" s="45" t="s">
        <v>172</v>
      </c>
      <c r="AB22" s="45" t="s">
        <v>184</v>
      </c>
      <c r="AC22" s="45">
        <v>44199.811273148145</v>
      </c>
      <c r="AD22" s="1" t="str">
        <f t="shared" si="0"/>
        <v>HPT0302201</v>
      </c>
    </row>
    <row r="23" spans="1:30" x14ac:dyDescent="0.25">
      <c r="A23" s="45" t="s">
        <v>242</v>
      </c>
      <c r="B23" s="45" t="s">
        <v>167</v>
      </c>
      <c r="C23" s="45" t="s">
        <v>172</v>
      </c>
      <c r="D23" s="45" t="s">
        <v>173</v>
      </c>
      <c r="E23" s="45" t="s">
        <v>14</v>
      </c>
      <c r="F23" s="45" t="s">
        <v>168</v>
      </c>
      <c r="G23" s="45">
        <v>302201</v>
      </c>
      <c r="H23" s="45" t="s">
        <v>174</v>
      </c>
      <c r="I23" s="49">
        <v>44208.772060185183</v>
      </c>
      <c r="J23" s="49">
        <v>44213.183749999997</v>
      </c>
      <c r="K23" s="45">
        <v>125260</v>
      </c>
      <c r="L23" s="45">
        <v>29984</v>
      </c>
      <c r="M23" s="45">
        <v>95276</v>
      </c>
      <c r="N23" s="45" t="s">
        <v>182</v>
      </c>
      <c r="O23" s="50">
        <v>44199.840381944443</v>
      </c>
      <c r="P23" s="45">
        <v>12814</v>
      </c>
      <c r="Q23" s="45">
        <v>1</v>
      </c>
      <c r="R23" s="50">
        <v>44195.017696759256</v>
      </c>
      <c r="S23" s="45" t="s">
        <v>212</v>
      </c>
      <c r="T23" s="45">
        <v>46320</v>
      </c>
      <c r="U23" s="45">
        <v>46320</v>
      </c>
      <c r="V23" s="45">
        <v>46300</v>
      </c>
      <c r="W23" s="45" t="s">
        <v>183</v>
      </c>
      <c r="X23" s="45" t="s">
        <v>172</v>
      </c>
      <c r="Y23" s="45" t="s">
        <v>184</v>
      </c>
      <c r="Z23" s="45" t="s">
        <v>183</v>
      </c>
      <c r="AA23" s="45" t="s">
        <v>172</v>
      </c>
      <c r="AB23" s="45" t="s">
        <v>184</v>
      </c>
      <c r="AC23" s="45">
        <v>44199.840381944443</v>
      </c>
      <c r="AD23" s="1" t="str">
        <f t="shared" si="0"/>
        <v>HPT0302201</v>
      </c>
    </row>
    <row r="24" spans="1:30" x14ac:dyDescent="0.25">
      <c r="A24" s="45" t="s">
        <v>242</v>
      </c>
      <c r="B24" s="45" t="s">
        <v>167</v>
      </c>
      <c r="C24" s="45" t="s">
        <v>172</v>
      </c>
      <c r="D24" s="45" t="s">
        <v>173</v>
      </c>
      <c r="E24" s="45" t="s">
        <v>14</v>
      </c>
      <c r="F24" s="45" t="s">
        <v>168</v>
      </c>
      <c r="G24" s="45">
        <v>306321</v>
      </c>
      <c r="H24" s="45" t="s">
        <v>174</v>
      </c>
      <c r="I24" s="49">
        <v>44208.758483796293</v>
      </c>
      <c r="J24" s="49">
        <v>44213.183749999997</v>
      </c>
      <c r="K24" s="45">
        <v>125289</v>
      </c>
      <c r="L24" s="45">
        <v>28770</v>
      </c>
      <c r="M24" s="45">
        <v>96519</v>
      </c>
      <c r="N24" s="45" t="s">
        <v>175</v>
      </c>
      <c r="O24" s="50">
        <v>44204.436909722222</v>
      </c>
      <c r="P24" s="45">
        <v>30581</v>
      </c>
      <c r="Q24" s="45">
        <v>1</v>
      </c>
      <c r="R24" s="50">
        <v>44203.319872685184</v>
      </c>
      <c r="S24" s="45" t="s">
        <v>213</v>
      </c>
      <c r="T24" s="45">
        <v>47410</v>
      </c>
      <c r="U24" s="45">
        <v>47410</v>
      </c>
      <c r="V24" s="45">
        <v>47410</v>
      </c>
      <c r="W24" s="45" t="s">
        <v>176</v>
      </c>
      <c r="X24" s="45" t="s">
        <v>172</v>
      </c>
      <c r="Y24" s="45" t="s">
        <v>177</v>
      </c>
      <c r="Z24" s="45" t="s">
        <v>176</v>
      </c>
      <c r="AA24" s="45" t="s">
        <v>172</v>
      </c>
      <c r="AB24" s="45" t="s">
        <v>177</v>
      </c>
      <c r="AC24" s="45">
        <v>44204.436909722222</v>
      </c>
      <c r="AD24" s="1" t="str">
        <f t="shared" si="0"/>
        <v>HPT0306321</v>
      </c>
    </row>
    <row r="25" spans="1:30" x14ac:dyDescent="0.25">
      <c r="A25" s="45" t="s">
        <v>242</v>
      </c>
      <c r="B25" s="45" t="s">
        <v>167</v>
      </c>
      <c r="C25" s="45" t="s">
        <v>172</v>
      </c>
      <c r="D25" s="45" t="s">
        <v>173</v>
      </c>
      <c r="E25" s="45" t="s">
        <v>14</v>
      </c>
      <c r="F25" s="45" t="s">
        <v>168</v>
      </c>
      <c r="G25" s="45">
        <v>306321</v>
      </c>
      <c r="H25" s="45" t="s">
        <v>174</v>
      </c>
      <c r="I25" s="49">
        <v>44208.758483796293</v>
      </c>
      <c r="J25" s="49">
        <v>44213.183749999997</v>
      </c>
      <c r="K25" s="45">
        <v>125289</v>
      </c>
      <c r="L25" s="45">
        <v>28770</v>
      </c>
      <c r="M25" s="45">
        <v>96519</v>
      </c>
      <c r="N25" s="45" t="s">
        <v>175</v>
      </c>
      <c r="O25" s="50">
        <v>44203.885960648149</v>
      </c>
      <c r="P25" s="45">
        <v>30577</v>
      </c>
      <c r="Q25" s="45">
        <v>1</v>
      </c>
      <c r="R25" s="50">
        <v>44201.699618055558</v>
      </c>
      <c r="S25" s="45" t="s">
        <v>214</v>
      </c>
      <c r="T25" s="45">
        <v>50410</v>
      </c>
      <c r="U25" s="45">
        <v>50410</v>
      </c>
      <c r="V25" s="45">
        <v>4681</v>
      </c>
      <c r="W25" s="45" t="s">
        <v>176</v>
      </c>
      <c r="X25" s="45" t="s">
        <v>172</v>
      </c>
      <c r="Y25" s="45" t="s">
        <v>177</v>
      </c>
      <c r="Z25" s="45" t="s">
        <v>176</v>
      </c>
      <c r="AA25" s="45" t="s">
        <v>172</v>
      </c>
      <c r="AB25" s="45" t="s">
        <v>177</v>
      </c>
      <c r="AC25" s="45">
        <v>44203.885960648149</v>
      </c>
      <c r="AD25" s="1" t="str">
        <f t="shared" si="0"/>
        <v>HPT0306321</v>
      </c>
    </row>
    <row r="26" spans="1:30" x14ac:dyDescent="0.25">
      <c r="A26" s="45" t="s">
        <v>242</v>
      </c>
      <c r="B26" s="45" t="s">
        <v>167</v>
      </c>
      <c r="C26" s="45" t="s">
        <v>172</v>
      </c>
      <c r="D26" s="45" t="s">
        <v>173</v>
      </c>
      <c r="E26" s="45" t="s">
        <v>14</v>
      </c>
      <c r="F26" s="45" t="s">
        <v>168</v>
      </c>
      <c r="G26" s="45">
        <v>306321</v>
      </c>
      <c r="H26" s="45" t="s">
        <v>174</v>
      </c>
      <c r="I26" s="49">
        <v>44208.758483796293</v>
      </c>
      <c r="J26" s="49">
        <v>44213.183749999997</v>
      </c>
      <c r="K26" s="45">
        <v>125289</v>
      </c>
      <c r="L26" s="45">
        <v>28770</v>
      </c>
      <c r="M26" s="45">
        <v>96519</v>
      </c>
      <c r="N26" s="45" t="s">
        <v>175</v>
      </c>
      <c r="O26" s="50">
        <v>44204.489618055559</v>
      </c>
      <c r="P26" s="45">
        <v>30582</v>
      </c>
      <c r="Q26" s="45">
        <v>1</v>
      </c>
      <c r="R26" s="50">
        <v>44203.325277777774</v>
      </c>
      <c r="S26" s="45" t="s">
        <v>215</v>
      </c>
      <c r="T26" s="45">
        <v>49090</v>
      </c>
      <c r="U26" s="45">
        <v>49090</v>
      </c>
      <c r="V26" s="45">
        <v>44428</v>
      </c>
      <c r="W26" s="45" t="s">
        <v>176</v>
      </c>
      <c r="X26" s="45" t="s">
        <v>172</v>
      </c>
      <c r="Y26" s="45" t="s">
        <v>177</v>
      </c>
      <c r="Z26" s="45" t="s">
        <v>176</v>
      </c>
      <c r="AA26" s="45" t="s">
        <v>172</v>
      </c>
      <c r="AB26" s="45" t="s">
        <v>177</v>
      </c>
      <c r="AC26" s="45">
        <v>44204.489618055559</v>
      </c>
      <c r="AD26" s="1" t="str">
        <f t="shared" si="0"/>
        <v>HPT0306321</v>
      </c>
    </row>
    <row r="27" spans="1:30" x14ac:dyDescent="0.25">
      <c r="A27" s="45" t="s">
        <v>242</v>
      </c>
      <c r="B27" s="45" t="s">
        <v>167</v>
      </c>
      <c r="C27" s="45" t="s">
        <v>172</v>
      </c>
      <c r="D27" s="45" t="s">
        <v>173</v>
      </c>
      <c r="E27" s="45" t="s">
        <v>14</v>
      </c>
      <c r="F27" s="45" t="s">
        <v>168</v>
      </c>
      <c r="G27" s="45">
        <v>311481</v>
      </c>
      <c r="H27" s="45" t="s">
        <v>174</v>
      </c>
      <c r="I27" s="49">
        <v>44208.780995370369</v>
      </c>
      <c r="J27" s="49">
        <v>44213.183749999997</v>
      </c>
      <c r="K27" s="45">
        <v>125240</v>
      </c>
      <c r="L27" s="45">
        <v>30500</v>
      </c>
      <c r="M27" s="45">
        <v>94740</v>
      </c>
      <c r="N27" s="45" t="s">
        <v>182</v>
      </c>
      <c r="O27" s="50">
        <v>44201.886770833335</v>
      </c>
      <c r="P27" s="45">
        <v>12810</v>
      </c>
      <c r="Q27" s="45">
        <v>1</v>
      </c>
      <c r="R27" s="50">
        <v>44194.954062500001</v>
      </c>
      <c r="S27" s="45" t="s">
        <v>216</v>
      </c>
      <c r="T27" s="45">
        <v>49260</v>
      </c>
      <c r="U27" s="45">
        <v>49260</v>
      </c>
      <c r="V27" s="45">
        <v>18608</v>
      </c>
      <c r="W27" s="45" t="s">
        <v>183</v>
      </c>
      <c r="X27" s="45" t="s">
        <v>172</v>
      </c>
      <c r="Y27" s="45" t="s">
        <v>184</v>
      </c>
      <c r="Z27" s="45" t="s">
        <v>183</v>
      </c>
      <c r="AA27" s="45" t="s">
        <v>172</v>
      </c>
      <c r="AB27" s="45" t="s">
        <v>184</v>
      </c>
      <c r="AC27" s="45">
        <v>44201.886770833335</v>
      </c>
      <c r="AD27" s="1" t="str">
        <f t="shared" si="0"/>
        <v>HPT0311481</v>
      </c>
    </row>
    <row r="28" spans="1:30" x14ac:dyDescent="0.25">
      <c r="A28" s="45" t="s">
        <v>242</v>
      </c>
      <c r="B28" s="45" t="s">
        <v>167</v>
      </c>
      <c r="C28" s="45" t="s">
        <v>172</v>
      </c>
      <c r="D28" s="45" t="s">
        <v>173</v>
      </c>
      <c r="E28" s="45" t="s">
        <v>14</v>
      </c>
      <c r="F28" s="45" t="s">
        <v>168</v>
      </c>
      <c r="G28" s="45">
        <v>311481</v>
      </c>
      <c r="H28" s="45" t="s">
        <v>174</v>
      </c>
      <c r="I28" s="49">
        <v>44208.780995370369</v>
      </c>
      <c r="J28" s="49">
        <v>44213.183749999997</v>
      </c>
      <c r="K28" s="45">
        <v>125240</v>
      </c>
      <c r="L28" s="45">
        <v>30500</v>
      </c>
      <c r="M28" s="45">
        <v>94740</v>
      </c>
      <c r="N28" s="45" t="s">
        <v>182</v>
      </c>
      <c r="O28" s="50">
        <v>44200.763437499998</v>
      </c>
      <c r="P28" s="45">
        <v>12789</v>
      </c>
      <c r="Q28" s="45">
        <v>1</v>
      </c>
      <c r="R28" s="50">
        <v>44194.614606481482</v>
      </c>
      <c r="S28" s="45" t="s">
        <v>217</v>
      </c>
      <c r="T28" s="45">
        <v>47580</v>
      </c>
      <c r="U28" s="45">
        <v>47580</v>
      </c>
      <c r="V28" s="45">
        <v>25542</v>
      </c>
      <c r="W28" s="45" t="s">
        <v>183</v>
      </c>
      <c r="X28" s="45" t="s">
        <v>172</v>
      </c>
      <c r="Y28" s="45" t="s">
        <v>184</v>
      </c>
      <c r="Z28" s="45" t="s">
        <v>183</v>
      </c>
      <c r="AA28" s="45" t="s">
        <v>172</v>
      </c>
      <c r="AB28" s="45" t="s">
        <v>184</v>
      </c>
      <c r="AC28" s="45">
        <v>44200.763437499998</v>
      </c>
      <c r="AD28" s="1" t="str">
        <f t="shared" si="0"/>
        <v>HPT0311481</v>
      </c>
    </row>
    <row r="29" spans="1:30" x14ac:dyDescent="0.25">
      <c r="A29" s="45" t="s">
        <v>242</v>
      </c>
      <c r="B29" s="45" t="s">
        <v>167</v>
      </c>
      <c r="C29" s="45" t="s">
        <v>172</v>
      </c>
      <c r="D29" s="45" t="s">
        <v>173</v>
      </c>
      <c r="E29" s="45" t="s">
        <v>14</v>
      </c>
      <c r="F29" s="45" t="s">
        <v>168</v>
      </c>
      <c r="G29" s="45">
        <v>311481</v>
      </c>
      <c r="H29" s="45" t="s">
        <v>174</v>
      </c>
      <c r="I29" s="49">
        <v>44208.780995370369</v>
      </c>
      <c r="J29" s="49">
        <v>44213.183749999997</v>
      </c>
      <c r="K29" s="45">
        <v>125240</v>
      </c>
      <c r="L29" s="45">
        <v>30500</v>
      </c>
      <c r="M29" s="45">
        <v>94740</v>
      </c>
      <c r="N29" s="45" t="s">
        <v>182</v>
      </c>
      <c r="O29" s="50">
        <v>44200.912118055552</v>
      </c>
      <c r="P29" s="45">
        <v>12805</v>
      </c>
      <c r="Q29" s="45">
        <v>1</v>
      </c>
      <c r="R29" s="50">
        <v>44194.893206018518</v>
      </c>
      <c r="S29" s="45" t="s">
        <v>218</v>
      </c>
      <c r="T29" s="45">
        <v>50680</v>
      </c>
      <c r="U29" s="45">
        <v>50680</v>
      </c>
      <c r="V29" s="45">
        <v>50590</v>
      </c>
      <c r="W29" s="45" t="s">
        <v>183</v>
      </c>
      <c r="X29" s="45" t="s">
        <v>172</v>
      </c>
      <c r="Y29" s="45" t="s">
        <v>184</v>
      </c>
      <c r="Z29" s="45" t="s">
        <v>183</v>
      </c>
      <c r="AA29" s="45" t="s">
        <v>172</v>
      </c>
      <c r="AB29" s="45" t="s">
        <v>184</v>
      </c>
      <c r="AC29" s="45">
        <v>44200.912118055552</v>
      </c>
      <c r="AD29" s="1" t="str">
        <f t="shared" si="0"/>
        <v>HPT0311481</v>
      </c>
    </row>
    <row r="30" spans="1:30" x14ac:dyDescent="0.25">
      <c r="A30" s="45" t="s">
        <v>242</v>
      </c>
      <c r="B30" s="45" t="s">
        <v>167</v>
      </c>
      <c r="C30" s="45" t="s">
        <v>172</v>
      </c>
      <c r="D30" s="45" t="s">
        <v>173</v>
      </c>
      <c r="E30" s="45" t="s">
        <v>14</v>
      </c>
      <c r="F30" s="45" t="s">
        <v>168</v>
      </c>
      <c r="G30" s="45">
        <v>312363</v>
      </c>
      <c r="H30" s="45" t="s">
        <v>174</v>
      </c>
      <c r="I30" s="49">
        <v>44208.789351851854</v>
      </c>
      <c r="J30" s="49">
        <v>44213.183749999997</v>
      </c>
      <c r="K30" s="45">
        <v>125132</v>
      </c>
      <c r="L30" s="45">
        <v>30400</v>
      </c>
      <c r="M30" s="45">
        <v>94732</v>
      </c>
      <c r="N30" s="45" t="s">
        <v>178</v>
      </c>
      <c r="O30" s="50">
        <v>44199.641493055555</v>
      </c>
      <c r="P30" s="45">
        <v>12073</v>
      </c>
      <c r="Q30" s="45">
        <v>1</v>
      </c>
      <c r="R30" s="50">
        <v>44198.382326388892</v>
      </c>
      <c r="S30" s="45" t="s">
        <v>219</v>
      </c>
      <c r="T30" s="45">
        <v>46220</v>
      </c>
      <c r="U30" s="45">
        <v>46220</v>
      </c>
      <c r="V30" s="45">
        <v>17295</v>
      </c>
      <c r="W30" s="45" t="s">
        <v>179</v>
      </c>
      <c r="X30" s="45" t="s">
        <v>172</v>
      </c>
      <c r="Y30" s="45" t="s">
        <v>180</v>
      </c>
      <c r="Z30" s="45" t="s">
        <v>179</v>
      </c>
      <c r="AA30" s="45" t="s">
        <v>172</v>
      </c>
      <c r="AB30" s="45" t="s">
        <v>180</v>
      </c>
      <c r="AC30" s="45">
        <v>44199.641493055555</v>
      </c>
      <c r="AD30" s="1" t="str">
        <f t="shared" si="0"/>
        <v>HPT0312363</v>
      </c>
    </row>
    <row r="31" spans="1:30" x14ac:dyDescent="0.25">
      <c r="A31" s="45" t="s">
        <v>242</v>
      </c>
      <c r="B31" s="45" t="s">
        <v>167</v>
      </c>
      <c r="C31" s="45" t="s">
        <v>172</v>
      </c>
      <c r="D31" s="45" t="s">
        <v>173</v>
      </c>
      <c r="E31" s="45" t="s">
        <v>14</v>
      </c>
      <c r="F31" s="45" t="s">
        <v>168</v>
      </c>
      <c r="G31" s="45">
        <v>312363</v>
      </c>
      <c r="H31" s="45" t="s">
        <v>174</v>
      </c>
      <c r="I31" s="49">
        <v>44208.789351851854</v>
      </c>
      <c r="J31" s="49">
        <v>44213.183749999997</v>
      </c>
      <c r="K31" s="45">
        <v>125132</v>
      </c>
      <c r="L31" s="45">
        <v>30400</v>
      </c>
      <c r="M31" s="45">
        <v>94732</v>
      </c>
      <c r="N31" s="45" t="s">
        <v>178</v>
      </c>
      <c r="O31" s="50">
        <v>44200.398217592592</v>
      </c>
      <c r="P31" s="45">
        <v>12017</v>
      </c>
      <c r="Q31" s="45">
        <v>1</v>
      </c>
      <c r="R31" s="50">
        <v>44194.528437499997</v>
      </c>
      <c r="S31" s="45" t="s">
        <v>220</v>
      </c>
      <c r="T31" s="45">
        <v>48780</v>
      </c>
      <c r="U31" s="45">
        <v>48780</v>
      </c>
      <c r="V31" s="45">
        <v>48750</v>
      </c>
      <c r="W31" s="45" t="s">
        <v>179</v>
      </c>
      <c r="X31" s="45" t="s">
        <v>172</v>
      </c>
      <c r="Y31" s="45" t="s">
        <v>180</v>
      </c>
      <c r="Z31" s="45" t="s">
        <v>179</v>
      </c>
      <c r="AA31" s="45" t="s">
        <v>172</v>
      </c>
      <c r="AB31" s="45" t="s">
        <v>180</v>
      </c>
      <c r="AC31" s="45">
        <v>44200.398217592592</v>
      </c>
      <c r="AD31" s="1" t="str">
        <f t="shared" si="0"/>
        <v>HPT0312363</v>
      </c>
    </row>
    <row r="32" spans="1:30" x14ac:dyDescent="0.25">
      <c r="A32" s="45" t="s">
        <v>242</v>
      </c>
      <c r="B32" s="45" t="s">
        <v>167</v>
      </c>
      <c r="C32" s="45" t="s">
        <v>172</v>
      </c>
      <c r="D32" s="45" t="s">
        <v>173</v>
      </c>
      <c r="E32" s="45" t="s">
        <v>14</v>
      </c>
      <c r="F32" s="45" t="s">
        <v>168</v>
      </c>
      <c r="G32" s="45">
        <v>312363</v>
      </c>
      <c r="H32" s="45" t="s">
        <v>174</v>
      </c>
      <c r="I32" s="49">
        <v>44208.789351851854</v>
      </c>
      <c r="J32" s="49">
        <v>44213.183749999997</v>
      </c>
      <c r="K32" s="45">
        <v>125132</v>
      </c>
      <c r="L32" s="45">
        <v>30400</v>
      </c>
      <c r="M32" s="45">
        <v>94732</v>
      </c>
      <c r="N32" s="45" t="s">
        <v>178</v>
      </c>
      <c r="O32" s="50">
        <v>44200.399375000001</v>
      </c>
      <c r="P32" s="45">
        <v>12076</v>
      </c>
      <c r="Q32" s="45">
        <v>1</v>
      </c>
      <c r="R32" s="50">
        <v>44198.389062499999</v>
      </c>
      <c r="S32" s="45" t="s">
        <v>221</v>
      </c>
      <c r="T32" s="45">
        <v>49340</v>
      </c>
      <c r="U32" s="45">
        <v>49340</v>
      </c>
      <c r="V32" s="45">
        <v>28687</v>
      </c>
      <c r="W32" s="45" t="s">
        <v>179</v>
      </c>
      <c r="X32" s="45" t="s">
        <v>172</v>
      </c>
      <c r="Y32" s="45" t="s">
        <v>180</v>
      </c>
      <c r="Z32" s="45" t="s">
        <v>179</v>
      </c>
      <c r="AA32" s="45" t="s">
        <v>172</v>
      </c>
      <c r="AB32" s="45" t="s">
        <v>180</v>
      </c>
      <c r="AC32" s="45">
        <v>44200.399375000001</v>
      </c>
      <c r="AD32" s="1" t="str">
        <f t="shared" si="0"/>
        <v>HPT0312363</v>
      </c>
    </row>
    <row r="33" spans="1:30" x14ac:dyDescent="0.25">
      <c r="A33" s="45" t="s">
        <v>242</v>
      </c>
      <c r="B33" s="45" t="s">
        <v>167</v>
      </c>
      <c r="C33" s="45" t="s">
        <v>172</v>
      </c>
      <c r="D33" s="45" t="s">
        <v>173</v>
      </c>
      <c r="E33" s="45" t="s">
        <v>14</v>
      </c>
      <c r="F33" s="45" t="s">
        <v>168</v>
      </c>
      <c r="G33" s="45">
        <v>326763</v>
      </c>
      <c r="H33" s="45" t="s">
        <v>174</v>
      </c>
      <c r="I33" s="49">
        <v>44208.785567129627</v>
      </c>
      <c r="J33" s="49">
        <v>44213.183749999997</v>
      </c>
      <c r="K33" s="45">
        <v>125240</v>
      </c>
      <c r="L33" s="45">
        <v>28653</v>
      </c>
      <c r="M33" s="45">
        <v>96587</v>
      </c>
      <c r="N33" s="45" t="s">
        <v>178</v>
      </c>
      <c r="O33" s="50">
        <v>44199.641493055555</v>
      </c>
      <c r="P33" s="45">
        <v>12073</v>
      </c>
      <c r="Q33" s="45">
        <v>1</v>
      </c>
      <c r="R33" s="50">
        <v>44198.382326388892</v>
      </c>
      <c r="S33" s="45" t="s">
        <v>219</v>
      </c>
      <c r="T33" s="45">
        <v>46220</v>
      </c>
      <c r="U33" s="45">
        <v>46220</v>
      </c>
      <c r="V33" s="45">
        <v>28885</v>
      </c>
      <c r="W33" s="45" t="s">
        <v>179</v>
      </c>
      <c r="X33" s="45" t="s">
        <v>172</v>
      </c>
      <c r="Y33" s="45" t="s">
        <v>180</v>
      </c>
      <c r="Z33" s="45" t="s">
        <v>179</v>
      </c>
      <c r="AA33" s="45" t="s">
        <v>172</v>
      </c>
      <c r="AB33" s="45" t="s">
        <v>180</v>
      </c>
      <c r="AC33" s="45">
        <v>44199.641493055555</v>
      </c>
      <c r="AD33" s="1" t="str">
        <f t="shared" ref="AD33:AD62" si="1">H33&amp;TEXT(G33,"0000000")</f>
        <v>HPT0326763</v>
      </c>
    </row>
    <row r="34" spans="1:30" x14ac:dyDescent="0.25">
      <c r="A34" s="45" t="s">
        <v>242</v>
      </c>
      <c r="B34" s="45" t="s">
        <v>167</v>
      </c>
      <c r="C34" s="45" t="s">
        <v>172</v>
      </c>
      <c r="D34" s="45" t="s">
        <v>173</v>
      </c>
      <c r="E34" s="45" t="s">
        <v>14</v>
      </c>
      <c r="F34" s="45" t="s">
        <v>168</v>
      </c>
      <c r="G34" s="45">
        <v>326763</v>
      </c>
      <c r="H34" s="45" t="s">
        <v>174</v>
      </c>
      <c r="I34" s="49">
        <v>44208.785567129627</v>
      </c>
      <c r="J34" s="49">
        <v>44213.183749999997</v>
      </c>
      <c r="K34" s="45">
        <v>125240</v>
      </c>
      <c r="L34" s="45">
        <v>28653</v>
      </c>
      <c r="M34" s="45">
        <v>96587</v>
      </c>
      <c r="N34" s="45" t="s">
        <v>178</v>
      </c>
      <c r="O34" s="50">
        <v>44199.147800925923</v>
      </c>
      <c r="P34" s="45">
        <v>11973</v>
      </c>
      <c r="Q34" s="45">
        <v>1</v>
      </c>
      <c r="R34" s="50">
        <v>44193.680694444447</v>
      </c>
      <c r="S34" s="45" t="s">
        <v>222</v>
      </c>
      <c r="T34" s="45">
        <v>37340</v>
      </c>
      <c r="U34" s="45">
        <v>37340</v>
      </c>
      <c r="V34" s="45">
        <v>37260</v>
      </c>
      <c r="W34" s="45" t="s">
        <v>179</v>
      </c>
      <c r="X34" s="45" t="s">
        <v>172</v>
      </c>
      <c r="Y34" s="45" t="s">
        <v>180</v>
      </c>
      <c r="Z34" s="45" t="s">
        <v>179</v>
      </c>
      <c r="AA34" s="45" t="s">
        <v>172</v>
      </c>
      <c r="AB34" s="45" t="s">
        <v>180</v>
      </c>
      <c r="AC34" s="45">
        <v>44199.147800925923</v>
      </c>
      <c r="AD34" s="1" t="str">
        <f t="shared" si="1"/>
        <v>HPT0326763</v>
      </c>
    </row>
    <row r="35" spans="1:30" x14ac:dyDescent="0.25">
      <c r="A35" s="45" t="s">
        <v>242</v>
      </c>
      <c r="B35" s="45" t="s">
        <v>167</v>
      </c>
      <c r="C35" s="45" t="s">
        <v>172</v>
      </c>
      <c r="D35" s="45" t="s">
        <v>173</v>
      </c>
      <c r="E35" s="45" t="s">
        <v>14</v>
      </c>
      <c r="F35" s="45" t="s">
        <v>168</v>
      </c>
      <c r="G35" s="45">
        <v>326763</v>
      </c>
      <c r="H35" s="45" t="s">
        <v>174</v>
      </c>
      <c r="I35" s="49">
        <v>44208.785567129627</v>
      </c>
      <c r="J35" s="49">
        <v>44213.183749999997</v>
      </c>
      <c r="K35" s="45">
        <v>125240</v>
      </c>
      <c r="L35" s="45">
        <v>28653</v>
      </c>
      <c r="M35" s="45">
        <v>96587</v>
      </c>
      <c r="N35" s="45" t="s">
        <v>182</v>
      </c>
      <c r="O35" s="50">
        <v>44201.886770833335</v>
      </c>
      <c r="P35" s="45">
        <v>12810</v>
      </c>
      <c r="Q35" s="45">
        <v>1</v>
      </c>
      <c r="R35" s="50">
        <v>44194.954062500001</v>
      </c>
      <c r="S35" s="45" t="s">
        <v>216</v>
      </c>
      <c r="T35" s="45">
        <v>49260</v>
      </c>
      <c r="U35" s="45">
        <v>49260</v>
      </c>
      <c r="V35" s="45">
        <v>30442</v>
      </c>
      <c r="W35" s="45" t="s">
        <v>183</v>
      </c>
      <c r="X35" s="45" t="s">
        <v>172</v>
      </c>
      <c r="Y35" s="45" t="s">
        <v>184</v>
      </c>
      <c r="Z35" s="45" t="s">
        <v>183</v>
      </c>
      <c r="AA35" s="45" t="s">
        <v>172</v>
      </c>
      <c r="AB35" s="45" t="s">
        <v>184</v>
      </c>
      <c r="AC35" s="45">
        <v>44201.886770833335</v>
      </c>
      <c r="AD35" s="1" t="str">
        <f t="shared" si="1"/>
        <v>HPT0326763</v>
      </c>
    </row>
    <row r="36" spans="1:30" x14ac:dyDescent="0.25">
      <c r="A36" s="45" t="s">
        <v>242</v>
      </c>
      <c r="B36" s="45" t="s">
        <v>167</v>
      </c>
      <c r="C36" s="45" t="s">
        <v>172</v>
      </c>
      <c r="D36" s="45" t="s">
        <v>173</v>
      </c>
      <c r="E36" s="45" t="s">
        <v>14</v>
      </c>
      <c r="F36" s="45" t="s">
        <v>168</v>
      </c>
      <c r="G36" s="45">
        <v>328898</v>
      </c>
      <c r="H36" s="45" t="s">
        <v>174</v>
      </c>
      <c r="I36" s="49">
        <v>44208.798761574071</v>
      </c>
      <c r="J36" s="49">
        <v>44213.183749999997</v>
      </c>
      <c r="K36" s="45">
        <v>125279</v>
      </c>
      <c r="L36" s="45">
        <v>28781</v>
      </c>
      <c r="M36" s="45">
        <v>96498</v>
      </c>
      <c r="N36" s="45" t="s">
        <v>178</v>
      </c>
      <c r="O36" s="50">
        <v>44200.601435185185</v>
      </c>
      <c r="P36" s="45">
        <v>12075</v>
      </c>
      <c r="Q36" s="45">
        <v>1</v>
      </c>
      <c r="R36" s="50">
        <v>44198.387407407405</v>
      </c>
      <c r="S36" s="45" t="s">
        <v>223</v>
      </c>
      <c r="T36" s="45">
        <v>49960</v>
      </c>
      <c r="U36" s="45">
        <v>49960</v>
      </c>
      <c r="V36" s="45">
        <v>38125</v>
      </c>
      <c r="W36" s="45" t="s">
        <v>179</v>
      </c>
      <c r="X36" s="45" t="s">
        <v>172</v>
      </c>
      <c r="Y36" s="45" t="s">
        <v>180</v>
      </c>
      <c r="Z36" s="45" t="s">
        <v>179</v>
      </c>
      <c r="AA36" s="45" t="s">
        <v>172</v>
      </c>
      <c r="AB36" s="45" t="s">
        <v>180</v>
      </c>
      <c r="AC36" s="45">
        <v>44200.601435185185</v>
      </c>
      <c r="AD36" s="1" t="str">
        <f t="shared" si="1"/>
        <v>HPT0328898</v>
      </c>
    </row>
    <row r="37" spans="1:30" x14ac:dyDescent="0.25">
      <c r="A37" s="45" t="s">
        <v>242</v>
      </c>
      <c r="B37" s="45" t="s">
        <v>167</v>
      </c>
      <c r="C37" s="45" t="s">
        <v>172</v>
      </c>
      <c r="D37" s="45" t="s">
        <v>173</v>
      </c>
      <c r="E37" s="45" t="s">
        <v>14</v>
      </c>
      <c r="F37" s="45" t="s">
        <v>168</v>
      </c>
      <c r="G37" s="45">
        <v>328898</v>
      </c>
      <c r="H37" s="45" t="s">
        <v>174</v>
      </c>
      <c r="I37" s="49">
        <v>44208.798761574071</v>
      </c>
      <c r="J37" s="49">
        <v>44213.183749999997</v>
      </c>
      <c r="K37" s="45">
        <v>125279</v>
      </c>
      <c r="L37" s="45">
        <v>28781</v>
      </c>
      <c r="M37" s="45">
        <v>96498</v>
      </c>
      <c r="N37" s="45" t="s">
        <v>178</v>
      </c>
      <c r="O37" s="50">
        <v>44200.461851851855</v>
      </c>
      <c r="P37" s="45">
        <v>12090</v>
      </c>
      <c r="Q37" s="45">
        <v>1</v>
      </c>
      <c r="R37" s="50">
        <v>44198.483229166668</v>
      </c>
      <c r="S37" s="45" t="s">
        <v>224</v>
      </c>
      <c r="T37" s="45">
        <v>31540</v>
      </c>
      <c r="U37" s="45">
        <v>31540</v>
      </c>
      <c r="V37" s="45">
        <v>31490</v>
      </c>
      <c r="W37" s="45" t="s">
        <v>179</v>
      </c>
      <c r="X37" s="45" t="s">
        <v>172</v>
      </c>
      <c r="Y37" s="45" t="s">
        <v>180</v>
      </c>
      <c r="Z37" s="45" t="s">
        <v>179</v>
      </c>
      <c r="AA37" s="45" t="s">
        <v>172</v>
      </c>
      <c r="AB37" s="45" t="s">
        <v>180</v>
      </c>
      <c r="AC37" s="45">
        <v>44200.461851851855</v>
      </c>
      <c r="AD37" s="1" t="str">
        <f t="shared" si="1"/>
        <v>HPT0328898</v>
      </c>
    </row>
    <row r="38" spans="1:30" x14ac:dyDescent="0.25">
      <c r="A38" s="45" t="s">
        <v>242</v>
      </c>
      <c r="B38" s="45" t="s">
        <v>167</v>
      </c>
      <c r="C38" s="45" t="s">
        <v>172</v>
      </c>
      <c r="D38" s="45" t="s">
        <v>173</v>
      </c>
      <c r="E38" s="45" t="s">
        <v>14</v>
      </c>
      <c r="F38" s="45" t="s">
        <v>168</v>
      </c>
      <c r="G38" s="45">
        <v>328898</v>
      </c>
      <c r="H38" s="45" t="s">
        <v>174</v>
      </c>
      <c r="I38" s="49">
        <v>44208.798761574071</v>
      </c>
      <c r="J38" s="49">
        <v>44213.183749999997</v>
      </c>
      <c r="K38" s="45">
        <v>125279</v>
      </c>
      <c r="L38" s="45">
        <v>28781</v>
      </c>
      <c r="M38" s="45">
        <v>96498</v>
      </c>
      <c r="N38" s="45" t="s">
        <v>178</v>
      </c>
      <c r="O38" s="50">
        <v>44200.454108796293</v>
      </c>
      <c r="P38" s="45">
        <v>11984</v>
      </c>
      <c r="Q38" s="45">
        <v>1</v>
      </c>
      <c r="R38" s="50">
        <v>44193.77076388889</v>
      </c>
      <c r="S38" s="45" t="s">
        <v>225</v>
      </c>
      <c r="T38" s="45">
        <v>50200</v>
      </c>
      <c r="U38" s="45">
        <v>50200</v>
      </c>
      <c r="V38" s="45">
        <v>26883</v>
      </c>
      <c r="W38" s="45" t="s">
        <v>179</v>
      </c>
      <c r="X38" s="45" t="s">
        <v>172</v>
      </c>
      <c r="Y38" s="45" t="s">
        <v>180</v>
      </c>
      <c r="Z38" s="45" t="s">
        <v>179</v>
      </c>
      <c r="AA38" s="45" t="s">
        <v>172</v>
      </c>
      <c r="AB38" s="45" t="s">
        <v>180</v>
      </c>
      <c r="AC38" s="45">
        <v>44200.454108796293</v>
      </c>
      <c r="AD38" s="1" t="str">
        <f t="shared" si="1"/>
        <v>HPT0328898</v>
      </c>
    </row>
    <row r="39" spans="1:30" x14ac:dyDescent="0.25">
      <c r="A39" s="45" t="s">
        <v>242</v>
      </c>
      <c r="B39" s="45" t="s">
        <v>167</v>
      </c>
      <c r="C39" s="45" t="s">
        <v>172</v>
      </c>
      <c r="D39" s="45" t="s">
        <v>173</v>
      </c>
      <c r="E39" s="45" t="s">
        <v>14</v>
      </c>
      <c r="F39" s="45" t="s">
        <v>168</v>
      </c>
      <c r="G39" s="45">
        <v>536814</v>
      </c>
      <c r="H39" s="45" t="s">
        <v>169</v>
      </c>
      <c r="I39" s="49">
        <v>44208.761932870373</v>
      </c>
      <c r="J39" s="49">
        <v>44213.183749999997</v>
      </c>
      <c r="K39" s="45">
        <v>125220</v>
      </c>
      <c r="L39" s="45">
        <v>28640</v>
      </c>
      <c r="M39" s="45">
        <v>96580</v>
      </c>
      <c r="N39" s="45" t="s">
        <v>182</v>
      </c>
      <c r="O39" s="50">
        <v>44198.954282407409</v>
      </c>
      <c r="P39" s="45">
        <v>12795</v>
      </c>
      <c r="Q39" s="45">
        <v>1</v>
      </c>
      <c r="R39" s="50">
        <v>44194.678217592591</v>
      </c>
      <c r="S39" s="45" t="s">
        <v>226</v>
      </c>
      <c r="T39" s="45">
        <v>38140</v>
      </c>
      <c r="U39" s="45">
        <v>38140</v>
      </c>
      <c r="V39" s="45">
        <v>5238</v>
      </c>
      <c r="W39" s="45" t="s">
        <v>183</v>
      </c>
      <c r="X39" s="45" t="s">
        <v>172</v>
      </c>
      <c r="Y39" s="45" t="s">
        <v>184</v>
      </c>
      <c r="Z39" s="45" t="s">
        <v>183</v>
      </c>
      <c r="AA39" s="45" t="s">
        <v>172</v>
      </c>
      <c r="AB39" s="45" t="s">
        <v>184</v>
      </c>
      <c r="AC39" s="45">
        <v>44198.954282407409</v>
      </c>
      <c r="AD39" s="1" t="str">
        <f t="shared" si="1"/>
        <v>HFT0536814</v>
      </c>
    </row>
    <row r="40" spans="1:30" x14ac:dyDescent="0.25">
      <c r="A40" s="45" t="s">
        <v>242</v>
      </c>
      <c r="B40" s="45" t="s">
        <v>167</v>
      </c>
      <c r="C40" s="45" t="s">
        <v>172</v>
      </c>
      <c r="D40" s="45" t="s">
        <v>173</v>
      </c>
      <c r="E40" s="45" t="s">
        <v>14</v>
      </c>
      <c r="F40" s="45" t="s">
        <v>168</v>
      </c>
      <c r="G40" s="45">
        <v>536814</v>
      </c>
      <c r="H40" s="45" t="s">
        <v>169</v>
      </c>
      <c r="I40" s="49">
        <v>44208.761932870373</v>
      </c>
      <c r="J40" s="49">
        <v>44213.183749999997</v>
      </c>
      <c r="K40" s="45">
        <v>125220</v>
      </c>
      <c r="L40" s="45">
        <v>28640</v>
      </c>
      <c r="M40" s="45">
        <v>96580</v>
      </c>
      <c r="N40" s="45" t="s">
        <v>182</v>
      </c>
      <c r="O40" s="50">
        <v>44198.943599537037</v>
      </c>
      <c r="P40" s="45">
        <v>12798</v>
      </c>
      <c r="Q40" s="45">
        <v>1</v>
      </c>
      <c r="R40" s="50">
        <v>44194.773159722223</v>
      </c>
      <c r="S40" s="45" t="s">
        <v>227</v>
      </c>
      <c r="T40" s="45">
        <v>37540</v>
      </c>
      <c r="U40" s="45">
        <v>37540</v>
      </c>
      <c r="V40" s="45">
        <v>37500</v>
      </c>
      <c r="W40" s="45" t="s">
        <v>183</v>
      </c>
      <c r="X40" s="45" t="s">
        <v>172</v>
      </c>
      <c r="Y40" s="45" t="s">
        <v>184</v>
      </c>
      <c r="Z40" s="45" t="s">
        <v>183</v>
      </c>
      <c r="AA40" s="45" t="s">
        <v>172</v>
      </c>
      <c r="AB40" s="45" t="s">
        <v>184</v>
      </c>
      <c r="AC40" s="45">
        <v>44198.943599537037</v>
      </c>
      <c r="AD40" s="1" t="str">
        <f t="shared" si="1"/>
        <v>HFT0536814</v>
      </c>
    </row>
    <row r="41" spans="1:30" x14ac:dyDescent="0.25">
      <c r="A41" s="45" t="s">
        <v>242</v>
      </c>
      <c r="B41" s="45" t="s">
        <v>167</v>
      </c>
      <c r="C41" s="45" t="s">
        <v>172</v>
      </c>
      <c r="D41" s="45" t="s">
        <v>173</v>
      </c>
      <c r="E41" s="45" t="s">
        <v>14</v>
      </c>
      <c r="F41" s="45" t="s">
        <v>168</v>
      </c>
      <c r="G41" s="45">
        <v>536814</v>
      </c>
      <c r="H41" s="45" t="s">
        <v>169</v>
      </c>
      <c r="I41" s="49">
        <v>44208.761932870373</v>
      </c>
      <c r="J41" s="49">
        <v>44213.183749999997</v>
      </c>
      <c r="K41" s="45">
        <v>125220</v>
      </c>
      <c r="L41" s="45">
        <v>28640</v>
      </c>
      <c r="M41" s="45">
        <v>96580</v>
      </c>
      <c r="N41" s="45" t="s">
        <v>175</v>
      </c>
      <c r="O41" s="50">
        <v>44204.499907407408</v>
      </c>
      <c r="P41" s="45">
        <v>30580</v>
      </c>
      <c r="Q41" s="45">
        <v>1</v>
      </c>
      <c r="R41" s="50">
        <v>44203.316423611112</v>
      </c>
      <c r="S41" s="45" t="s">
        <v>228</v>
      </c>
      <c r="T41" s="45">
        <v>49390</v>
      </c>
      <c r="U41" s="45">
        <v>49390</v>
      </c>
      <c r="V41" s="45">
        <v>49260</v>
      </c>
      <c r="W41" s="45" t="s">
        <v>176</v>
      </c>
      <c r="X41" s="45" t="s">
        <v>172</v>
      </c>
      <c r="Y41" s="45" t="s">
        <v>177</v>
      </c>
      <c r="Z41" s="45" t="s">
        <v>176</v>
      </c>
      <c r="AA41" s="45" t="s">
        <v>172</v>
      </c>
      <c r="AB41" s="45" t="s">
        <v>177</v>
      </c>
      <c r="AC41" s="45">
        <v>44204.499907407408</v>
      </c>
      <c r="AD41" s="1" t="str">
        <f t="shared" si="1"/>
        <v>HFT0536814</v>
      </c>
    </row>
    <row r="42" spans="1:30" x14ac:dyDescent="0.25">
      <c r="A42" s="45" t="s">
        <v>242</v>
      </c>
      <c r="B42" s="45" t="s">
        <v>167</v>
      </c>
      <c r="C42" s="45" t="s">
        <v>172</v>
      </c>
      <c r="D42" s="45" t="s">
        <v>173</v>
      </c>
      <c r="E42" s="45" t="s">
        <v>14</v>
      </c>
      <c r="F42" s="45" t="s">
        <v>168</v>
      </c>
      <c r="G42" s="45">
        <v>536814</v>
      </c>
      <c r="H42" s="45" t="s">
        <v>169</v>
      </c>
      <c r="I42" s="49">
        <v>44208.761932870373</v>
      </c>
      <c r="J42" s="49">
        <v>44213.183749999997</v>
      </c>
      <c r="K42" s="45">
        <v>125220</v>
      </c>
      <c r="L42" s="45">
        <v>28640</v>
      </c>
      <c r="M42" s="45">
        <v>96580</v>
      </c>
      <c r="N42" s="45" t="s">
        <v>175</v>
      </c>
      <c r="O42" s="50">
        <v>44204.489618055559</v>
      </c>
      <c r="P42" s="45">
        <v>30582</v>
      </c>
      <c r="Q42" s="45">
        <v>1</v>
      </c>
      <c r="R42" s="50">
        <v>44203.325277777774</v>
      </c>
      <c r="S42" s="45" t="s">
        <v>215</v>
      </c>
      <c r="T42" s="45">
        <v>49090</v>
      </c>
      <c r="U42" s="45">
        <v>49090</v>
      </c>
      <c r="V42" s="45">
        <v>4582</v>
      </c>
      <c r="W42" s="45" t="s">
        <v>176</v>
      </c>
      <c r="X42" s="45" t="s">
        <v>172</v>
      </c>
      <c r="Y42" s="45" t="s">
        <v>177</v>
      </c>
      <c r="Z42" s="45" t="s">
        <v>176</v>
      </c>
      <c r="AA42" s="45" t="s">
        <v>172</v>
      </c>
      <c r="AB42" s="45" t="s">
        <v>177</v>
      </c>
      <c r="AC42" s="45">
        <v>44204.489618055559</v>
      </c>
      <c r="AD42" s="1" t="str">
        <f t="shared" si="1"/>
        <v>HFT0536814</v>
      </c>
    </row>
    <row r="43" spans="1:30" x14ac:dyDescent="0.25">
      <c r="A43" s="45" t="s">
        <v>242</v>
      </c>
      <c r="B43" s="45" t="s">
        <v>167</v>
      </c>
      <c r="C43" s="45" t="s">
        <v>172</v>
      </c>
      <c r="D43" s="45" t="s">
        <v>173</v>
      </c>
      <c r="E43" s="45" t="s">
        <v>14</v>
      </c>
      <c r="F43" s="45" t="s">
        <v>168</v>
      </c>
      <c r="G43" s="45">
        <v>908738</v>
      </c>
      <c r="H43" s="45" t="s">
        <v>169</v>
      </c>
      <c r="I43" s="49">
        <v>44208.81113425926</v>
      </c>
      <c r="J43" s="49">
        <v>44213.183749999997</v>
      </c>
      <c r="K43" s="45">
        <v>120560</v>
      </c>
      <c r="L43" s="45">
        <v>24820</v>
      </c>
      <c r="M43" s="45">
        <v>95740</v>
      </c>
      <c r="N43" s="45" t="s">
        <v>229</v>
      </c>
      <c r="O43" s="50">
        <v>44200.713576388887</v>
      </c>
      <c r="P43" s="45">
        <v>12812</v>
      </c>
      <c r="Q43" s="45">
        <v>1</v>
      </c>
      <c r="R43" s="50">
        <v>44184.463055555556</v>
      </c>
      <c r="S43" s="45" t="s">
        <v>230</v>
      </c>
      <c r="T43" s="45">
        <v>43980</v>
      </c>
      <c r="U43" s="45">
        <v>43980</v>
      </c>
      <c r="V43" s="45">
        <v>16563</v>
      </c>
      <c r="W43" s="45" t="s">
        <v>231</v>
      </c>
      <c r="X43" s="45" t="s">
        <v>172</v>
      </c>
      <c r="Y43" s="45" t="s">
        <v>232</v>
      </c>
      <c r="Z43" s="45" t="s">
        <v>231</v>
      </c>
      <c r="AA43" s="45" t="s">
        <v>172</v>
      </c>
      <c r="AB43" s="45" t="s">
        <v>232</v>
      </c>
      <c r="AC43" s="45">
        <v>44200.713576388887</v>
      </c>
      <c r="AD43" s="1" t="str">
        <f t="shared" si="1"/>
        <v>HFT0908738</v>
      </c>
    </row>
    <row r="44" spans="1:30" x14ac:dyDescent="0.25">
      <c r="A44" s="45" t="s">
        <v>242</v>
      </c>
      <c r="B44" s="45" t="s">
        <v>167</v>
      </c>
      <c r="C44" s="45" t="s">
        <v>172</v>
      </c>
      <c r="D44" s="45" t="s">
        <v>173</v>
      </c>
      <c r="E44" s="45" t="s">
        <v>14</v>
      </c>
      <c r="F44" s="45" t="s">
        <v>168</v>
      </c>
      <c r="G44" s="45">
        <v>908738</v>
      </c>
      <c r="H44" s="45" t="s">
        <v>169</v>
      </c>
      <c r="I44" s="49">
        <v>44208.81113425926</v>
      </c>
      <c r="J44" s="49">
        <v>44213.183749999997</v>
      </c>
      <c r="K44" s="45">
        <v>120560</v>
      </c>
      <c r="L44" s="45">
        <v>24820</v>
      </c>
      <c r="M44" s="45">
        <v>95740</v>
      </c>
      <c r="N44" s="45" t="s">
        <v>178</v>
      </c>
      <c r="O44" s="50">
        <v>44204.52611111111</v>
      </c>
      <c r="P44" s="45">
        <v>12124</v>
      </c>
      <c r="Q44" s="45">
        <v>1</v>
      </c>
      <c r="R44" s="50">
        <v>44203.653275462966</v>
      </c>
      <c r="S44" s="45" t="s">
        <v>181</v>
      </c>
      <c r="T44" s="45">
        <v>37800</v>
      </c>
      <c r="U44" s="45">
        <v>37800</v>
      </c>
      <c r="V44" s="45">
        <v>13139</v>
      </c>
      <c r="W44" s="45" t="s">
        <v>179</v>
      </c>
      <c r="X44" s="45" t="s">
        <v>172</v>
      </c>
      <c r="Y44" s="45" t="s">
        <v>180</v>
      </c>
      <c r="Z44" s="45" t="s">
        <v>179</v>
      </c>
      <c r="AA44" s="45" t="s">
        <v>172</v>
      </c>
      <c r="AB44" s="45" t="s">
        <v>180</v>
      </c>
      <c r="AC44" s="45">
        <v>44204.52611111111</v>
      </c>
      <c r="AD44" s="1" t="str">
        <f t="shared" si="1"/>
        <v>HFT0908738</v>
      </c>
    </row>
    <row r="45" spans="1:30" x14ac:dyDescent="0.25">
      <c r="A45" s="45" t="s">
        <v>242</v>
      </c>
      <c r="B45" s="45" t="s">
        <v>167</v>
      </c>
      <c r="C45" s="45" t="s">
        <v>172</v>
      </c>
      <c r="D45" s="45" t="s">
        <v>173</v>
      </c>
      <c r="E45" s="45" t="s">
        <v>14</v>
      </c>
      <c r="F45" s="45" t="s">
        <v>168</v>
      </c>
      <c r="G45" s="45">
        <v>908738</v>
      </c>
      <c r="H45" s="45" t="s">
        <v>169</v>
      </c>
      <c r="I45" s="49">
        <v>44208.81113425926</v>
      </c>
      <c r="J45" s="49">
        <v>44213.183749999997</v>
      </c>
      <c r="K45" s="45">
        <v>120560</v>
      </c>
      <c r="L45" s="45">
        <v>24820</v>
      </c>
      <c r="M45" s="45">
        <v>95740</v>
      </c>
      <c r="N45" s="45" t="s">
        <v>178</v>
      </c>
      <c r="O45" s="50">
        <v>44200.812916666669</v>
      </c>
      <c r="P45" s="45">
        <v>12072</v>
      </c>
      <c r="Q45" s="45">
        <v>1</v>
      </c>
      <c r="R45" s="50">
        <v>44198.381493055553</v>
      </c>
      <c r="S45" s="45" t="s">
        <v>233</v>
      </c>
      <c r="T45" s="45">
        <v>50120</v>
      </c>
      <c r="U45" s="45">
        <v>50120</v>
      </c>
      <c r="V45" s="45">
        <v>14838</v>
      </c>
      <c r="W45" s="45" t="s">
        <v>179</v>
      </c>
      <c r="X45" s="45" t="s">
        <v>172</v>
      </c>
      <c r="Y45" s="45" t="s">
        <v>180</v>
      </c>
      <c r="Z45" s="45" t="s">
        <v>179</v>
      </c>
      <c r="AA45" s="45" t="s">
        <v>172</v>
      </c>
      <c r="AB45" s="45" t="s">
        <v>180</v>
      </c>
      <c r="AC45" s="45">
        <v>44200.812916666669</v>
      </c>
      <c r="AD45" s="1" t="str">
        <f t="shared" si="1"/>
        <v>HFT0908738</v>
      </c>
    </row>
    <row r="46" spans="1:30" x14ac:dyDescent="0.25">
      <c r="A46" s="45" t="s">
        <v>242</v>
      </c>
      <c r="B46" s="45" t="s">
        <v>167</v>
      </c>
      <c r="C46" s="45" t="s">
        <v>172</v>
      </c>
      <c r="D46" s="45" t="s">
        <v>173</v>
      </c>
      <c r="E46" s="45" t="s">
        <v>14</v>
      </c>
      <c r="F46" s="45" t="s">
        <v>168</v>
      </c>
      <c r="G46" s="45">
        <v>908738</v>
      </c>
      <c r="H46" s="45" t="s">
        <v>169</v>
      </c>
      <c r="I46" s="49">
        <v>44208.81113425926</v>
      </c>
      <c r="J46" s="49">
        <v>44213.183749999997</v>
      </c>
      <c r="K46" s="45">
        <v>120560</v>
      </c>
      <c r="L46" s="45">
        <v>24820</v>
      </c>
      <c r="M46" s="45">
        <v>95740</v>
      </c>
      <c r="N46" s="45" t="s">
        <v>178</v>
      </c>
      <c r="O46" s="50">
        <v>44201.052685185183</v>
      </c>
      <c r="P46" s="45">
        <v>11982</v>
      </c>
      <c r="Q46" s="45">
        <v>1</v>
      </c>
      <c r="R46" s="50">
        <v>44193.740868055553</v>
      </c>
      <c r="S46" s="45" t="s">
        <v>234</v>
      </c>
      <c r="T46" s="45">
        <v>51340</v>
      </c>
      <c r="U46" s="45">
        <v>51340</v>
      </c>
      <c r="V46" s="45">
        <v>51200</v>
      </c>
      <c r="W46" s="45" t="s">
        <v>179</v>
      </c>
      <c r="X46" s="45" t="s">
        <v>172</v>
      </c>
      <c r="Y46" s="45" t="s">
        <v>180</v>
      </c>
      <c r="Z46" s="45" t="s">
        <v>179</v>
      </c>
      <c r="AA46" s="45" t="s">
        <v>172</v>
      </c>
      <c r="AB46" s="45" t="s">
        <v>180</v>
      </c>
      <c r="AC46" s="45">
        <v>44201.052685185183</v>
      </c>
      <c r="AD46" s="1" t="str">
        <f t="shared" si="1"/>
        <v>HFT0908738</v>
      </c>
    </row>
    <row r="47" spans="1:30" x14ac:dyDescent="0.25">
      <c r="A47" s="45" t="s">
        <v>242</v>
      </c>
      <c r="B47" s="45" t="s">
        <v>167</v>
      </c>
      <c r="C47" s="45" t="s">
        <v>172</v>
      </c>
      <c r="D47" s="45" t="s">
        <v>173</v>
      </c>
      <c r="E47" s="45" t="s">
        <v>14</v>
      </c>
      <c r="F47" s="45" t="s">
        <v>168</v>
      </c>
      <c r="G47" s="45">
        <v>990531</v>
      </c>
      <c r="H47" s="45" t="s">
        <v>169</v>
      </c>
      <c r="I47" s="49">
        <v>44208.777291666665</v>
      </c>
      <c r="J47" s="49">
        <v>44213.183749999997</v>
      </c>
      <c r="K47" s="45">
        <v>125320</v>
      </c>
      <c r="L47" s="45">
        <v>30305</v>
      </c>
      <c r="M47" s="45">
        <v>95015</v>
      </c>
      <c r="N47" s="45" t="s">
        <v>182</v>
      </c>
      <c r="O47" s="50">
        <v>44200.763437499998</v>
      </c>
      <c r="P47" s="45">
        <v>12789</v>
      </c>
      <c r="Q47" s="45">
        <v>1</v>
      </c>
      <c r="R47" s="50">
        <v>44194.614606481482</v>
      </c>
      <c r="S47" s="45" t="s">
        <v>217</v>
      </c>
      <c r="T47" s="45">
        <v>47580</v>
      </c>
      <c r="U47" s="45">
        <v>47580</v>
      </c>
      <c r="V47" s="45">
        <v>21998</v>
      </c>
      <c r="W47" s="45" t="s">
        <v>183</v>
      </c>
      <c r="X47" s="45" t="s">
        <v>172</v>
      </c>
      <c r="Y47" s="45" t="s">
        <v>184</v>
      </c>
      <c r="Z47" s="45" t="s">
        <v>183</v>
      </c>
      <c r="AA47" s="45" t="s">
        <v>172</v>
      </c>
      <c r="AB47" s="45" t="s">
        <v>184</v>
      </c>
      <c r="AC47" s="45">
        <v>44200.763437499998</v>
      </c>
      <c r="AD47" s="1" t="str">
        <f t="shared" si="1"/>
        <v>HFT0990531</v>
      </c>
    </row>
    <row r="48" spans="1:30" x14ac:dyDescent="0.25">
      <c r="A48" s="45" t="s">
        <v>242</v>
      </c>
      <c r="B48" s="45" t="s">
        <v>167</v>
      </c>
      <c r="C48" s="45" t="s">
        <v>172</v>
      </c>
      <c r="D48" s="45" t="s">
        <v>173</v>
      </c>
      <c r="E48" s="45" t="s">
        <v>14</v>
      </c>
      <c r="F48" s="45" t="s">
        <v>168</v>
      </c>
      <c r="G48" s="45">
        <v>990531</v>
      </c>
      <c r="H48" s="45" t="s">
        <v>169</v>
      </c>
      <c r="I48" s="49">
        <v>44208.777291666665</v>
      </c>
      <c r="J48" s="49">
        <v>44213.183749999997</v>
      </c>
      <c r="K48" s="45">
        <v>125320</v>
      </c>
      <c r="L48" s="45">
        <v>30305</v>
      </c>
      <c r="M48" s="45">
        <v>95015</v>
      </c>
      <c r="N48" s="45" t="s">
        <v>182</v>
      </c>
      <c r="O48" s="50">
        <v>44200.42396990741</v>
      </c>
      <c r="P48" s="45">
        <v>12781</v>
      </c>
      <c r="Q48" s="45">
        <v>1</v>
      </c>
      <c r="R48" s="50">
        <v>44193.935162037036</v>
      </c>
      <c r="S48" s="45" t="s">
        <v>235</v>
      </c>
      <c r="T48" s="45">
        <v>46720</v>
      </c>
      <c r="U48" s="45">
        <v>46720</v>
      </c>
      <c r="V48" s="45">
        <v>46710</v>
      </c>
      <c r="W48" s="45" t="s">
        <v>183</v>
      </c>
      <c r="X48" s="45" t="s">
        <v>172</v>
      </c>
      <c r="Y48" s="45" t="s">
        <v>184</v>
      </c>
      <c r="Z48" s="45" t="s">
        <v>183</v>
      </c>
      <c r="AA48" s="45" t="s">
        <v>172</v>
      </c>
      <c r="AB48" s="45" t="s">
        <v>184</v>
      </c>
      <c r="AC48" s="45">
        <v>44200.42396990741</v>
      </c>
      <c r="AD48" s="1" t="str">
        <f t="shared" si="1"/>
        <v>HFT0990531</v>
      </c>
    </row>
    <row r="49" spans="1:30" x14ac:dyDescent="0.25">
      <c r="A49" s="45" t="s">
        <v>242</v>
      </c>
      <c r="B49" s="45" t="s">
        <v>167</v>
      </c>
      <c r="C49" s="45" t="s">
        <v>172</v>
      </c>
      <c r="D49" s="45" t="s">
        <v>173</v>
      </c>
      <c r="E49" s="45" t="s">
        <v>14</v>
      </c>
      <c r="F49" s="45" t="s">
        <v>168</v>
      </c>
      <c r="G49" s="45">
        <v>990531</v>
      </c>
      <c r="H49" s="45" t="s">
        <v>169</v>
      </c>
      <c r="I49" s="49">
        <v>44208.777291666665</v>
      </c>
      <c r="J49" s="49">
        <v>44213.183749999997</v>
      </c>
      <c r="K49" s="45">
        <v>125320</v>
      </c>
      <c r="L49" s="45">
        <v>30305</v>
      </c>
      <c r="M49" s="45">
        <v>95015</v>
      </c>
      <c r="N49" s="45" t="s">
        <v>182</v>
      </c>
      <c r="O49" s="50">
        <v>44199.849166666667</v>
      </c>
      <c r="P49" s="45">
        <v>12780</v>
      </c>
      <c r="Q49" s="45">
        <v>1</v>
      </c>
      <c r="R49" s="50">
        <v>44193.93310185185</v>
      </c>
      <c r="S49" s="45" t="s">
        <v>211</v>
      </c>
      <c r="T49" s="45">
        <v>47280</v>
      </c>
      <c r="U49" s="45">
        <v>47280</v>
      </c>
      <c r="V49" s="45">
        <v>26307</v>
      </c>
      <c r="W49" s="45" t="s">
        <v>183</v>
      </c>
      <c r="X49" s="45" t="s">
        <v>172</v>
      </c>
      <c r="Y49" s="45" t="s">
        <v>184</v>
      </c>
      <c r="Z49" s="45" t="s">
        <v>183</v>
      </c>
      <c r="AA49" s="45" t="s">
        <v>172</v>
      </c>
      <c r="AB49" s="45" t="s">
        <v>184</v>
      </c>
      <c r="AC49" s="45">
        <v>44199.849166666667</v>
      </c>
      <c r="AD49" s="1" t="str">
        <f t="shared" si="1"/>
        <v>HFT0990531</v>
      </c>
    </row>
    <row r="50" spans="1:30" x14ac:dyDescent="0.25">
      <c r="A50" s="45" t="s">
        <v>242</v>
      </c>
      <c r="B50" s="45" t="s">
        <v>167</v>
      </c>
      <c r="C50" s="45" t="s">
        <v>172</v>
      </c>
      <c r="D50" s="45" t="s">
        <v>173</v>
      </c>
      <c r="E50" s="45" t="s">
        <v>14</v>
      </c>
      <c r="F50" s="45" t="s">
        <v>168</v>
      </c>
      <c r="G50" s="45">
        <v>8400512</v>
      </c>
      <c r="H50" s="45" t="s">
        <v>174</v>
      </c>
      <c r="I50" s="49">
        <v>44208.764884259261</v>
      </c>
      <c r="J50" s="49">
        <v>44213.183749999997</v>
      </c>
      <c r="K50" s="45">
        <v>125240</v>
      </c>
      <c r="L50" s="45">
        <v>28681</v>
      </c>
      <c r="M50" s="45">
        <v>96559</v>
      </c>
      <c r="N50" s="45" t="s">
        <v>182</v>
      </c>
      <c r="O50" s="50">
        <v>44198.962187500001</v>
      </c>
      <c r="P50" s="45">
        <v>12811</v>
      </c>
      <c r="Q50" s="45">
        <v>1</v>
      </c>
      <c r="R50" s="50">
        <v>44195.002696759257</v>
      </c>
      <c r="S50" s="45" t="s">
        <v>236</v>
      </c>
      <c r="T50" s="45">
        <v>49880</v>
      </c>
      <c r="U50" s="45">
        <v>49880</v>
      </c>
      <c r="V50" s="45">
        <v>49770</v>
      </c>
      <c r="W50" s="45" t="s">
        <v>183</v>
      </c>
      <c r="X50" s="45" t="s">
        <v>172</v>
      </c>
      <c r="Y50" s="45" t="s">
        <v>184</v>
      </c>
      <c r="Z50" s="45" t="s">
        <v>183</v>
      </c>
      <c r="AA50" s="45" t="s">
        <v>172</v>
      </c>
      <c r="AB50" s="45" t="s">
        <v>184</v>
      </c>
      <c r="AC50" s="45">
        <v>44198.962187500001</v>
      </c>
      <c r="AD50" s="1" t="str">
        <f t="shared" si="1"/>
        <v>HPT8400512</v>
      </c>
    </row>
    <row r="51" spans="1:30" x14ac:dyDescent="0.25">
      <c r="A51" s="45" t="s">
        <v>242</v>
      </c>
      <c r="B51" s="45" t="s">
        <v>167</v>
      </c>
      <c r="C51" s="45" t="s">
        <v>172</v>
      </c>
      <c r="D51" s="45" t="s">
        <v>173</v>
      </c>
      <c r="E51" s="45" t="s">
        <v>14</v>
      </c>
      <c r="F51" s="45" t="s">
        <v>168</v>
      </c>
      <c r="G51" s="45">
        <v>8400512</v>
      </c>
      <c r="H51" s="45" t="s">
        <v>174</v>
      </c>
      <c r="I51" s="49">
        <v>44208.764884259261</v>
      </c>
      <c r="J51" s="49">
        <v>44213.183749999997</v>
      </c>
      <c r="K51" s="45">
        <v>125240</v>
      </c>
      <c r="L51" s="45">
        <v>28681</v>
      </c>
      <c r="M51" s="45">
        <v>96559</v>
      </c>
      <c r="N51" s="45" t="s">
        <v>182</v>
      </c>
      <c r="O51" s="50">
        <v>44198.954282407409</v>
      </c>
      <c r="P51" s="45">
        <v>12795</v>
      </c>
      <c r="Q51" s="45">
        <v>1</v>
      </c>
      <c r="R51" s="50">
        <v>44194.678217592591</v>
      </c>
      <c r="S51" s="45" t="s">
        <v>226</v>
      </c>
      <c r="T51" s="45">
        <v>38140</v>
      </c>
      <c r="U51" s="45">
        <v>38140</v>
      </c>
      <c r="V51" s="45">
        <v>32872</v>
      </c>
      <c r="W51" s="45" t="s">
        <v>183</v>
      </c>
      <c r="X51" s="45" t="s">
        <v>172</v>
      </c>
      <c r="Y51" s="45" t="s">
        <v>184</v>
      </c>
      <c r="Z51" s="45" t="s">
        <v>183</v>
      </c>
      <c r="AA51" s="45" t="s">
        <v>172</v>
      </c>
      <c r="AB51" s="45" t="s">
        <v>184</v>
      </c>
      <c r="AC51" s="45">
        <v>44198.954282407409</v>
      </c>
      <c r="AD51" s="1" t="str">
        <f t="shared" si="1"/>
        <v>HPT8400512</v>
      </c>
    </row>
    <row r="52" spans="1:30" x14ac:dyDescent="0.25">
      <c r="A52" s="45" t="s">
        <v>242</v>
      </c>
      <c r="B52" s="45" t="s">
        <v>167</v>
      </c>
      <c r="C52" s="45" t="s">
        <v>172</v>
      </c>
      <c r="D52" s="45" t="s">
        <v>173</v>
      </c>
      <c r="E52" s="45" t="s">
        <v>14</v>
      </c>
      <c r="F52" s="45" t="s">
        <v>168</v>
      </c>
      <c r="G52" s="45">
        <v>8400512</v>
      </c>
      <c r="H52" s="45" t="s">
        <v>174</v>
      </c>
      <c r="I52" s="49">
        <v>44208.764884259261</v>
      </c>
      <c r="J52" s="49">
        <v>44213.183749999997</v>
      </c>
      <c r="K52" s="45">
        <v>125240</v>
      </c>
      <c r="L52" s="45">
        <v>28681</v>
      </c>
      <c r="M52" s="45">
        <v>96559</v>
      </c>
      <c r="N52" s="45" t="s">
        <v>182</v>
      </c>
      <c r="O52" s="50">
        <v>44199.343969907408</v>
      </c>
      <c r="P52" s="45">
        <v>12797</v>
      </c>
      <c r="Q52" s="45">
        <v>1</v>
      </c>
      <c r="R52" s="50">
        <v>44194.762060185189</v>
      </c>
      <c r="S52" s="45" t="s">
        <v>209</v>
      </c>
      <c r="T52" s="45">
        <v>50400</v>
      </c>
      <c r="U52" s="45">
        <v>50400</v>
      </c>
      <c r="V52" s="45">
        <v>13917</v>
      </c>
      <c r="W52" s="45" t="s">
        <v>183</v>
      </c>
      <c r="X52" s="45" t="s">
        <v>172</v>
      </c>
      <c r="Y52" s="45" t="s">
        <v>184</v>
      </c>
      <c r="Z52" s="45" t="s">
        <v>183</v>
      </c>
      <c r="AA52" s="45" t="s">
        <v>172</v>
      </c>
      <c r="AB52" s="45" t="s">
        <v>184</v>
      </c>
      <c r="AC52" s="45">
        <v>44199.343969907408</v>
      </c>
      <c r="AD52" s="1" t="str">
        <f t="shared" si="1"/>
        <v>HPT8400512</v>
      </c>
    </row>
    <row r="53" spans="1:30" x14ac:dyDescent="0.25">
      <c r="A53" s="45" t="s">
        <v>242</v>
      </c>
      <c r="B53" s="45" t="s">
        <v>167</v>
      </c>
      <c r="C53" s="45" t="s">
        <v>172</v>
      </c>
      <c r="D53" s="45" t="s">
        <v>173</v>
      </c>
      <c r="E53" s="45" t="s">
        <v>14</v>
      </c>
      <c r="F53" s="45" t="s">
        <v>168</v>
      </c>
      <c r="G53" s="45">
        <v>8404518</v>
      </c>
      <c r="H53" s="45" t="s">
        <v>174</v>
      </c>
      <c r="I53" s="49">
        <v>44208.755486111113</v>
      </c>
      <c r="J53" s="49">
        <v>44213.183749999997</v>
      </c>
      <c r="K53" s="45">
        <v>125200</v>
      </c>
      <c r="L53" s="45">
        <v>28560</v>
      </c>
      <c r="M53" s="45">
        <v>96640</v>
      </c>
      <c r="N53" s="45" t="s">
        <v>175</v>
      </c>
      <c r="O53" s="50">
        <v>44203.86990740741</v>
      </c>
      <c r="P53" s="45">
        <v>30575</v>
      </c>
      <c r="Q53" s="45">
        <v>1</v>
      </c>
      <c r="R53" s="50">
        <v>44201.617314814815</v>
      </c>
      <c r="S53" s="45" t="s">
        <v>237</v>
      </c>
      <c r="T53" s="45">
        <v>50610</v>
      </c>
      <c r="U53" s="45">
        <v>50610</v>
      </c>
      <c r="V53" s="45">
        <v>50540</v>
      </c>
      <c r="W53" s="45" t="s">
        <v>176</v>
      </c>
      <c r="X53" s="45" t="s">
        <v>172</v>
      </c>
      <c r="Y53" s="45" t="s">
        <v>177</v>
      </c>
      <c r="Z53" s="45" t="s">
        <v>176</v>
      </c>
      <c r="AA53" s="45" t="s">
        <v>172</v>
      </c>
      <c r="AB53" s="45" t="s">
        <v>177</v>
      </c>
      <c r="AC53" s="45">
        <v>44203.86990740741</v>
      </c>
      <c r="AD53" s="1" t="str">
        <f t="shared" si="1"/>
        <v>HPT8404518</v>
      </c>
    </row>
    <row r="54" spans="1:30" x14ac:dyDescent="0.25">
      <c r="A54" s="45" t="s">
        <v>242</v>
      </c>
      <c r="B54" s="45" t="s">
        <v>167</v>
      </c>
      <c r="C54" s="45" t="s">
        <v>172</v>
      </c>
      <c r="D54" s="45" t="s">
        <v>173</v>
      </c>
      <c r="E54" s="45" t="s">
        <v>14</v>
      </c>
      <c r="F54" s="45" t="s">
        <v>168</v>
      </c>
      <c r="G54" s="45">
        <v>8404518</v>
      </c>
      <c r="H54" s="45" t="s">
        <v>174</v>
      </c>
      <c r="I54" s="49">
        <v>44208.755486111113</v>
      </c>
      <c r="J54" s="49">
        <v>44213.183749999997</v>
      </c>
      <c r="K54" s="45">
        <v>125200</v>
      </c>
      <c r="L54" s="45">
        <v>28560</v>
      </c>
      <c r="M54" s="45">
        <v>96640</v>
      </c>
      <c r="N54" s="45" t="s">
        <v>175</v>
      </c>
      <c r="O54" s="50">
        <v>44203.885960648149</v>
      </c>
      <c r="P54" s="45">
        <v>30577</v>
      </c>
      <c r="Q54" s="45">
        <v>1</v>
      </c>
      <c r="R54" s="50">
        <v>44201.699618055558</v>
      </c>
      <c r="S54" s="45" t="s">
        <v>214</v>
      </c>
      <c r="T54" s="45">
        <v>50410</v>
      </c>
      <c r="U54" s="45">
        <v>50410</v>
      </c>
      <c r="V54" s="45">
        <v>45669</v>
      </c>
      <c r="W54" s="45" t="s">
        <v>176</v>
      </c>
      <c r="X54" s="45" t="s">
        <v>172</v>
      </c>
      <c r="Y54" s="45" t="s">
        <v>177</v>
      </c>
      <c r="Z54" s="45" t="s">
        <v>176</v>
      </c>
      <c r="AA54" s="45" t="s">
        <v>172</v>
      </c>
      <c r="AB54" s="45" t="s">
        <v>177</v>
      </c>
      <c r="AC54" s="45">
        <v>44203.885960648149</v>
      </c>
      <c r="AD54" s="1" t="str">
        <f t="shared" si="1"/>
        <v>HPT8404518</v>
      </c>
    </row>
    <row r="55" spans="1:30" x14ac:dyDescent="0.25">
      <c r="A55" s="45" t="s">
        <v>242</v>
      </c>
      <c r="B55" s="45" t="s">
        <v>167</v>
      </c>
      <c r="C55" s="45" t="s">
        <v>172</v>
      </c>
      <c r="D55" s="45" t="s">
        <v>173</v>
      </c>
      <c r="E55" s="45" t="s">
        <v>14</v>
      </c>
      <c r="F55" s="45" t="s">
        <v>168</v>
      </c>
      <c r="G55" s="45">
        <v>8404518</v>
      </c>
      <c r="H55" s="45" t="s">
        <v>174</v>
      </c>
      <c r="I55" s="49">
        <v>44208.755486111113</v>
      </c>
      <c r="J55" s="49">
        <v>44213.183749999997</v>
      </c>
      <c r="K55" s="45">
        <v>125200</v>
      </c>
      <c r="L55" s="45">
        <v>28560</v>
      </c>
      <c r="M55" s="45">
        <v>96640</v>
      </c>
      <c r="N55" s="45" t="s">
        <v>175</v>
      </c>
      <c r="O55" s="50">
        <v>44201.878842592596</v>
      </c>
      <c r="P55" s="45">
        <v>30408</v>
      </c>
      <c r="Q55" s="45">
        <v>1</v>
      </c>
      <c r="R55" s="50">
        <v>44186.454988425925</v>
      </c>
      <c r="S55" s="45" t="s">
        <v>238</v>
      </c>
      <c r="T55" s="45">
        <v>49640</v>
      </c>
      <c r="U55" s="45">
        <v>49640</v>
      </c>
      <c r="V55" s="45">
        <v>431</v>
      </c>
      <c r="W55" s="45" t="s">
        <v>176</v>
      </c>
      <c r="X55" s="45" t="s">
        <v>172</v>
      </c>
      <c r="Y55" s="45" t="s">
        <v>177</v>
      </c>
      <c r="Z55" s="45" t="s">
        <v>176</v>
      </c>
      <c r="AA55" s="45" t="s">
        <v>172</v>
      </c>
      <c r="AB55" s="45" t="s">
        <v>177</v>
      </c>
      <c r="AC55" s="45">
        <v>44201.878842592596</v>
      </c>
      <c r="AD55" s="1" t="str">
        <f t="shared" si="1"/>
        <v>HPT8404518</v>
      </c>
    </row>
    <row r="56" spans="1:30" x14ac:dyDescent="0.25">
      <c r="A56" s="45" t="s">
        <v>242</v>
      </c>
      <c r="B56" s="45" t="s">
        <v>167</v>
      </c>
      <c r="C56" s="45" t="s">
        <v>172</v>
      </c>
      <c r="D56" s="45" t="s">
        <v>173</v>
      </c>
      <c r="E56" s="45" t="s">
        <v>14</v>
      </c>
      <c r="F56" s="45" t="s">
        <v>168</v>
      </c>
      <c r="G56" s="45">
        <v>8419221</v>
      </c>
      <c r="H56" s="45" t="s">
        <v>169</v>
      </c>
      <c r="I56" s="49">
        <v>44208.794583333336</v>
      </c>
      <c r="J56" s="49">
        <v>44213.183749999997</v>
      </c>
      <c r="K56" s="45">
        <v>125350</v>
      </c>
      <c r="L56" s="45">
        <v>30990</v>
      </c>
      <c r="M56" s="45">
        <v>94360</v>
      </c>
      <c r="N56" s="45" t="s">
        <v>178</v>
      </c>
      <c r="O56" s="50">
        <v>44200.399375000001</v>
      </c>
      <c r="P56" s="45">
        <v>12076</v>
      </c>
      <c r="Q56" s="45">
        <v>1</v>
      </c>
      <c r="R56" s="50">
        <v>44198.389062499999</v>
      </c>
      <c r="S56" s="45" t="s">
        <v>221</v>
      </c>
      <c r="T56" s="45">
        <v>49340</v>
      </c>
      <c r="U56" s="45">
        <v>49340</v>
      </c>
      <c r="V56" s="45">
        <v>20653</v>
      </c>
      <c r="W56" s="45" t="s">
        <v>179</v>
      </c>
      <c r="X56" s="45" t="s">
        <v>172</v>
      </c>
      <c r="Y56" s="45" t="s">
        <v>180</v>
      </c>
      <c r="Z56" s="45" t="s">
        <v>179</v>
      </c>
      <c r="AA56" s="45" t="s">
        <v>172</v>
      </c>
      <c r="AB56" s="45" t="s">
        <v>180</v>
      </c>
      <c r="AC56" s="45">
        <v>44200.399375000001</v>
      </c>
      <c r="AD56" s="1" t="str">
        <f t="shared" si="1"/>
        <v>HFT8419221</v>
      </c>
    </row>
    <row r="57" spans="1:30" x14ac:dyDescent="0.25">
      <c r="A57" s="45" t="s">
        <v>242</v>
      </c>
      <c r="B57" s="45" t="s">
        <v>167</v>
      </c>
      <c r="C57" s="45" t="s">
        <v>172</v>
      </c>
      <c r="D57" s="45" t="s">
        <v>173</v>
      </c>
      <c r="E57" s="45" t="s">
        <v>14</v>
      </c>
      <c r="F57" s="45" t="s">
        <v>168</v>
      </c>
      <c r="G57" s="45">
        <v>8419221</v>
      </c>
      <c r="H57" s="45" t="s">
        <v>169</v>
      </c>
      <c r="I57" s="49">
        <v>44208.794583333336</v>
      </c>
      <c r="J57" s="49">
        <v>44213.183749999997</v>
      </c>
      <c r="K57" s="45">
        <v>125350</v>
      </c>
      <c r="L57" s="45">
        <v>30990</v>
      </c>
      <c r="M57" s="45">
        <v>94360</v>
      </c>
      <c r="N57" s="45" t="s">
        <v>178</v>
      </c>
      <c r="O57" s="50">
        <v>44200.448263888888</v>
      </c>
      <c r="P57" s="45">
        <v>12078</v>
      </c>
      <c r="Q57" s="45">
        <v>1</v>
      </c>
      <c r="R57" s="50">
        <v>44198.419907407406</v>
      </c>
      <c r="S57" s="45" t="s">
        <v>239</v>
      </c>
      <c r="T57" s="45">
        <v>50620</v>
      </c>
      <c r="U57" s="45">
        <v>50620</v>
      </c>
      <c r="V57" s="45">
        <v>50520</v>
      </c>
      <c r="W57" s="45" t="s">
        <v>179</v>
      </c>
      <c r="X57" s="45" t="s">
        <v>172</v>
      </c>
      <c r="Y57" s="45" t="s">
        <v>180</v>
      </c>
      <c r="Z57" s="45" t="s">
        <v>179</v>
      </c>
      <c r="AA57" s="45" t="s">
        <v>172</v>
      </c>
      <c r="AB57" s="45" t="s">
        <v>180</v>
      </c>
      <c r="AC57" s="45">
        <v>44200.448263888888</v>
      </c>
      <c r="AD57" s="1" t="str">
        <f t="shared" si="1"/>
        <v>HFT8419221</v>
      </c>
    </row>
    <row r="58" spans="1:30" x14ac:dyDescent="0.25">
      <c r="A58" s="45" t="s">
        <v>242</v>
      </c>
      <c r="B58" s="45" t="s">
        <v>167</v>
      </c>
      <c r="C58" s="45" t="s">
        <v>172</v>
      </c>
      <c r="D58" s="45" t="s">
        <v>173</v>
      </c>
      <c r="E58" s="45" t="s">
        <v>14</v>
      </c>
      <c r="F58" s="45" t="s">
        <v>168</v>
      </c>
      <c r="G58" s="45">
        <v>8419221</v>
      </c>
      <c r="H58" s="45" t="s">
        <v>169</v>
      </c>
      <c r="I58" s="49">
        <v>44208.794583333336</v>
      </c>
      <c r="J58" s="49">
        <v>44213.183749999997</v>
      </c>
      <c r="K58" s="45">
        <v>125350</v>
      </c>
      <c r="L58" s="45">
        <v>30990</v>
      </c>
      <c r="M58" s="45">
        <v>94360</v>
      </c>
      <c r="N58" s="45" t="s">
        <v>178</v>
      </c>
      <c r="O58" s="50">
        <v>44200.454108796293</v>
      </c>
      <c r="P58" s="45">
        <v>11984</v>
      </c>
      <c r="Q58" s="45">
        <v>1</v>
      </c>
      <c r="R58" s="50">
        <v>44193.77076388889</v>
      </c>
      <c r="S58" s="45" t="s">
        <v>225</v>
      </c>
      <c r="T58" s="45">
        <v>50200</v>
      </c>
      <c r="U58" s="45">
        <v>50200</v>
      </c>
      <c r="V58" s="45">
        <v>23187</v>
      </c>
      <c r="W58" s="45" t="s">
        <v>179</v>
      </c>
      <c r="X58" s="45" t="s">
        <v>172</v>
      </c>
      <c r="Y58" s="45" t="s">
        <v>180</v>
      </c>
      <c r="Z58" s="45" t="s">
        <v>179</v>
      </c>
      <c r="AA58" s="45" t="s">
        <v>172</v>
      </c>
      <c r="AB58" s="45" t="s">
        <v>180</v>
      </c>
      <c r="AC58" s="45">
        <v>44200.454108796293</v>
      </c>
      <c r="AD58" s="1" t="str">
        <f t="shared" si="1"/>
        <v>HFT8419221</v>
      </c>
    </row>
    <row r="59" spans="1:30" x14ac:dyDescent="0.25">
      <c r="A59" s="45" t="s">
        <v>242</v>
      </c>
      <c r="B59" s="45" t="s">
        <v>167</v>
      </c>
      <c r="C59" s="45" t="s">
        <v>172</v>
      </c>
      <c r="D59" s="45" t="s">
        <v>173</v>
      </c>
      <c r="E59" s="45" t="s">
        <v>14</v>
      </c>
      <c r="F59" s="45" t="s">
        <v>168</v>
      </c>
      <c r="G59" s="45">
        <v>8448922</v>
      </c>
      <c r="H59" s="45" t="s">
        <v>174</v>
      </c>
      <c r="I59" s="49">
        <v>44208.802268518521</v>
      </c>
      <c r="J59" s="49">
        <v>44213.183749999997</v>
      </c>
      <c r="K59" s="45">
        <v>125220</v>
      </c>
      <c r="L59" s="45">
        <v>28823</v>
      </c>
      <c r="M59" s="45">
        <v>96397</v>
      </c>
      <c r="N59" s="45" t="s">
        <v>178</v>
      </c>
      <c r="O59" s="50">
        <v>44200.809421296297</v>
      </c>
      <c r="P59" s="45">
        <v>12074</v>
      </c>
      <c r="Q59" s="45">
        <v>1</v>
      </c>
      <c r="R59" s="50">
        <v>44198.383831018517</v>
      </c>
      <c r="S59" s="45" t="s">
        <v>240</v>
      </c>
      <c r="T59" s="45">
        <v>49700</v>
      </c>
      <c r="U59" s="45">
        <v>49700</v>
      </c>
      <c r="V59" s="45">
        <v>49570</v>
      </c>
      <c r="W59" s="45" t="s">
        <v>179</v>
      </c>
      <c r="X59" s="45" t="s">
        <v>172</v>
      </c>
      <c r="Y59" s="45" t="s">
        <v>180</v>
      </c>
      <c r="Z59" s="45" t="s">
        <v>179</v>
      </c>
      <c r="AA59" s="45" t="s">
        <v>172</v>
      </c>
      <c r="AB59" s="45" t="s">
        <v>180</v>
      </c>
      <c r="AC59" s="45">
        <v>44200.809421296297</v>
      </c>
      <c r="AD59" s="1" t="str">
        <f t="shared" si="1"/>
        <v>HPT8448922</v>
      </c>
    </row>
    <row r="60" spans="1:30" x14ac:dyDescent="0.25">
      <c r="A60" s="45" t="s">
        <v>242</v>
      </c>
      <c r="B60" s="45" t="s">
        <v>167</v>
      </c>
      <c r="C60" s="45" t="s">
        <v>172</v>
      </c>
      <c r="D60" s="45" t="s">
        <v>173</v>
      </c>
      <c r="E60" s="45" t="s">
        <v>14</v>
      </c>
      <c r="F60" s="45" t="s">
        <v>168</v>
      </c>
      <c r="G60" s="45">
        <v>8448922</v>
      </c>
      <c r="H60" s="45" t="s">
        <v>174</v>
      </c>
      <c r="I60" s="49">
        <v>44208.802268518521</v>
      </c>
      <c r="J60" s="49">
        <v>44213.183749999997</v>
      </c>
      <c r="K60" s="45">
        <v>125220</v>
      </c>
      <c r="L60" s="45">
        <v>28823</v>
      </c>
      <c r="M60" s="45">
        <v>96397</v>
      </c>
      <c r="N60" s="45" t="s">
        <v>178</v>
      </c>
      <c r="O60" s="50">
        <v>44200.812916666669</v>
      </c>
      <c r="P60" s="45">
        <v>12072</v>
      </c>
      <c r="Q60" s="45">
        <v>1</v>
      </c>
      <c r="R60" s="50">
        <v>44198.381493055553</v>
      </c>
      <c r="S60" s="45" t="s">
        <v>233</v>
      </c>
      <c r="T60" s="45">
        <v>50120</v>
      </c>
      <c r="U60" s="45">
        <v>50120</v>
      </c>
      <c r="V60" s="45">
        <v>35182</v>
      </c>
      <c r="W60" s="45" t="s">
        <v>179</v>
      </c>
      <c r="X60" s="45" t="s">
        <v>172</v>
      </c>
      <c r="Y60" s="45" t="s">
        <v>180</v>
      </c>
      <c r="Z60" s="45" t="s">
        <v>179</v>
      </c>
      <c r="AA60" s="45" t="s">
        <v>172</v>
      </c>
      <c r="AB60" s="45" t="s">
        <v>180</v>
      </c>
      <c r="AC60" s="45">
        <v>44200.812916666669</v>
      </c>
      <c r="AD60" s="1" t="str">
        <f t="shared" si="1"/>
        <v>HPT8448922</v>
      </c>
    </row>
    <row r="61" spans="1:30" x14ac:dyDescent="0.25">
      <c r="A61" s="45" t="s">
        <v>242</v>
      </c>
      <c r="B61" s="45" t="s">
        <v>167</v>
      </c>
      <c r="C61" s="45" t="s">
        <v>172</v>
      </c>
      <c r="D61" s="45" t="s">
        <v>173</v>
      </c>
      <c r="E61" s="45" t="s">
        <v>14</v>
      </c>
      <c r="F61" s="45" t="s">
        <v>168</v>
      </c>
      <c r="G61" s="45">
        <v>8448922</v>
      </c>
      <c r="H61" s="45" t="s">
        <v>174</v>
      </c>
      <c r="I61" s="49">
        <v>44208.802268518521</v>
      </c>
      <c r="J61" s="49">
        <v>44213.183749999997</v>
      </c>
      <c r="K61" s="45">
        <v>125220</v>
      </c>
      <c r="L61" s="45">
        <v>28823</v>
      </c>
      <c r="M61" s="45">
        <v>96397</v>
      </c>
      <c r="N61" s="45" t="s">
        <v>178</v>
      </c>
      <c r="O61" s="50">
        <v>44200.601435185185</v>
      </c>
      <c r="P61" s="45">
        <v>12075</v>
      </c>
      <c r="Q61" s="45">
        <v>1</v>
      </c>
      <c r="R61" s="50">
        <v>44198.387407407405</v>
      </c>
      <c r="S61" s="45" t="s">
        <v>223</v>
      </c>
      <c r="T61" s="45">
        <v>49960</v>
      </c>
      <c r="U61" s="45">
        <v>49960</v>
      </c>
      <c r="V61" s="45">
        <v>11645</v>
      </c>
      <c r="W61" s="45" t="s">
        <v>179</v>
      </c>
      <c r="X61" s="45" t="s">
        <v>172</v>
      </c>
      <c r="Y61" s="45" t="s">
        <v>180</v>
      </c>
      <c r="Z61" s="45" t="s">
        <v>179</v>
      </c>
      <c r="AA61" s="45" t="s">
        <v>172</v>
      </c>
      <c r="AB61" s="45" t="s">
        <v>180</v>
      </c>
      <c r="AC61" s="45">
        <v>44200.601435185185</v>
      </c>
      <c r="AD61" s="1" t="str">
        <f t="shared" si="1"/>
        <v>HPT8448922</v>
      </c>
    </row>
    <row r="62" spans="1:30" x14ac:dyDescent="0.25">
      <c r="A62" s="45" t="s">
        <v>242</v>
      </c>
      <c r="B62" s="45" t="s">
        <v>167</v>
      </c>
      <c r="C62" s="45" t="s">
        <v>172</v>
      </c>
      <c r="D62" s="45" t="s">
        <v>173</v>
      </c>
      <c r="E62" s="45" t="s">
        <v>14</v>
      </c>
      <c r="F62" s="45" t="s">
        <v>168</v>
      </c>
      <c r="G62" s="45">
        <v>8443904</v>
      </c>
      <c r="H62" s="45" t="s">
        <v>174</v>
      </c>
      <c r="I62" s="49">
        <v>44208.749606481484</v>
      </c>
      <c r="J62" s="49">
        <v>44213.183622685188</v>
      </c>
      <c r="K62" s="45">
        <v>125200</v>
      </c>
      <c r="L62" s="45">
        <v>29100</v>
      </c>
      <c r="M62" s="45">
        <v>96100</v>
      </c>
      <c r="N62" s="45" t="s">
        <v>175</v>
      </c>
      <c r="O62" s="50">
        <v>44201.878842592596</v>
      </c>
      <c r="P62" s="45">
        <v>30408</v>
      </c>
      <c r="Q62" s="45">
        <v>1</v>
      </c>
      <c r="R62" s="50">
        <v>44186.454988425925</v>
      </c>
      <c r="S62" s="45" t="s">
        <v>238</v>
      </c>
      <c r="T62" s="45">
        <v>49640</v>
      </c>
      <c r="U62" s="45">
        <v>49640</v>
      </c>
      <c r="V62" s="45">
        <v>48949</v>
      </c>
      <c r="W62" s="45" t="s">
        <v>176</v>
      </c>
      <c r="X62" s="45" t="s">
        <v>172</v>
      </c>
      <c r="Y62" s="45" t="s">
        <v>177</v>
      </c>
      <c r="Z62" s="45" t="s">
        <v>176</v>
      </c>
      <c r="AA62" s="45" t="s">
        <v>172</v>
      </c>
      <c r="AB62" s="45" t="s">
        <v>177</v>
      </c>
      <c r="AC62" s="45">
        <v>44201.878842592596</v>
      </c>
      <c r="AD62" s="1" t="str">
        <f t="shared" si="1"/>
        <v>HPT8443904</v>
      </c>
    </row>
    <row r="63" spans="1:30" x14ac:dyDescent="0.25">
      <c r="O63" s="42"/>
      <c r="R63" s="42"/>
      <c r="AC63" s="42"/>
    </row>
    <row r="64" spans="1:30" x14ac:dyDescent="0.25">
      <c r="O64" s="42"/>
      <c r="R64" s="42"/>
      <c r="AC64" s="42"/>
    </row>
    <row r="65" spans="15:29" x14ac:dyDescent="0.25">
      <c r="O65" s="42"/>
      <c r="R65" s="42"/>
      <c r="AC65" s="42"/>
    </row>
    <row r="66" spans="15:29" x14ac:dyDescent="0.25">
      <c r="O66" s="42"/>
      <c r="R66" s="42"/>
      <c r="AC66" s="42"/>
    </row>
    <row r="67" spans="15:29" x14ac:dyDescent="0.25">
      <c r="O67" s="42"/>
      <c r="R67" s="42"/>
      <c r="AC67" s="42"/>
    </row>
    <row r="68" spans="15:29" x14ac:dyDescent="0.25">
      <c r="O68" s="42"/>
      <c r="R68" s="42"/>
      <c r="AC68" s="42"/>
    </row>
    <row r="69" spans="15:29" x14ac:dyDescent="0.25">
      <c r="O69" s="42"/>
      <c r="R69" s="42"/>
      <c r="AC69" s="42"/>
    </row>
    <row r="70" spans="15:29" x14ac:dyDescent="0.25">
      <c r="O70" s="42"/>
      <c r="R70" s="42"/>
      <c r="AC70" s="42"/>
    </row>
    <row r="71" spans="15:29" x14ac:dyDescent="0.25">
      <c r="O71" s="42"/>
      <c r="R71" s="42"/>
      <c r="AC71" s="42"/>
    </row>
    <row r="72" spans="15:29" x14ac:dyDescent="0.25">
      <c r="O72" s="42"/>
      <c r="R72" s="42"/>
      <c r="AC72" s="42"/>
    </row>
    <row r="73" spans="15:29" x14ac:dyDescent="0.25">
      <c r="O73" s="42"/>
      <c r="R73" s="42"/>
      <c r="AC73" s="42"/>
    </row>
    <row r="74" spans="15:29" x14ac:dyDescent="0.25">
      <c r="O74" s="42"/>
      <c r="R74" s="42"/>
      <c r="AC74" s="42"/>
    </row>
    <row r="75" spans="15:29" x14ac:dyDescent="0.25">
      <c r="O75" s="42"/>
      <c r="R75" s="42"/>
      <c r="AC75" s="42"/>
    </row>
    <row r="76" spans="15:29" x14ac:dyDescent="0.25">
      <c r="O76" s="42"/>
      <c r="R76" s="42"/>
      <c r="AC76" s="42"/>
    </row>
    <row r="77" spans="15:29" x14ac:dyDescent="0.25">
      <c r="O77" s="42"/>
      <c r="R77" s="42"/>
      <c r="AC77" s="42"/>
    </row>
    <row r="78" spans="15:29" x14ac:dyDescent="0.25">
      <c r="O78" s="42"/>
      <c r="R78" s="42"/>
      <c r="AC78" s="42"/>
    </row>
    <row r="79" spans="15:29" x14ac:dyDescent="0.25">
      <c r="O79" s="42"/>
      <c r="R79" s="42"/>
      <c r="AC79" s="42"/>
    </row>
    <row r="80" spans="15:29" x14ac:dyDescent="0.25">
      <c r="O80" s="42"/>
      <c r="R80" s="42"/>
      <c r="AC80" s="42"/>
    </row>
    <row r="81" spans="15:29" x14ac:dyDescent="0.25">
      <c r="O81" s="42"/>
      <c r="R81" s="42"/>
      <c r="AC81" s="42"/>
    </row>
    <row r="82" spans="15:29" x14ac:dyDescent="0.25">
      <c r="O82" s="42"/>
      <c r="R82" s="42"/>
      <c r="AC82" s="42"/>
    </row>
    <row r="83" spans="15:29" x14ac:dyDescent="0.25">
      <c r="O83" s="42"/>
      <c r="R83" s="42"/>
      <c r="AC83" s="42"/>
    </row>
    <row r="84" spans="15:29" x14ac:dyDescent="0.25">
      <c r="O84" s="42"/>
      <c r="R84" s="42"/>
      <c r="AC84" s="42"/>
    </row>
    <row r="85" spans="15:29" x14ac:dyDescent="0.25">
      <c r="O85" s="42"/>
      <c r="R85" s="42"/>
      <c r="AC85" s="42"/>
    </row>
    <row r="86" spans="15:29" x14ac:dyDescent="0.25">
      <c r="O86" s="42"/>
      <c r="R86" s="42"/>
      <c r="AC86" s="42"/>
    </row>
    <row r="87" spans="15:29" x14ac:dyDescent="0.25">
      <c r="O87" s="42"/>
      <c r="R87" s="42"/>
      <c r="AC87" s="42"/>
    </row>
    <row r="88" spans="15:29" x14ac:dyDescent="0.25">
      <c r="O88" s="42"/>
      <c r="R88" s="42"/>
      <c r="AC88" s="42"/>
    </row>
    <row r="89" spans="15:29" x14ac:dyDescent="0.25">
      <c r="O89" s="42"/>
      <c r="R89" s="42"/>
      <c r="AC89" s="42"/>
    </row>
    <row r="90" spans="15:29" x14ac:dyDescent="0.25">
      <c r="O90" s="42"/>
      <c r="R90" s="42"/>
      <c r="AC90" s="42"/>
    </row>
    <row r="91" spans="15:29" x14ac:dyDescent="0.25">
      <c r="O91" s="42"/>
      <c r="R91" s="42"/>
      <c r="AC91" s="42"/>
    </row>
    <row r="92" spans="15:29" x14ac:dyDescent="0.25">
      <c r="O92" s="42"/>
      <c r="R92" s="42"/>
      <c r="AC92" s="42"/>
    </row>
    <row r="93" spans="15:29" x14ac:dyDescent="0.25">
      <c r="O93" s="42"/>
      <c r="R93" s="42"/>
      <c r="AC93" s="42"/>
    </row>
    <row r="94" spans="15:29" x14ac:dyDescent="0.25">
      <c r="O94" s="42"/>
      <c r="R94" s="42"/>
      <c r="AC94" s="42"/>
    </row>
    <row r="95" spans="15:29" x14ac:dyDescent="0.25">
      <c r="O95" s="42"/>
      <c r="R95" s="42"/>
      <c r="AC95" s="42"/>
    </row>
    <row r="96" spans="15:29" x14ac:dyDescent="0.25">
      <c r="O96" s="42"/>
      <c r="R96" s="42"/>
      <c r="AC96" s="42"/>
    </row>
    <row r="97" spans="15:29" x14ac:dyDescent="0.25">
      <c r="O97" s="42"/>
      <c r="R97" s="42"/>
      <c r="AC97" s="42"/>
    </row>
    <row r="98" spans="15:29" x14ac:dyDescent="0.25">
      <c r="O98" s="42"/>
      <c r="R98" s="42"/>
      <c r="AC98" s="42"/>
    </row>
    <row r="99" spans="15:29" x14ac:dyDescent="0.25">
      <c r="O99" s="42"/>
      <c r="R99" s="42"/>
      <c r="AC99" s="42"/>
    </row>
    <row r="100" spans="15:29" x14ac:dyDescent="0.25">
      <c r="O100" s="42"/>
      <c r="R100" s="42"/>
      <c r="AC100" s="42"/>
    </row>
    <row r="101" spans="15:29" x14ac:dyDescent="0.25">
      <c r="O101" s="42"/>
      <c r="R101" s="42"/>
      <c r="AC101" s="42"/>
    </row>
    <row r="102" spans="15:29" x14ac:dyDescent="0.25">
      <c r="O102" s="42"/>
      <c r="R102" s="42"/>
      <c r="AC102" s="42"/>
    </row>
    <row r="103" spans="15:29" x14ac:dyDescent="0.25">
      <c r="O103" s="42"/>
      <c r="R103" s="42"/>
      <c r="AC103" s="42"/>
    </row>
    <row r="104" spans="15:29" x14ac:dyDescent="0.25">
      <c r="O104" s="42"/>
      <c r="R104" s="42"/>
      <c r="AC104" s="42"/>
    </row>
    <row r="105" spans="15:29" x14ac:dyDescent="0.25">
      <c r="O105" s="42"/>
      <c r="R105" s="42"/>
      <c r="AC105" s="42"/>
    </row>
    <row r="106" spans="15:29" x14ac:dyDescent="0.25">
      <c r="O106" s="42"/>
      <c r="R106" s="42"/>
      <c r="AC106" s="42"/>
    </row>
    <row r="107" spans="15:29" x14ac:dyDescent="0.25">
      <c r="O107" s="42"/>
      <c r="R107" s="42"/>
      <c r="AC107" s="42"/>
    </row>
    <row r="108" spans="15:29" x14ac:dyDescent="0.25">
      <c r="O108" s="42"/>
      <c r="R108" s="42"/>
      <c r="AC108" s="42"/>
    </row>
    <row r="109" spans="15:29" x14ac:dyDescent="0.25">
      <c r="O109" s="42"/>
      <c r="R109" s="42"/>
      <c r="AC109" s="42"/>
    </row>
    <row r="110" spans="15:29" x14ac:dyDescent="0.25">
      <c r="O110" s="42"/>
      <c r="R110" s="42"/>
      <c r="AC110" s="42"/>
    </row>
    <row r="111" spans="15:29" x14ac:dyDescent="0.25">
      <c r="O111" s="42"/>
      <c r="R111" s="42"/>
      <c r="AC111" s="42"/>
    </row>
    <row r="112" spans="15:29" x14ac:dyDescent="0.25">
      <c r="O112" s="42"/>
      <c r="R112" s="42"/>
      <c r="AC112" s="42"/>
    </row>
    <row r="113" spans="15:29" x14ac:dyDescent="0.25">
      <c r="O113" s="42"/>
      <c r="R113" s="42"/>
      <c r="AC113" s="42"/>
    </row>
    <row r="114" spans="15:29" x14ac:dyDescent="0.25">
      <c r="O114" s="42"/>
      <c r="R114" s="42"/>
      <c r="AC114" s="42"/>
    </row>
    <row r="115" spans="15:29" x14ac:dyDescent="0.25">
      <c r="O115" s="42"/>
      <c r="R115" s="42"/>
      <c r="AC115" s="42"/>
    </row>
    <row r="116" spans="15:29" x14ac:dyDescent="0.25">
      <c r="O116" s="42"/>
      <c r="R116" s="42"/>
      <c r="AC116" s="42"/>
    </row>
    <row r="117" spans="15:29" x14ac:dyDescent="0.25">
      <c r="O117" s="42"/>
      <c r="R117" s="42"/>
      <c r="AC117" s="42"/>
    </row>
    <row r="118" spans="15:29" x14ac:dyDescent="0.25">
      <c r="O118" s="42"/>
      <c r="R118" s="42"/>
      <c r="AC118" s="42"/>
    </row>
    <row r="119" spans="15:29" x14ac:dyDescent="0.25">
      <c r="O119" s="42"/>
      <c r="R119" s="42"/>
      <c r="AC119" s="42"/>
    </row>
    <row r="120" spans="15:29" x14ac:dyDescent="0.25">
      <c r="O120" s="42"/>
      <c r="R120" s="42"/>
      <c r="AC120" s="42"/>
    </row>
    <row r="121" spans="15:29" x14ac:dyDescent="0.25">
      <c r="O121" s="42"/>
      <c r="R121" s="42"/>
      <c r="AC121" s="42"/>
    </row>
    <row r="122" spans="15:29" x14ac:dyDescent="0.25">
      <c r="O122" s="42"/>
      <c r="R122" s="42"/>
      <c r="AC122" s="42"/>
    </row>
    <row r="123" spans="15:29" x14ac:dyDescent="0.25">
      <c r="O123" s="42"/>
      <c r="R123" s="42"/>
      <c r="AC123" s="42"/>
    </row>
    <row r="124" spans="15:29" x14ac:dyDescent="0.25">
      <c r="O124" s="42"/>
      <c r="R124" s="42"/>
      <c r="AC124" s="42"/>
    </row>
    <row r="125" spans="15:29" x14ac:dyDescent="0.25">
      <c r="O125" s="42"/>
      <c r="R125" s="42"/>
      <c r="AC125" s="42"/>
    </row>
    <row r="126" spans="15:29" x14ac:dyDescent="0.25">
      <c r="O126" s="42"/>
      <c r="R126" s="42"/>
      <c r="AC126" s="42"/>
    </row>
    <row r="127" spans="15:29" x14ac:dyDescent="0.25">
      <c r="O127" s="42"/>
      <c r="R127" s="42"/>
      <c r="AC127" s="42"/>
    </row>
    <row r="128" spans="15:29" x14ac:dyDescent="0.25">
      <c r="O128" s="42"/>
      <c r="R128" s="42"/>
      <c r="AC128" s="42"/>
    </row>
    <row r="129" spans="15:29" x14ac:dyDescent="0.25">
      <c r="O129" s="42"/>
      <c r="R129" s="42"/>
      <c r="AC129" s="42"/>
    </row>
    <row r="130" spans="15:29" x14ac:dyDescent="0.25">
      <c r="O130" s="42"/>
      <c r="R130" s="42"/>
      <c r="AC130" s="42"/>
    </row>
    <row r="131" spans="15:29" x14ac:dyDescent="0.25">
      <c r="O131" s="42"/>
      <c r="R131" s="42"/>
      <c r="AC131" s="42"/>
    </row>
    <row r="132" spans="15:29" x14ac:dyDescent="0.25">
      <c r="O132" s="42"/>
      <c r="R132" s="42"/>
      <c r="AC132" s="42"/>
    </row>
    <row r="133" spans="15:29" x14ac:dyDescent="0.25">
      <c r="O133" s="42"/>
      <c r="R133" s="42"/>
      <c r="AC133" s="42"/>
    </row>
    <row r="134" spans="15:29" x14ac:dyDescent="0.25">
      <c r="O134" s="42"/>
      <c r="R134" s="42"/>
      <c r="AC134" s="42"/>
    </row>
    <row r="135" spans="15:29" x14ac:dyDescent="0.25">
      <c r="O135" s="42"/>
      <c r="R135" s="42"/>
      <c r="AC135" s="42"/>
    </row>
    <row r="136" spans="15:29" x14ac:dyDescent="0.25">
      <c r="O136" s="42"/>
      <c r="R136" s="42"/>
      <c r="AC136" s="42"/>
    </row>
    <row r="137" spans="15:29" x14ac:dyDescent="0.25">
      <c r="O137" s="42"/>
      <c r="R137" s="42"/>
      <c r="AC137" s="42"/>
    </row>
    <row r="138" spans="15:29" x14ac:dyDescent="0.25">
      <c r="O138" s="42"/>
      <c r="R138" s="42"/>
      <c r="AC138" s="42"/>
    </row>
    <row r="139" spans="15:29" x14ac:dyDescent="0.25">
      <c r="O139" s="42"/>
      <c r="R139" s="42"/>
      <c r="AC139" s="42"/>
    </row>
    <row r="140" spans="15:29" x14ac:dyDescent="0.25">
      <c r="O140" s="42"/>
      <c r="R140" s="42"/>
      <c r="AC140" s="42"/>
    </row>
    <row r="141" spans="15:29" x14ac:dyDescent="0.25">
      <c r="O141" s="42"/>
      <c r="R141" s="42"/>
      <c r="AC141" s="42"/>
    </row>
    <row r="142" spans="15:29" x14ac:dyDescent="0.25">
      <c r="O142" s="42"/>
      <c r="R142" s="42"/>
      <c r="AC142" s="42"/>
    </row>
    <row r="143" spans="15:29" x14ac:dyDescent="0.25">
      <c r="O143" s="42"/>
      <c r="R143" s="42"/>
      <c r="AC143" s="42"/>
    </row>
    <row r="144" spans="15:29" x14ac:dyDescent="0.25">
      <c r="O144" s="42"/>
      <c r="R144" s="42"/>
      <c r="AC144" s="42"/>
    </row>
    <row r="145" spans="15:29" x14ac:dyDescent="0.25">
      <c r="O145" s="42"/>
      <c r="R145" s="42"/>
      <c r="AC145" s="42"/>
    </row>
    <row r="146" spans="15:29" x14ac:dyDescent="0.25">
      <c r="O146" s="42"/>
      <c r="R146" s="42"/>
      <c r="AC146" s="42"/>
    </row>
    <row r="147" spans="15:29" x14ac:dyDescent="0.25">
      <c r="O147" s="42"/>
      <c r="R147" s="42"/>
      <c r="AC147" s="42"/>
    </row>
    <row r="148" spans="15:29" x14ac:dyDescent="0.25">
      <c r="O148" s="42"/>
      <c r="R148" s="42"/>
      <c r="AC148" s="42"/>
    </row>
    <row r="149" spans="15:29" x14ac:dyDescent="0.25">
      <c r="O149" s="42"/>
      <c r="R149" s="42"/>
      <c r="AC149" s="42"/>
    </row>
    <row r="150" spans="15:29" x14ac:dyDescent="0.25">
      <c r="O150" s="42"/>
      <c r="R150" s="42"/>
      <c r="AC150" s="42"/>
    </row>
    <row r="151" spans="15:29" x14ac:dyDescent="0.25">
      <c r="O151" s="42"/>
      <c r="R151" s="42"/>
      <c r="AC151" s="42"/>
    </row>
    <row r="152" spans="15:29" x14ac:dyDescent="0.25">
      <c r="O152" s="42"/>
      <c r="R152" s="42"/>
      <c r="AC152" s="42"/>
    </row>
    <row r="153" spans="15:29" x14ac:dyDescent="0.25">
      <c r="O153" s="42"/>
      <c r="R153" s="42"/>
      <c r="AC153" s="42"/>
    </row>
    <row r="154" spans="15:29" x14ac:dyDescent="0.25">
      <c r="O154" s="42"/>
      <c r="R154" s="42"/>
      <c r="AC154" s="42"/>
    </row>
    <row r="155" spans="15:29" x14ac:dyDescent="0.25">
      <c r="O155" s="42"/>
      <c r="R155" s="42"/>
      <c r="AC155" s="42"/>
    </row>
    <row r="156" spans="15:29" x14ac:dyDescent="0.25">
      <c r="O156" s="42"/>
      <c r="R156" s="42"/>
      <c r="AC156" s="42"/>
    </row>
    <row r="157" spans="15:29" x14ac:dyDescent="0.25">
      <c r="O157" s="42"/>
      <c r="R157" s="42"/>
      <c r="AC157" s="42"/>
    </row>
    <row r="158" spans="15:29" x14ac:dyDescent="0.25">
      <c r="O158" s="42"/>
      <c r="R158" s="42"/>
      <c r="AC158" s="42"/>
    </row>
    <row r="159" spans="15:29" x14ac:dyDescent="0.25">
      <c r="O159" s="42"/>
      <c r="R159" s="42"/>
      <c r="AC159" s="42"/>
    </row>
    <row r="160" spans="15:29" x14ac:dyDescent="0.25">
      <c r="O160" s="42"/>
      <c r="R160" s="42"/>
      <c r="AC160" s="42"/>
    </row>
    <row r="161" spans="15:29" x14ac:dyDescent="0.25">
      <c r="O161" s="42"/>
      <c r="R161" s="42"/>
      <c r="AC161" s="42"/>
    </row>
    <row r="162" spans="15:29" x14ac:dyDescent="0.25">
      <c r="O162" s="42"/>
      <c r="R162" s="42"/>
      <c r="AC162" s="42"/>
    </row>
    <row r="163" spans="15:29" x14ac:dyDescent="0.25">
      <c r="O163" s="42"/>
      <c r="R163" s="42"/>
      <c r="AC163" s="42"/>
    </row>
    <row r="164" spans="15:29" x14ac:dyDescent="0.25">
      <c r="O164" s="42"/>
      <c r="R164" s="42"/>
      <c r="AC164" s="42"/>
    </row>
    <row r="165" spans="15:29" x14ac:dyDescent="0.25">
      <c r="O165" s="42"/>
      <c r="R165" s="42"/>
      <c r="AC165" s="42"/>
    </row>
    <row r="166" spans="15:29" x14ac:dyDescent="0.25">
      <c r="O166" s="42"/>
      <c r="R166" s="42"/>
      <c r="AC166" s="42"/>
    </row>
    <row r="167" spans="15:29" x14ac:dyDescent="0.25">
      <c r="O167" s="42"/>
      <c r="R167" s="42"/>
      <c r="AC167" s="42"/>
    </row>
    <row r="168" spans="15:29" x14ac:dyDescent="0.25">
      <c r="O168" s="42"/>
      <c r="R168" s="42"/>
      <c r="AC168" s="42"/>
    </row>
    <row r="169" spans="15:29" x14ac:dyDescent="0.25">
      <c r="O169" s="42"/>
      <c r="R169" s="42"/>
      <c r="AC169" s="42"/>
    </row>
    <row r="170" spans="15:29" x14ac:dyDescent="0.25">
      <c r="O170" s="42"/>
      <c r="R170" s="42"/>
      <c r="AC170" s="42"/>
    </row>
    <row r="171" spans="15:29" x14ac:dyDescent="0.25">
      <c r="O171" s="42"/>
      <c r="R171" s="42"/>
      <c r="AC171" s="42"/>
    </row>
    <row r="172" spans="15:29" x14ac:dyDescent="0.25">
      <c r="O172" s="42"/>
      <c r="R172" s="42"/>
      <c r="AC172" s="42"/>
    </row>
    <row r="173" spans="15:29" x14ac:dyDescent="0.25">
      <c r="O173" s="42"/>
      <c r="R173" s="42"/>
      <c r="AC173" s="42"/>
    </row>
    <row r="174" spans="15:29" x14ac:dyDescent="0.25">
      <c r="O174" s="42"/>
      <c r="R174" s="42"/>
      <c r="AC174" s="42"/>
    </row>
    <row r="175" spans="15:29" x14ac:dyDescent="0.25">
      <c r="O175" s="42"/>
      <c r="R175" s="42"/>
      <c r="AC175" s="42"/>
    </row>
    <row r="176" spans="15:29" x14ac:dyDescent="0.25">
      <c r="O176" s="42"/>
      <c r="R176" s="42"/>
      <c r="AC176" s="42"/>
    </row>
    <row r="177" spans="15:29" x14ac:dyDescent="0.25">
      <c r="O177" s="42"/>
      <c r="R177" s="42"/>
      <c r="AC177" s="42"/>
    </row>
    <row r="178" spans="15:29" x14ac:dyDescent="0.25">
      <c r="O178" s="42"/>
      <c r="R178" s="42"/>
      <c r="AC178" s="42"/>
    </row>
    <row r="179" spans="15:29" x14ac:dyDescent="0.25">
      <c r="O179" s="42"/>
      <c r="R179" s="42"/>
      <c r="AC179" s="42"/>
    </row>
    <row r="180" spans="15:29" x14ac:dyDescent="0.25">
      <c r="O180" s="42"/>
      <c r="R180" s="42"/>
      <c r="AC180" s="42"/>
    </row>
    <row r="181" spans="15:29" x14ac:dyDescent="0.25">
      <c r="O181" s="42"/>
      <c r="R181" s="42"/>
      <c r="AC181" s="42"/>
    </row>
    <row r="182" spans="15:29" x14ac:dyDescent="0.25">
      <c r="O182" s="42"/>
      <c r="R182" s="42"/>
      <c r="AC182" s="42"/>
    </row>
    <row r="183" spans="15:29" x14ac:dyDescent="0.25">
      <c r="O183" s="42"/>
      <c r="R183" s="42"/>
      <c r="AC183" s="42"/>
    </row>
    <row r="184" spans="15:29" x14ac:dyDescent="0.25">
      <c r="O184" s="42"/>
      <c r="R184" s="42"/>
      <c r="AC184" s="42"/>
    </row>
    <row r="185" spans="15:29" x14ac:dyDescent="0.25">
      <c r="O185" s="42"/>
      <c r="R185" s="42"/>
      <c r="AC185" s="42"/>
    </row>
    <row r="186" spans="15:29" x14ac:dyDescent="0.25">
      <c r="O186" s="42"/>
      <c r="R186" s="42"/>
      <c r="AC186" s="42"/>
    </row>
    <row r="187" spans="15:29" x14ac:dyDescent="0.25">
      <c r="O187" s="42"/>
      <c r="R187" s="42"/>
      <c r="AC187" s="42"/>
    </row>
    <row r="188" spans="15:29" x14ac:dyDescent="0.25">
      <c r="O188" s="42"/>
      <c r="R188" s="42"/>
      <c r="AC188" s="42"/>
    </row>
    <row r="189" spans="15:29" x14ac:dyDescent="0.25">
      <c r="O189" s="42"/>
      <c r="R189" s="42"/>
      <c r="AC189" s="42"/>
    </row>
    <row r="190" spans="15:29" x14ac:dyDescent="0.25">
      <c r="O190" s="42"/>
      <c r="R190" s="42"/>
      <c r="AC190" s="42"/>
    </row>
    <row r="191" spans="15:29" x14ac:dyDescent="0.25">
      <c r="O191" s="42"/>
      <c r="R191" s="42"/>
      <c r="AC191" s="42"/>
    </row>
    <row r="192" spans="15:29" x14ac:dyDescent="0.25">
      <c r="O192" s="42"/>
      <c r="R192" s="42"/>
      <c r="AC192" s="42"/>
    </row>
    <row r="193" spans="15:29" x14ac:dyDescent="0.25">
      <c r="O193" s="42"/>
      <c r="R193" s="42"/>
      <c r="AC193" s="42"/>
    </row>
    <row r="194" spans="15:29" x14ac:dyDescent="0.25">
      <c r="O194" s="42"/>
      <c r="R194" s="42"/>
      <c r="AC194" s="42"/>
    </row>
    <row r="195" spans="15:29" x14ac:dyDescent="0.25">
      <c r="O195" s="42"/>
      <c r="R195" s="42"/>
      <c r="AC195" s="42"/>
    </row>
    <row r="196" spans="15:29" x14ac:dyDescent="0.25">
      <c r="O196" s="42"/>
      <c r="R196" s="42"/>
      <c r="AC196" s="42"/>
    </row>
    <row r="197" spans="15:29" x14ac:dyDescent="0.25">
      <c r="O197" s="42"/>
      <c r="R197" s="42"/>
      <c r="AC197" s="42"/>
    </row>
    <row r="198" spans="15:29" x14ac:dyDescent="0.25">
      <c r="O198" s="42"/>
      <c r="R198" s="42"/>
      <c r="AC198" s="42"/>
    </row>
    <row r="199" spans="15:29" x14ac:dyDescent="0.25">
      <c r="O199" s="42"/>
      <c r="R199" s="42"/>
      <c r="AC199" s="42"/>
    </row>
    <row r="200" spans="15:29" x14ac:dyDescent="0.25">
      <c r="O200" s="42"/>
      <c r="R200" s="42"/>
      <c r="AC200" s="42"/>
    </row>
    <row r="201" spans="15:29" x14ac:dyDescent="0.25">
      <c r="O201" s="42"/>
      <c r="R201" s="42"/>
      <c r="AC201" s="42"/>
    </row>
    <row r="202" spans="15:29" x14ac:dyDescent="0.25">
      <c r="O202" s="42"/>
      <c r="R202" s="42"/>
      <c r="AC202" s="42"/>
    </row>
    <row r="203" spans="15:29" x14ac:dyDescent="0.25">
      <c r="O203" s="42"/>
      <c r="R203" s="42"/>
      <c r="AC203" s="42"/>
    </row>
    <row r="204" spans="15:29" x14ac:dyDescent="0.25">
      <c r="O204" s="42"/>
      <c r="R204" s="42"/>
      <c r="AC204" s="42"/>
    </row>
    <row r="205" spans="15:29" x14ac:dyDescent="0.25">
      <c r="O205" s="42"/>
      <c r="R205" s="42"/>
      <c r="AC205" s="42"/>
    </row>
    <row r="206" spans="15:29" x14ac:dyDescent="0.25">
      <c r="O206" s="42"/>
      <c r="R206" s="42"/>
      <c r="AC206" s="42"/>
    </row>
    <row r="207" spans="15:29" x14ac:dyDescent="0.25">
      <c r="O207" s="42"/>
      <c r="R207" s="42"/>
      <c r="AC207" s="42"/>
    </row>
    <row r="208" spans="15:29" x14ac:dyDescent="0.25">
      <c r="O208" s="42"/>
      <c r="R208" s="42"/>
      <c r="AC208" s="42"/>
    </row>
    <row r="209" spans="15:29" x14ac:dyDescent="0.25">
      <c r="O209" s="42"/>
      <c r="R209" s="42"/>
      <c r="AC209" s="42"/>
    </row>
    <row r="210" spans="15:29" x14ac:dyDescent="0.25">
      <c r="O210" s="42"/>
      <c r="R210" s="42"/>
      <c r="AC210" s="42"/>
    </row>
    <row r="211" spans="15:29" x14ac:dyDescent="0.25">
      <c r="O211" s="42"/>
      <c r="R211" s="42"/>
      <c r="AC211" s="42"/>
    </row>
    <row r="212" spans="15:29" x14ac:dyDescent="0.25">
      <c r="O212" s="42"/>
      <c r="R212" s="42"/>
      <c r="AC212" s="42"/>
    </row>
    <row r="213" spans="15:29" x14ac:dyDescent="0.25">
      <c r="O213" s="42"/>
      <c r="R213" s="42"/>
      <c r="AC213" s="42"/>
    </row>
    <row r="214" spans="15:29" x14ac:dyDescent="0.25">
      <c r="O214" s="42"/>
      <c r="R214" s="42"/>
      <c r="AC214" s="42"/>
    </row>
    <row r="215" spans="15:29" x14ac:dyDescent="0.25">
      <c r="O215" s="42"/>
      <c r="R215" s="42"/>
      <c r="AC215" s="42"/>
    </row>
    <row r="216" spans="15:29" x14ac:dyDescent="0.25">
      <c r="O216" s="42"/>
      <c r="R216" s="42"/>
      <c r="AC216" s="42"/>
    </row>
    <row r="217" spans="15:29" x14ac:dyDescent="0.25">
      <c r="O217" s="42"/>
      <c r="R217" s="42"/>
      <c r="AC217" s="42"/>
    </row>
    <row r="218" spans="15:29" x14ac:dyDescent="0.25">
      <c r="O218" s="42"/>
      <c r="R218" s="42"/>
      <c r="AC218" s="42"/>
    </row>
    <row r="219" spans="15:29" x14ac:dyDescent="0.25">
      <c r="O219" s="42"/>
      <c r="R219" s="42"/>
      <c r="AC219" s="42"/>
    </row>
    <row r="220" spans="15:29" x14ac:dyDescent="0.25">
      <c r="O220" s="42"/>
      <c r="R220" s="42"/>
      <c r="AC220" s="42"/>
    </row>
    <row r="221" spans="15:29" x14ac:dyDescent="0.25">
      <c r="O221" s="42"/>
      <c r="R221" s="42"/>
      <c r="AC221" s="42"/>
    </row>
    <row r="222" spans="15:29" x14ac:dyDescent="0.25">
      <c r="O222" s="42"/>
      <c r="R222" s="42"/>
      <c r="AC222" s="42"/>
    </row>
    <row r="223" spans="15:29" x14ac:dyDescent="0.25">
      <c r="O223" s="42"/>
      <c r="R223" s="42"/>
      <c r="AC223" s="42"/>
    </row>
    <row r="224" spans="15:29" x14ac:dyDescent="0.25">
      <c r="O224" s="42"/>
      <c r="R224" s="42"/>
      <c r="AC224" s="42"/>
    </row>
    <row r="225" spans="15:29" x14ac:dyDescent="0.25">
      <c r="O225" s="42"/>
      <c r="R225" s="42"/>
      <c r="AC225" s="42"/>
    </row>
    <row r="226" spans="15:29" x14ac:dyDescent="0.25">
      <c r="O226" s="42"/>
      <c r="R226" s="42"/>
      <c r="AC226" s="42"/>
    </row>
    <row r="227" spans="15:29" x14ac:dyDescent="0.25">
      <c r="O227" s="42"/>
      <c r="R227" s="42"/>
      <c r="AC227" s="42"/>
    </row>
    <row r="228" spans="15:29" x14ac:dyDescent="0.25">
      <c r="O228" s="42"/>
      <c r="R228" s="42"/>
      <c r="AC228" s="42"/>
    </row>
    <row r="229" spans="15:29" x14ac:dyDescent="0.25">
      <c r="O229" s="42"/>
      <c r="R229" s="42"/>
      <c r="AC229" s="42"/>
    </row>
    <row r="230" spans="15:29" x14ac:dyDescent="0.25">
      <c r="O230" s="42"/>
      <c r="R230" s="42"/>
      <c r="AC230" s="42"/>
    </row>
    <row r="231" spans="15:29" x14ac:dyDescent="0.25">
      <c r="O231" s="42"/>
      <c r="R231" s="42"/>
      <c r="AC231" s="42"/>
    </row>
    <row r="232" spans="15:29" x14ac:dyDescent="0.25">
      <c r="O232" s="42"/>
      <c r="R232" s="42"/>
      <c r="AC232" s="42"/>
    </row>
    <row r="233" spans="15:29" x14ac:dyDescent="0.25">
      <c r="O233" s="42"/>
      <c r="R233" s="42"/>
      <c r="AC233" s="42"/>
    </row>
    <row r="234" spans="15:29" x14ac:dyDescent="0.25">
      <c r="O234" s="42"/>
      <c r="R234" s="42"/>
      <c r="AC234" s="42"/>
    </row>
    <row r="235" spans="15:29" x14ac:dyDescent="0.25">
      <c r="O235" s="42"/>
      <c r="R235" s="42"/>
      <c r="AC235" s="42"/>
    </row>
    <row r="236" spans="15:29" x14ac:dyDescent="0.25">
      <c r="O236" s="42"/>
      <c r="R236" s="42"/>
      <c r="AC236" s="42"/>
    </row>
    <row r="237" spans="15:29" x14ac:dyDescent="0.25">
      <c r="O237" s="42"/>
      <c r="R237" s="42"/>
      <c r="AC237" s="42"/>
    </row>
    <row r="238" spans="15:29" x14ac:dyDescent="0.25">
      <c r="O238" s="42"/>
      <c r="R238" s="42"/>
      <c r="AC238" s="42"/>
    </row>
    <row r="239" spans="15:29" x14ac:dyDescent="0.25">
      <c r="O239" s="42"/>
      <c r="R239" s="42"/>
      <c r="AC239" s="42"/>
    </row>
    <row r="240" spans="15:29" x14ac:dyDescent="0.25">
      <c r="O240" s="42"/>
      <c r="R240" s="42"/>
      <c r="AC240" s="42"/>
    </row>
    <row r="241" spans="15:29" x14ac:dyDescent="0.25">
      <c r="O241" s="42"/>
      <c r="R241" s="42"/>
      <c r="AC241" s="42"/>
    </row>
    <row r="242" spans="15:29" x14ac:dyDescent="0.25">
      <c r="O242" s="42"/>
      <c r="R242" s="42"/>
      <c r="AC242" s="42"/>
    </row>
    <row r="243" spans="15:29" x14ac:dyDescent="0.25">
      <c r="O243" s="42"/>
      <c r="R243" s="42"/>
      <c r="AC243" s="42"/>
    </row>
    <row r="244" spans="15:29" x14ac:dyDescent="0.25">
      <c r="O244" s="42"/>
      <c r="R244" s="42"/>
      <c r="AC244" s="42"/>
    </row>
    <row r="245" spans="15:29" x14ac:dyDescent="0.25">
      <c r="O245" s="42"/>
      <c r="R245" s="42"/>
      <c r="AC245" s="42"/>
    </row>
    <row r="246" spans="15:29" x14ac:dyDescent="0.25">
      <c r="O246" s="42"/>
      <c r="R246" s="42"/>
      <c r="AC246" s="42"/>
    </row>
    <row r="247" spans="15:29" x14ac:dyDescent="0.25">
      <c r="O247" s="42"/>
      <c r="R247" s="42"/>
      <c r="AC247" s="42"/>
    </row>
    <row r="248" spans="15:29" x14ac:dyDescent="0.25">
      <c r="O248" s="42"/>
      <c r="R248" s="42"/>
      <c r="AC248" s="42"/>
    </row>
    <row r="249" spans="15:29" x14ac:dyDescent="0.25">
      <c r="O249" s="42"/>
      <c r="R249" s="42"/>
      <c r="AC249" s="42"/>
    </row>
    <row r="250" spans="15:29" x14ac:dyDescent="0.25">
      <c r="O250" s="42"/>
      <c r="R250" s="42"/>
      <c r="AC250" s="42"/>
    </row>
    <row r="251" spans="15:29" x14ac:dyDescent="0.25">
      <c r="O251" s="42"/>
      <c r="R251" s="42"/>
      <c r="AC251" s="42"/>
    </row>
    <row r="252" spans="15:29" x14ac:dyDescent="0.25">
      <c r="O252" s="42"/>
      <c r="R252" s="42"/>
      <c r="AC252" s="42"/>
    </row>
    <row r="253" spans="15:29" x14ac:dyDescent="0.25">
      <c r="O253" s="42"/>
      <c r="R253" s="42"/>
      <c r="AC253" s="42"/>
    </row>
    <row r="254" spans="15:29" x14ac:dyDescent="0.25">
      <c r="O254" s="42"/>
      <c r="R254" s="42"/>
      <c r="AC254" s="42"/>
    </row>
    <row r="255" spans="15:29" x14ac:dyDescent="0.25">
      <c r="O255" s="42"/>
      <c r="R255" s="42"/>
      <c r="AC255" s="42"/>
    </row>
    <row r="256" spans="15:29" x14ac:dyDescent="0.25">
      <c r="O256" s="42"/>
      <c r="R256" s="42"/>
      <c r="AC256" s="42"/>
    </row>
    <row r="257" spans="15:29" x14ac:dyDescent="0.25">
      <c r="O257" s="42"/>
      <c r="R257" s="42"/>
      <c r="AC257" s="42"/>
    </row>
    <row r="258" spans="15:29" x14ac:dyDescent="0.25">
      <c r="O258" s="42"/>
      <c r="R258" s="42"/>
      <c r="AC258" s="42"/>
    </row>
    <row r="259" spans="15:29" x14ac:dyDescent="0.25">
      <c r="O259" s="42"/>
      <c r="R259" s="42"/>
      <c r="AC259" s="42"/>
    </row>
    <row r="260" spans="15:29" x14ac:dyDescent="0.25">
      <c r="O260" s="42"/>
      <c r="R260" s="42"/>
      <c r="AC260" s="42"/>
    </row>
    <row r="261" spans="15:29" x14ac:dyDescent="0.25">
      <c r="O261" s="42"/>
      <c r="R261" s="42"/>
      <c r="AC261" s="42"/>
    </row>
    <row r="262" spans="15:29" x14ac:dyDescent="0.25">
      <c r="O262" s="42"/>
      <c r="R262" s="42"/>
      <c r="AC262" s="42"/>
    </row>
    <row r="263" spans="15:29" x14ac:dyDescent="0.25">
      <c r="O263" s="42"/>
      <c r="R263" s="42"/>
      <c r="AC263" s="42"/>
    </row>
    <row r="264" spans="15:29" x14ac:dyDescent="0.25">
      <c r="O264" s="42"/>
      <c r="R264" s="42"/>
      <c r="AC264" s="42"/>
    </row>
    <row r="265" spans="15:29" x14ac:dyDescent="0.25">
      <c r="O265" s="42"/>
      <c r="R265" s="42"/>
      <c r="AC265" s="42"/>
    </row>
    <row r="266" spans="15:29" x14ac:dyDescent="0.25">
      <c r="O266" s="42"/>
      <c r="R266" s="42"/>
      <c r="AC266" s="42"/>
    </row>
    <row r="267" spans="15:29" x14ac:dyDescent="0.25">
      <c r="O267" s="42"/>
      <c r="R267" s="42"/>
      <c r="AC267" s="42"/>
    </row>
    <row r="268" spans="15:29" x14ac:dyDescent="0.25">
      <c r="O268" s="42"/>
      <c r="R268" s="42"/>
      <c r="AC268" s="42"/>
    </row>
    <row r="269" spans="15:29" x14ac:dyDescent="0.25">
      <c r="O269" s="42"/>
      <c r="R269" s="42"/>
      <c r="AC269" s="42"/>
    </row>
    <row r="270" spans="15:29" x14ac:dyDescent="0.25">
      <c r="O270" s="42"/>
      <c r="R270" s="42"/>
      <c r="AC270" s="42"/>
    </row>
    <row r="271" spans="15:29" x14ac:dyDescent="0.25">
      <c r="O271" s="42"/>
      <c r="R271" s="42"/>
      <c r="AC271" s="42"/>
    </row>
    <row r="272" spans="15:29" x14ac:dyDescent="0.25">
      <c r="O272" s="42"/>
      <c r="R272" s="42"/>
      <c r="AC272" s="42"/>
    </row>
    <row r="273" spans="15:29" x14ac:dyDescent="0.25">
      <c r="O273" s="42"/>
      <c r="R273" s="42"/>
      <c r="AC273" s="42"/>
    </row>
    <row r="274" spans="15:29" x14ac:dyDescent="0.25">
      <c r="O274" s="42"/>
      <c r="R274" s="42"/>
      <c r="AC274" s="42"/>
    </row>
    <row r="275" spans="15:29" x14ac:dyDescent="0.25">
      <c r="O275" s="42"/>
      <c r="R275" s="42"/>
      <c r="AC275" s="42"/>
    </row>
    <row r="276" spans="15:29" x14ac:dyDescent="0.25">
      <c r="O276" s="42"/>
      <c r="R276" s="42"/>
      <c r="AC276" s="42"/>
    </row>
    <row r="277" spans="15:29" x14ac:dyDescent="0.25">
      <c r="O277" s="42"/>
      <c r="R277" s="42"/>
      <c r="AC277" s="42"/>
    </row>
    <row r="278" spans="15:29" x14ac:dyDescent="0.25">
      <c r="O278" s="42"/>
      <c r="R278" s="42"/>
      <c r="AC278" s="42"/>
    </row>
    <row r="279" spans="15:29" x14ac:dyDescent="0.25">
      <c r="O279" s="42"/>
      <c r="R279" s="42"/>
      <c r="AC279" s="42"/>
    </row>
    <row r="280" spans="15:29" x14ac:dyDescent="0.25">
      <c r="O280" s="42"/>
      <c r="R280" s="42"/>
      <c r="AC280" s="42"/>
    </row>
    <row r="281" spans="15:29" x14ac:dyDescent="0.25">
      <c r="O281" s="42"/>
      <c r="R281" s="42"/>
      <c r="AC281" s="42"/>
    </row>
    <row r="282" spans="15:29" x14ac:dyDescent="0.25">
      <c r="O282" s="42"/>
      <c r="R282" s="42"/>
      <c r="AC282" s="42"/>
    </row>
    <row r="283" spans="15:29" x14ac:dyDescent="0.25">
      <c r="O283" s="42"/>
      <c r="R283" s="42"/>
      <c r="AC283" s="42"/>
    </row>
    <row r="284" spans="15:29" x14ac:dyDescent="0.25">
      <c r="O284" s="42"/>
      <c r="R284" s="42"/>
      <c r="AC284" s="42"/>
    </row>
    <row r="285" spans="15:29" x14ac:dyDescent="0.25">
      <c r="O285" s="42"/>
      <c r="R285" s="42"/>
      <c r="AC285" s="42"/>
    </row>
    <row r="286" spans="15:29" x14ac:dyDescent="0.25">
      <c r="O286" s="42"/>
      <c r="R286" s="42"/>
      <c r="AC286" s="42"/>
    </row>
    <row r="287" spans="15:29" x14ac:dyDescent="0.25">
      <c r="O287" s="42"/>
      <c r="R287" s="42"/>
      <c r="AC287" s="42"/>
    </row>
    <row r="288" spans="15:29" x14ac:dyDescent="0.25">
      <c r="O288" s="42"/>
      <c r="R288" s="42"/>
      <c r="AC288" s="42"/>
    </row>
    <row r="289" spans="15:29" x14ac:dyDescent="0.25">
      <c r="O289" s="42"/>
      <c r="R289" s="42"/>
      <c r="AC289" s="42"/>
    </row>
    <row r="290" spans="15:29" x14ac:dyDescent="0.25">
      <c r="O290" s="42"/>
      <c r="R290" s="42"/>
      <c r="AC290" s="42"/>
    </row>
    <row r="291" spans="15:29" x14ac:dyDescent="0.25">
      <c r="O291" s="42"/>
      <c r="R291" s="42"/>
      <c r="AC291" s="42"/>
    </row>
    <row r="292" spans="15:29" x14ac:dyDescent="0.25">
      <c r="O292" s="42"/>
      <c r="R292" s="42"/>
      <c r="AC292" s="42"/>
    </row>
    <row r="293" spans="15:29" x14ac:dyDescent="0.25">
      <c r="O293" s="42"/>
      <c r="R293" s="42"/>
      <c r="AC293" s="42"/>
    </row>
    <row r="294" spans="15:29" x14ac:dyDescent="0.25">
      <c r="O294" s="42"/>
      <c r="R294" s="42"/>
      <c r="AC294" s="42"/>
    </row>
    <row r="295" spans="15:29" x14ac:dyDescent="0.25">
      <c r="O295" s="42"/>
      <c r="R295" s="42"/>
      <c r="AC295" s="42"/>
    </row>
    <row r="296" spans="15:29" x14ac:dyDescent="0.25">
      <c r="O296" s="42"/>
      <c r="R296" s="42"/>
      <c r="AC296" s="42"/>
    </row>
    <row r="297" spans="15:29" x14ac:dyDescent="0.25">
      <c r="O297" s="42"/>
      <c r="R297" s="42"/>
      <c r="AC297" s="42"/>
    </row>
    <row r="298" spans="15:29" x14ac:dyDescent="0.25">
      <c r="O298" s="42"/>
      <c r="R298" s="42"/>
      <c r="AC298" s="42"/>
    </row>
    <row r="299" spans="15:29" x14ac:dyDescent="0.25">
      <c r="O299" s="42"/>
      <c r="R299" s="42"/>
      <c r="AC299" s="42"/>
    </row>
    <row r="300" spans="15:29" x14ac:dyDescent="0.25">
      <c r="O300" s="42"/>
      <c r="R300" s="42"/>
      <c r="AC300" s="42"/>
    </row>
    <row r="301" spans="15:29" x14ac:dyDescent="0.25">
      <c r="O301" s="42"/>
      <c r="R301" s="42"/>
      <c r="AC301" s="42"/>
    </row>
    <row r="302" spans="15:29" x14ac:dyDescent="0.25">
      <c r="O302" s="42"/>
      <c r="R302" s="42"/>
      <c r="AC302" s="42"/>
    </row>
    <row r="303" spans="15:29" x14ac:dyDescent="0.25">
      <c r="O303" s="42"/>
      <c r="R303" s="42"/>
      <c r="AC303" s="42"/>
    </row>
    <row r="304" spans="15:29" x14ac:dyDescent="0.25">
      <c r="O304" s="42"/>
      <c r="R304" s="42"/>
      <c r="AC304" s="42"/>
    </row>
    <row r="305" spans="15:29" x14ac:dyDescent="0.25">
      <c r="O305" s="42"/>
      <c r="R305" s="42"/>
      <c r="AC305" s="42"/>
    </row>
    <row r="306" spans="15:29" x14ac:dyDescent="0.25">
      <c r="O306" s="42"/>
      <c r="R306" s="42"/>
      <c r="AC306" s="42"/>
    </row>
    <row r="307" spans="15:29" x14ac:dyDescent="0.25">
      <c r="O307" s="42"/>
      <c r="R307" s="42"/>
      <c r="AC307" s="42"/>
    </row>
    <row r="308" spans="15:29" x14ac:dyDescent="0.25">
      <c r="O308" s="42"/>
      <c r="R308" s="42"/>
      <c r="AC308" s="42"/>
    </row>
    <row r="309" spans="15:29" x14ac:dyDescent="0.25">
      <c r="O309" s="42"/>
      <c r="R309" s="42"/>
      <c r="AC309" s="42"/>
    </row>
    <row r="310" spans="15:29" x14ac:dyDescent="0.25">
      <c r="O310" s="42"/>
      <c r="R310" s="42"/>
      <c r="AC310" s="42"/>
    </row>
    <row r="311" spans="15:29" x14ac:dyDescent="0.25">
      <c r="O311" s="42"/>
      <c r="R311" s="42"/>
      <c r="AC311" s="42"/>
    </row>
    <row r="312" spans="15:29" x14ac:dyDescent="0.25">
      <c r="O312" s="42"/>
      <c r="R312" s="42"/>
      <c r="AC312" s="42"/>
    </row>
    <row r="313" spans="15:29" x14ac:dyDescent="0.25">
      <c r="O313" s="42"/>
      <c r="R313" s="42"/>
      <c r="AC313" s="42"/>
    </row>
    <row r="314" spans="15:29" x14ac:dyDescent="0.25">
      <c r="O314" s="42"/>
      <c r="R314" s="42"/>
      <c r="AC314" s="42"/>
    </row>
    <row r="315" spans="15:29" x14ac:dyDescent="0.25">
      <c r="O315" s="42"/>
      <c r="R315" s="42"/>
      <c r="AC315" s="42"/>
    </row>
    <row r="316" spans="15:29" x14ac:dyDescent="0.25">
      <c r="O316" s="42"/>
      <c r="R316" s="42"/>
      <c r="AC316" s="42"/>
    </row>
    <row r="317" spans="15:29" x14ac:dyDescent="0.25">
      <c r="O317" s="42"/>
      <c r="R317" s="42"/>
      <c r="AC317" s="42"/>
    </row>
    <row r="318" spans="15:29" x14ac:dyDescent="0.25">
      <c r="O318" s="42"/>
      <c r="R318" s="42"/>
      <c r="AC318" s="42"/>
    </row>
    <row r="319" spans="15:29" x14ac:dyDescent="0.25">
      <c r="O319" s="42"/>
      <c r="R319" s="42"/>
      <c r="AC319" s="42"/>
    </row>
    <row r="320" spans="15:29" x14ac:dyDescent="0.25">
      <c r="O320" s="42"/>
      <c r="R320" s="42"/>
      <c r="AC320" s="42"/>
    </row>
    <row r="321" spans="15:29" x14ac:dyDescent="0.25">
      <c r="O321" s="42"/>
      <c r="R321" s="42"/>
      <c r="AC321" s="42"/>
    </row>
    <row r="322" spans="15:29" x14ac:dyDescent="0.25">
      <c r="O322" s="42"/>
      <c r="R322" s="42"/>
      <c r="AC322" s="42"/>
    </row>
    <row r="323" spans="15:29" x14ac:dyDescent="0.25">
      <c r="O323" s="42"/>
      <c r="R323" s="42"/>
      <c r="AC323" s="42"/>
    </row>
    <row r="324" spans="15:29" x14ac:dyDescent="0.25">
      <c r="O324" s="42"/>
      <c r="R324" s="42"/>
      <c r="AC324" s="42"/>
    </row>
    <row r="325" spans="15:29" x14ac:dyDescent="0.25">
      <c r="O325" s="42"/>
      <c r="R325" s="42"/>
      <c r="AC325" s="42"/>
    </row>
    <row r="326" spans="15:29" x14ac:dyDescent="0.25">
      <c r="O326" s="42"/>
      <c r="R326" s="42"/>
      <c r="AC326" s="42"/>
    </row>
    <row r="327" spans="15:29" x14ac:dyDescent="0.25">
      <c r="O327" s="42"/>
      <c r="R327" s="42"/>
      <c r="AC327" s="42"/>
    </row>
    <row r="328" spans="15:29" x14ac:dyDescent="0.25">
      <c r="O328" s="42"/>
      <c r="R328" s="42"/>
      <c r="AC328" s="42"/>
    </row>
    <row r="329" spans="15:29" x14ac:dyDescent="0.25">
      <c r="O329" s="42"/>
      <c r="R329" s="42"/>
      <c r="AC329" s="42"/>
    </row>
    <row r="330" spans="15:29" x14ac:dyDescent="0.25">
      <c r="O330" s="42"/>
      <c r="R330" s="42"/>
      <c r="AC330" s="42"/>
    </row>
    <row r="331" spans="15:29" x14ac:dyDescent="0.25">
      <c r="O331" s="42"/>
      <c r="R331" s="42"/>
      <c r="AC331" s="42"/>
    </row>
    <row r="332" spans="15:29" x14ac:dyDescent="0.25">
      <c r="O332" s="42"/>
      <c r="R332" s="42"/>
      <c r="AC332" s="42"/>
    </row>
    <row r="333" spans="15:29" x14ac:dyDescent="0.25">
      <c r="O333" s="42"/>
      <c r="R333" s="42"/>
      <c r="AC333" s="42"/>
    </row>
    <row r="334" spans="15:29" x14ac:dyDescent="0.25">
      <c r="O334" s="42"/>
      <c r="R334" s="42"/>
      <c r="AC334" s="42"/>
    </row>
    <row r="335" spans="15:29" x14ac:dyDescent="0.25">
      <c r="O335" s="42"/>
      <c r="R335" s="42"/>
      <c r="AC335" s="42"/>
    </row>
    <row r="336" spans="15:29" x14ac:dyDescent="0.25">
      <c r="O336" s="42"/>
      <c r="R336" s="42"/>
      <c r="AC336" s="42"/>
    </row>
    <row r="337" spans="15:29" x14ac:dyDescent="0.25">
      <c r="O337" s="42"/>
      <c r="R337" s="42"/>
      <c r="AC337" s="42"/>
    </row>
    <row r="338" spans="15:29" x14ac:dyDescent="0.25">
      <c r="O338" s="42"/>
      <c r="R338" s="42"/>
      <c r="AC338" s="42"/>
    </row>
    <row r="339" spans="15:29" x14ac:dyDescent="0.25">
      <c r="O339" s="42"/>
      <c r="R339" s="42"/>
      <c r="AC339" s="42"/>
    </row>
    <row r="340" spans="15:29" x14ac:dyDescent="0.25">
      <c r="O340" s="42"/>
      <c r="R340" s="42"/>
      <c r="AC340" s="42"/>
    </row>
    <row r="341" spans="15:29" x14ac:dyDescent="0.25">
      <c r="O341" s="42"/>
      <c r="R341" s="42"/>
      <c r="AC341" s="42"/>
    </row>
    <row r="342" spans="15:29" x14ac:dyDescent="0.25">
      <c r="O342" s="42"/>
      <c r="R342" s="42"/>
      <c r="AC342" s="42"/>
    </row>
    <row r="343" spans="15:29" x14ac:dyDescent="0.25">
      <c r="O343" s="42"/>
      <c r="R343" s="42"/>
      <c r="AC343" s="42"/>
    </row>
    <row r="344" spans="15:29" x14ac:dyDescent="0.25">
      <c r="O344" s="42"/>
      <c r="R344" s="42"/>
      <c r="AC344" s="42"/>
    </row>
    <row r="345" spans="15:29" x14ac:dyDescent="0.25">
      <c r="O345" s="42"/>
      <c r="R345" s="42"/>
      <c r="AC345" s="42"/>
    </row>
    <row r="346" spans="15:29" x14ac:dyDescent="0.25">
      <c r="O346" s="42"/>
      <c r="R346" s="42"/>
      <c r="AC346" s="42"/>
    </row>
    <row r="347" spans="15:29" x14ac:dyDescent="0.25">
      <c r="O347" s="42"/>
      <c r="R347" s="42"/>
      <c r="AC347" s="42"/>
    </row>
    <row r="348" spans="15:29" x14ac:dyDescent="0.25">
      <c r="O348" s="42"/>
      <c r="R348" s="42"/>
      <c r="AC348" s="42"/>
    </row>
    <row r="349" spans="15:29" x14ac:dyDescent="0.25">
      <c r="O349" s="42"/>
      <c r="R349" s="42"/>
      <c r="AC349" s="42"/>
    </row>
    <row r="350" spans="15:29" x14ac:dyDescent="0.25">
      <c r="O350" s="42"/>
      <c r="R350" s="42"/>
      <c r="AC350" s="42"/>
    </row>
    <row r="351" spans="15:29" x14ac:dyDescent="0.25">
      <c r="O351" s="42"/>
      <c r="R351" s="42"/>
      <c r="AC351" s="42"/>
    </row>
    <row r="352" spans="15:29" x14ac:dyDescent="0.25">
      <c r="O352" s="42"/>
      <c r="R352" s="42"/>
      <c r="AC352" s="42"/>
    </row>
    <row r="353" spans="15:29" x14ac:dyDescent="0.25">
      <c r="O353" s="42"/>
      <c r="R353" s="42"/>
      <c r="AC353" s="42"/>
    </row>
    <row r="354" spans="15:29" x14ac:dyDescent="0.25">
      <c r="O354" s="42"/>
      <c r="R354" s="42"/>
      <c r="AC354" s="42"/>
    </row>
    <row r="355" spans="15:29" x14ac:dyDescent="0.25">
      <c r="O355" s="42"/>
      <c r="R355" s="42"/>
      <c r="AC355" s="42"/>
    </row>
    <row r="356" spans="15:29" x14ac:dyDescent="0.25">
      <c r="O356" s="42"/>
      <c r="R356" s="42"/>
      <c r="AC356" s="42"/>
    </row>
    <row r="357" spans="15:29" x14ac:dyDescent="0.25">
      <c r="O357" s="42"/>
      <c r="R357" s="42"/>
      <c r="AC357" s="42"/>
    </row>
    <row r="358" spans="15:29" x14ac:dyDescent="0.25">
      <c r="O358" s="42"/>
      <c r="R358" s="42"/>
      <c r="AC358" s="42"/>
    </row>
    <row r="359" spans="15:29" x14ac:dyDescent="0.25">
      <c r="O359" s="42"/>
      <c r="R359" s="42"/>
      <c r="AC359" s="42"/>
    </row>
    <row r="360" spans="15:29" x14ac:dyDescent="0.25">
      <c r="O360" s="42"/>
      <c r="R360" s="42"/>
      <c r="AC360" s="42"/>
    </row>
    <row r="361" spans="15:29" x14ac:dyDescent="0.25">
      <c r="O361" s="42"/>
      <c r="R361" s="42"/>
      <c r="AC361" s="42"/>
    </row>
    <row r="362" spans="15:29" x14ac:dyDescent="0.25">
      <c r="O362" s="42"/>
      <c r="R362" s="42"/>
      <c r="AC362" s="42"/>
    </row>
    <row r="363" spans="15:29" x14ac:dyDescent="0.25">
      <c r="O363" s="42"/>
      <c r="R363" s="42"/>
      <c r="AC363" s="42"/>
    </row>
    <row r="364" spans="15:29" x14ac:dyDescent="0.25">
      <c r="O364" s="42"/>
      <c r="R364" s="42"/>
      <c r="AC364" s="42"/>
    </row>
    <row r="365" spans="15:29" x14ac:dyDescent="0.25">
      <c r="O365" s="42"/>
      <c r="R365" s="42"/>
      <c r="AC365" s="42"/>
    </row>
    <row r="366" spans="15:29" x14ac:dyDescent="0.25">
      <c r="O366" s="42"/>
      <c r="R366" s="42"/>
      <c r="AC366" s="42"/>
    </row>
    <row r="367" spans="15:29" x14ac:dyDescent="0.25">
      <c r="O367" s="42"/>
      <c r="R367" s="42"/>
      <c r="AC367" s="42"/>
    </row>
    <row r="368" spans="15:29" x14ac:dyDescent="0.25">
      <c r="O368" s="42"/>
      <c r="R368" s="42"/>
      <c r="AC368" s="42"/>
    </row>
    <row r="369" spans="15:29" x14ac:dyDescent="0.25">
      <c r="O369" s="42"/>
      <c r="R369" s="42"/>
      <c r="AC369" s="42"/>
    </row>
    <row r="370" spans="15:29" x14ac:dyDescent="0.25">
      <c r="O370" s="42"/>
      <c r="R370" s="42"/>
      <c r="AC370" s="42"/>
    </row>
    <row r="371" spans="15:29" x14ac:dyDescent="0.25">
      <c r="O371" s="42"/>
      <c r="R371" s="42"/>
      <c r="AC371" s="42"/>
    </row>
    <row r="372" spans="15:29" x14ac:dyDescent="0.25">
      <c r="O372" s="42"/>
      <c r="R372" s="42"/>
      <c r="AC372" s="42"/>
    </row>
    <row r="373" spans="15:29" x14ac:dyDescent="0.25">
      <c r="O373" s="42"/>
      <c r="R373" s="42"/>
      <c r="AC373" s="42"/>
    </row>
    <row r="374" spans="15:29" x14ac:dyDescent="0.25">
      <c r="O374" s="42"/>
      <c r="R374" s="42"/>
      <c r="AC374" s="42"/>
    </row>
    <row r="375" spans="15:29" x14ac:dyDescent="0.25">
      <c r="O375" s="42"/>
      <c r="R375" s="42"/>
      <c r="AC375" s="42"/>
    </row>
    <row r="376" spans="15:29" x14ac:dyDescent="0.25">
      <c r="O376" s="42"/>
      <c r="R376" s="42"/>
      <c r="AC376" s="42"/>
    </row>
    <row r="377" spans="15:29" x14ac:dyDescent="0.25">
      <c r="O377" s="42"/>
      <c r="R377" s="42"/>
      <c r="AC377" s="42"/>
    </row>
    <row r="378" spans="15:29" x14ac:dyDescent="0.25">
      <c r="O378" s="42"/>
      <c r="R378" s="42"/>
      <c r="AC378" s="42"/>
    </row>
    <row r="379" spans="15:29" x14ac:dyDescent="0.25">
      <c r="O379" s="42"/>
      <c r="R379" s="42"/>
      <c r="AC379" s="42"/>
    </row>
    <row r="380" spans="15:29" x14ac:dyDescent="0.25">
      <c r="O380" s="42"/>
      <c r="R380" s="42"/>
      <c r="AC380" s="42"/>
    </row>
    <row r="381" spans="15:29" x14ac:dyDescent="0.25">
      <c r="O381" s="42"/>
      <c r="R381" s="42"/>
      <c r="AC381" s="42"/>
    </row>
    <row r="382" spans="15:29" x14ac:dyDescent="0.25">
      <c r="O382" s="42"/>
      <c r="R382" s="42"/>
      <c r="AC382" s="42"/>
    </row>
    <row r="383" spans="15:29" x14ac:dyDescent="0.25">
      <c r="O383" s="42"/>
      <c r="R383" s="42"/>
      <c r="AC383" s="42"/>
    </row>
    <row r="384" spans="15:29" x14ac:dyDescent="0.25">
      <c r="O384" s="42"/>
      <c r="R384" s="42"/>
      <c r="AC384" s="42"/>
    </row>
    <row r="385" spans="15:29" x14ac:dyDescent="0.25">
      <c r="O385" s="42"/>
      <c r="R385" s="42"/>
      <c r="AC385" s="42"/>
    </row>
    <row r="386" spans="15:29" x14ac:dyDescent="0.25">
      <c r="O386" s="42"/>
      <c r="R386" s="42"/>
      <c r="AC386" s="42"/>
    </row>
    <row r="387" spans="15:29" x14ac:dyDescent="0.25">
      <c r="O387" s="42"/>
      <c r="R387" s="42"/>
      <c r="AC387" s="42"/>
    </row>
    <row r="388" spans="15:29" x14ac:dyDescent="0.25">
      <c r="O388" s="42"/>
      <c r="R388" s="42"/>
      <c r="AC388" s="42"/>
    </row>
    <row r="389" spans="15:29" x14ac:dyDescent="0.25">
      <c r="O389" s="42"/>
      <c r="R389" s="42"/>
      <c r="AC389" s="42"/>
    </row>
    <row r="390" spans="15:29" x14ac:dyDescent="0.25">
      <c r="O390" s="42"/>
      <c r="R390" s="42"/>
      <c r="AC390" s="42"/>
    </row>
    <row r="391" spans="15:29" x14ac:dyDescent="0.25">
      <c r="O391" s="42"/>
      <c r="R391" s="42"/>
      <c r="AC391" s="42"/>
    </row>
    <row r="392" spans="15:29" x14ac:dyDescent="0.25">
      <c r="O392" s="42"/>
      <c r="R392" s="42"/>
      <c r="AC392" s="42"/>
    </row>
    <row r="393" spans="15:29" x14ac:dyDescent="0.25">
      <c r="O393" s="42"/>
      <c r="R393" s="42"/>
      <c r="AC393" s="42"/>
    </row>
    <row r="394" spans="15:29" x14ac:dyDescent="0.25">
      <c r="O394" s="42"/>
      <c r="R394" s="42"/>
      <c r="AC394" s="42"/>
    </row>
    <row r="395" spans="15:29" x14ac:dyDescent="0.25">
      <c r="O395" s="42"/>
      <c r="R395" s="42"/>
      <c r="AC395" s="42"/>
    </row>
    <row r="396" spans="15:29" x14ac:dyDescent="0.25">
      <c r="O396" s="42"/>
      <c r="R396" s="42"/>
      <c r="AC396" s="42"/>
    </row>
    <row r="397" spans="15:29" x14ac:dyDescent="0.25">
      <c r="O397" s="42"/>
      <c r="R397" s="42"/>
      <c r="AC397" s="42"/>
    </row>
    <row r="398" spans="15:29" x14ac:dyDescent="0.25">
      <c r="O398" s="42"/>
      <c r="R398" s="42"/>
      <c r="AC398" s="42"/>
    </row>
    <row r="399" spans="15:29" x14ac:dyDescent="0.25">
      <c r="O399" s="42"/>
      <c r="R399" s="42"/>
      <c r="AC399" s="42"/>
    </row>
    <row r="400" spans="15:29" x14ac:dyDescent="0.25">
      <c r="O400" s="42"/>
      <c r="R400" s="42"/>
      <c r="AC400" s="42"/>
    </row>
    <row r="401" spans="15:29" x14ac:dyDescent="0.25">
      <c r="O401" s="42"/>
      <c r="R401" s="42"/>
      <c r="AC401" s="42"/>
    </row>
    <row r="402" spans="15:29" x14ac:dyDescent="0.25">
      <c r="O402" s="42"/>
      <c r="R402" s="42"/>
      <c r="AC402" s="42"/>
    </row>
    <row r="403" spans="15:29" x14ac:dyDescent="0.25">
      <c r="O403" s="42"/>
      <c r="R403" s="42"/>
      <c r="AC403" s="42"/>
    </row>
    <row r="404" spans="15:29" x14ac:dyDescent="0.25">
      <c r="O404" s="42"/>
      <c r="R404" s="42"/>
      <c r="AC404" s="42"/>
    </row>
    <row r="405" spans="15:29" x14ac:dyDescent="0.25">
      <c r="O405" s="42"/>
      <c r="R405" s="42"/>
      <c r="AC405" s="42"/>
    </row>
    <row r="406" spans="15:29" x14ac:dyDescent="0.25">
      <c r="O406" s="42"/>
      <c r="R406" s="42"/>
      <c r="AC406" s="42"/>
    </row>
    <row r="407" spans="15:29" x14ac:dyDescent="0.25">
      <c r="O407" s="42"/>
      <c r="R407" s="42"/>
      <c r="AC407" s="42"/>
    </row>
    <row r="408" spans="15:29" x14ac:dyDescent="0.25">
      <c r="O408" s="42"/>
      <c r="R408" s="42"/>
      <c r="AC408" s="42"/>
    </row>
    <row r="409" spans="15:29" x14ac:dyDescent="0.25">
      <c r="O409" s="42"/>
      <c r="R409" s="42"/>
      <c r="AC409" s="42"/>
    </row>
    <row r="410" spans="15:29" x14ac:dyDescent="0.25">
      <c r="O410" s="42"/>
      <c r="R410" s="42"/>
      <c r="AC410" s="42"/>
    </row>
    <row r="411" spans="15:29" x14ac:dyDescent="0.25">
      <c r="O411" s="42"/>
      <c r="R411" s="42"/>
      <c r="AC411" s="42"/>
    </row>
    <row r="412" spans="15:29" x14ac:dyDescent="0.25">
      <c r="O412" s="42"/>
      <c r="R412" s="42"/>
      <c r="AC412" s="42"/>
    </row>
    <row r="413" spans="15:29" x14ac:dyDescent="0.25">
      <c r="O413" s="42"/>
      <c r="R413" s="42"/>
      <c r="AC413" s="42"/>
    </row>
    <row r="414" spans="15:29" x14ac:dyDescent="0.25">
      <c r="O414" s="42"/>
      <c r="R414" s="42"/>
      <c r="AC414" s="42"/>
    </row>
    <row r="415" spans="15:29" x14ac:dyDescent="0.25">
      <c r="O415" s="42"/>
      <c r="R415" s="42"/>
      <c r="AC415" s="42"/>
    </row>
    <row r="416" spans="15:29" x14ac:dyDescent="0.25">
      <c r="O416" s="42"/>
      <c r="R416" s="42"/>
      <c r="AC416" s="42"/>
    </row>
    <row r="417" spans="15:29" x14ac:dyDescent="0.25">
      <c r="O417" s="42"/>
      <c r="R417" s="42"/>
      <c r="AC417" s="42"/>
    </row>
    <row r="418" spans="15:29" x14ac:dyDescent="0.25">
      <c r="O418" s="42"/>
      <c r="R418" s="42"/>
      <c r="AC418" s="42"/>
    </row>
    <row r="419" spans="15:29" x14ac:dyDescent="0.25">
      <c r="O419" s="42"/>
      <c r="R419" s="42"/>
      <c r="AC419" s="42"/>
    </row>
    <row r="420" spans="15:29" x14ac:dyDescent="0.25">
      <c r="O420" s="42"/>
      <c r="R420" s="42"/>
      <c r="AC420" s="42"/>
    </row>
    <row r="421" spans="15:29" x14ac:dyDescent="0.25">
      <c r="O421" s="42"/>
      <c r="R421" s="42"/>
      <c r="AC421" s="42"/>
    </row>
    <row r="422" spans="15:29" x14ac:dyDescent="0.25">
      <c r="O422" s="42"/>
      <c r="R422" s="42"/>
      <c r="AC422" s="42"/>
    </row>
    <row r="423" spans="15:29" x14ac:dyDescent="0.25">
      <c r="O423" s="42"/>
      <c r="R423" s="42"/>
      <c r="AC423" s="42"/>
    </row>
    <row r="424" spans="15:29" x14ac:dyDescent="0.25">
      <c r="O424" s="42"/>
      <c r="R424" s="42"/>
      <c r="AC424" s="42"/>
    </row>
    <row r="425" spans="15:29" x14ac:dyDescent="0.25">
      <c r="O425" s="42"/>
      <c r="R425" s="42"/>
      <c r="AC425" s="42"/>
    </row>
    <row r="426" spans="15:29" x14ac:dyDescent="0.25">
      <c r="O426" s="42"/>
      <c r="R426" s="42"/>
      <c r="AC426" s="42"/>
    </row>
    <row r="427" spans="15:29" x14ac:dyDescent="0.25">
      <c r="O427" s="42"/>
      <c r="R427" s="42"/>
      <c r="AC427" s="42"/>
    </row>
    <row r="428" spans="15:29" x14ac:dyDescent="0.25">
      <c r="O428" s="42"/>
      <c r="R428" s="42"/>
      <c r="AC428" s="42"/>
    </row>
    <row r="429" spans="15:29" x14ac:dyDescent="0.25">
      <c r="O429" s="42"/>
      <c r="R429" s="42"/>
      <c r="AC429" s="42"/>
    </row>
    <row r="430" spans="15:29" x14ac:dyDescent="0.25">
      <c r="O430" s="42"/>
      <c r="R430" s="42"/>
      <c r="AC430" s="42"/>
    </row>
    <row r="431" spans="15:29" x14ac:dyDescent="0.25">
      <c r="O431" s="42"/>
      <c r="R431" s="42"/>
      <c r="AC431" s="42"/>
    </row>
    <row r="432" spans="15:29" x14ac:dyDescent="0.25">
      <c r="O432" s="42"/>
      <c r="R432" s="42"/>
      <c r="AC432" s="42"/>
    </row>
    <row r="433" spans="15:29" x14ac:dyDescent="0.25">
      <c r="O433" s="42"/>
      <c r="R433" s="42"/>
      <c r="AC433" s="42"/>
    </row>
    <row r="434" spans="15:29" x14ac:dyDescent="0.25">
      <c r="O434" s="42"/>
      <c r="R434" s="42"/>
      <c r="AC434" s="42"/>
    </row>
    <row r="435" spans="15:29" x14ac:dyDescent="0.25">
      <c r="O435" s="42"/>
      <c r="R435" s="42"/>
      <c r="AC435" s="42"/>
    </row>
    <row r="436" spans="15:29" x14ac:dyDescent="0.25">
      <c r="O436" s="42"/>
      <c r="R436" s="42"/>
      <c r="AC436" s="42"/>
    </row>
    <row r="437" spans="15:29" x14ac:dyDescent="0.25">
      <c r="O437" s="42"/>
      <c r="R437" s="42"/>
      <c r="AC437" s="42"/>
    </row>
    <row r="438" spans="15:29" x14ac:dyDescent="0.25">
      <c r="O438" s="42"/>
      <c r="R438" s="42"/>
      <c r="AC438" s="42"/>
    </row>
    <row r="439" spans="15:29" x14ac:dyDescent="0.25">
      <c r="O439" s="42"/>
      <c r="R439" s="42"/>
      <c r="AC439" s="42"/>
    </row>
    <row r="440" spans="15:29" x14ac:dyDescent="0.25">
      <c r="O440" s="42"/>
      <c r="R440" s="42"/>
      <c r="AC440" s="42"/>
    </row>
    <row r="441" spans="15:29" x14ac:dyDescent="0.25">
      <c r="O441" s="42"/>
      <c r="R441" s="42"/>
      <c r="AC441" s="42"/>
    </row>
    <row r="442" spans="15:29" x14ac:dyDescent="0.25">
      <c r="O442" s="42"/>
      <c r="R442" s="42"/>
      <c r="AC442" s="42"/>
    </row>
    <row r="443" spans="15:29" x14ac:dyDescent="0.25">
      <c r="O443" s="42"/>
      <c r="R443" s="42"/>
      <c r="AC443" s="42"/>
    </row>
    <row r="444" spans="15:29" x14ac:dyDescent="0.25">
      <c r="O444" s="42"/>
      <c r="R444" s="42"/>
      <c r="AC444" s="42"/>
    </row>
    <row r="445" spans="15:29" x14ac:dyDescent="0.25">
      <c r="O445" s="42"/>
      <c r="R445" s="42"/>
      <c r="AC445" s="42"/>
    </row>
    <row r="446" spans="15:29" x14ac:dyDescent="0.25">
      <c r="O446" s="42"/>
      <c r="R446" s="42"/>
      <c r="AC446" s="42"/>
    </row>
    <row r="447" spans="15:29" x14ac:dyDescent="0.25">
      <c r="O447" s="42"/>
      <c r="R447" s="42"/>
      <c r="AC447" s="42"/>
    </row>
    <row r="448" spans="15:29" x14ac:dyDescent="0.25">
      <c r="O448" s="42"/>
      <c r="R448" s="42"/>
      <c r="AC448" s="42"/>
    </row>
    <row r="449" spans="15:29" x14ac:dyDescent="0.25">
      <c r="O449" s="42"/>
      <c r="R449" s="42"/>
      <c r="AC449" s="42"/>
    </row>
    <row r="450" spans="15:29" x14ac:dyDescent="0.25">
      <c r="O450" s="42"/>
      <c r="R450" s="42"/>
      <c r="AC450" s="42"/>
    </row>
    <row r="451" spans="15:29" x14ac:dyDescent="0.25">
      <c r="O451" s="42"/>
      <c r="R451" s="42"/>
      <c r="AC451" s="42"/>
    </row>
    <row r="452" spans="15:29" x14ac:dyDescent="0.25">
      <c r="O452" s="42"/>
      <c r="R452" s="42"/>
      <c r="AC452" s="42"/>
    </row>
    <row r="453" spans="15:29" x14ac:dyDescent="0.25">
      <c r="O453" s="42"/>
      <c r="R453" s="42"/>
      <c r="AC453" s="42"/>
    </row>
    <row r="454" spans="15:29" x14ac:dyDescent="0.25">
      <c r="O454" s="42"/>
      <c r="R454" s="42"/>
      <c r="AC454" s="42"/>
    </row>
    <row r="455" spans="15:29" x14ac:dyDescent="0.25">
      <c r="O455" s="42"/>
      <c r="R455" s="42"/>
      <c r="AC455" s="42"/>
    </row>
    <row r="456" spans="15:29" x14ac:dyDescent="0.25">
      <c r="O456" s="42"/>
      <c r="R456" s="42"/>
      <c r="AC456" s="42"/>
    </row>
    <row r="457" spans="15:29" x14ac:dyDescent="0.25">
      <c r="O457" s="42"/>
      <c r="R457" s="42"/>
      <c r="AC457" s="42"/>
    </row>
    <row r="458" spans="15:29" x14ac:dyDescent="0.25">
      <c r="O458" s="42"/>
      <c r="R458" s="42"/>
      <c r="AC458" s="42"/>
    </row>
    <row r="459" spans="15:29" x14ac:dyDescent="0.25">
      <c r="O459" s="42"/>
      <c r="R459" s="42"/>
      <c r="AC459" s="42"/>
    </row>
    <row r="460" spans="15:29" x14ac:dyDescent="0.25">
      <c r="O460" s="42"/>
      <c r="R460" s="42"/>
      <c r="AC460" s="42"/>
    </row>
    <row r="461" spans="15:29" x14ac:dyDescent="0.25">
      <c r="O461" s="42"/>
      <c r="R461" s="42"/>
      <c r="AC461" s="42"/>
    </row>
    <row r="462" spans="15:29" x14ac:dyDescent="0.25">
      <c r="O462" s="42"/>
      <c r="R462" s="42"/>
      <c r="AC462" s="42"/>
    </row>
    <row r="463" spans="15:29" x14ac:dyDescent="0.25">
      <c r="O463" s="42"/>
      <c r="R463" s="42"/>
      <c r="AC463" s="42"/>
    </row>
    <row r="464" spans="15:29" x14ac:dyDescent="0.25">
      <c r="O464" s="42"/>
      <c r="R464" s="42"/>
      <c r="AC464" s="42"/>
    </row>
    <row r="465" spans="15:29" x14ac:dyDescent="0.25">
      <c r="O465" s="42"/>
      <c r="R465" s="42"/>
      <c r="AC465" s="42"/>
    </row>
    <row r="466" spans="15:29" x14ac:dyDescent="0.25">
      <c r="O466" s="42"/>
      <c r="R466" s="42"/>
      <c r="AC466" s="42"/>
    </row>
    <row r="467" spans="15:29" x14ac:dyDescent="0.25">
      <c r="O467" s="42"/>
      <c r="R467" s="42"/>
      <c r="AC467" s="42"/>
    </row>
    <row r="468" spans="15:29" x14ac:dyDescent="0.25">
      <c r="O468" s="42"/>
      <c r="R468" s="42"/>
      <c r="AC468" s="42"/>
    </row>
    <row r="469" spans="15:29" x14ac:dyDescent="0.25">
      <c r="O469" s="42"/>
      <c r="R469" s="42"/>
      <c r="AC469" s="42"/>
    </row>
    <row r="470" spans="15:29" x14ac:dyDescent="0.25">
      <c r="O470" s="42"/>
      <c r="R470" s="42"/>
      <c r="AC470" s="42"/>
    </row>
    <row r="471" spans="15:29" x14ac:dyDescent="0.25">
      <c r="O471" s="42"/>
      <c r="R471" s="42"/>
      <c r="AC471" s="42"/>
    </row>
    <row r="472" spans="15:29" x14ac:dyDescent="0.25">
      <c r="O472" s="42"/>
      <c r="R472" s="42"/>
      <c r="AC472" s="42"/>
    </row>
    <row r="473" spans="15:29" x14ac:dyDescent="0.25">
      <c r="O473" s="42"/>
      <c r="R473" s="42"/>
      <c r="AC473" s="42"/>
    </row>
    <row r="474" spans="15:29" x14ac:dyDescent="0.25">
      <c r="O474" s="42"/>
      <c r="R474" s="42"/>
      <c r="AC474" s="42"/>
    </row>
    <row r="475" spans="15:29" x14ac:dyDescent="0.25">
      <c r="O475" s="42"/>
      <c r="R475" s="42"/>
      <c r="AC475" s="42"/>
    </row>
    <row r="476" spans="15:29" x14ac:dyDescent="0.25">
      <c r="O476" s="42"/>
      <c r="R476" s="42"/>
      <c r="AC476" s="42"/>
    </row>
    <row r="477" spans="15:29" x14ac:dyDescent="0.25">
      <c r="O477" s="42"/>
      <c r="R477" s="42"/>
      <c r="AC477" s="42"/>
    </row>
    <row r="478" spans="15:29" x14ac:dyDescent="0.25">
      <c r="O478" s="42"/>
      <c r="R478" s="42"/>
      <c r="AC478" s="42"/>
    </row>
    <row r="479" spans="15:29" x14ac:dyDescent="0.25">
      <c r="O479" s="42"/>
      <c r="R479" s="42"/>
      <c r="AC479" s="42"/>
    </row>
    <row r="480" spans="15:29" x14ac:dyDescent="0.25">
      <c r="O480" s="42"/>
      <c r="R480" s="42"/>
      <c r="AC480" s="42"/>
    </row>
    <row r="481" spans="15:29" x14ac:dyDescent="0.25">
      <c r="O481" s="42"/>
      <c r="R481" s="42"/>
      <c r="AC481" s="42"/>
    </row>
    <row r="482" spans="15:29" x14ac:dyDescent="0.25">
      <c r="O482" s="42"/>
      <c r="R482" s="42"/>
      <c r="AC482" s="42"/>
    </row>
    <row r="483" spans="15:29" x14ac:dyDescent="0.25">
      <c r="O483" s="42"/>
      <c r="R483" s="42"/>
      <c r="AC483" s="42"/>
    </row>
    <row r="484" spans="15:29" x14ac:dyDescent="0.25">
      <c r="O484" s="42"/>
      <c r="R484" s="42"/>
      <c r="AC484" s="42"/>
    </row>
    <row r="485" spans="15:29" x14ac:dyDescent="0.25">
      <c r="O485" s="42"/>
      <c r="R485" s="42"/>
      <c r="AC485" s="42"/>
    </row>
    <row r="486" spans="15:29" x14ac:dyDescent="0.25">
      <c r="O486" s="42"/>
      <c r="R486" s="42"/>
      <c r="AC486" s="42"/>
    </row>
    <row r="487" spans="15:29" x14ac:dyDescent="0.25">
      <c r="O487" s="42"/>
      <c r="R487" s="42"/>
      <c r="AC487" s="42"/>
    </row>
    <row r="488" spans="15:29" x14ac:dyDescent="0.25">
      <c r="O488" s="42"/>
      <c r="R488" s="42"/>
      <c r="AC488" s="42"/>
    </row>
    <row r="489" spans="15:29" x14ac:dyDescent="0.25">
      <c r="O489" s="42"/>
      <c r="R489" s="42"/>
      <c r="AC489" s="42"/>
    </row>
    <row r="490" spans="15:29" x14ac:dyDescent="0.25">
      <c r="O490" s="42"/>
      <c r="R490" s="42"/>
      <c r="AC490" s="42"/>
    </row>
    <row r="491" spans="15:29" x14ac:dyDescent="0.25">
      <c r="O491" s="42"/>
      <c r="R491" s="42"/>
      <c r="AC491" s="42"/>
    </row>
    <row r="492" spans="15:29" x14ac:dyDescent="0.25">
      <c r="O492" s="42"/>
      <c r="R492" s="42"/>
      <c r="AC492" s="42"/>
    </row>
    <row r="493" spans="15:29" x14ac:dyDescent="0.25">
      <c r="O493" s="42"/>
      <c r="R493" s="42"/>
      <c r="AC493" s="42"/>
    </row>
    <row r="494" spans="15:29" x14ac:dyDescent="0.25">
      <c r="O494" s="42"/>
      <c r="R494" s="42"/>
      <c r="AC494" s="42"/>
    </row>
    <row r="495" spans="15:29" x14ac:dyDescent="0.25">
      <c r="O495" s="42"/>
      <c r="R495" s="42"/>
      <c r="AC495" s="42"/>
    </row>
    <row r="496" spans="15:29" x14ac:dyDescent="0.25">
      <c r="O496" s="42"/>
      <c r="R496" s="42"/>
      <c r="AC496" s="42"/>
    </row>
    <row r="497" spans="15:29" x14ac:dyDescent="0.25">
      <c r="O497" s="42"/>
      <c r="R497" s="42"/>
      <c r="AC497" s="42"/>
    </row>
    <row r="498" spans="15:29" x14ac:dyDescent="0.25">
      <c r="O498" s="42"/>
      <c r="R498" s="42"/>
      <c r="AC498" s="42"/>
    </row>
    <row r="499" spans="15:29" x14ac:dyDescent="0.25">
      <c r="O499" s="42"/>
      <c r="R499" s="42"/>
      <c r="AC499" s="42"/>
    </row>
    <row r="500" spans="15:29" x14ac:dyDescent="0.25">
      <c r="O500" s="42"/>
      <c r="R500" s="42"/>
      <c r="AC500" s="42"/>
    </row>
    <row r="501" spans="15:29" x14ac:dyDescent="0.25">
      <c r="O501" s="42"/>
      <c r="R501" s="42"/>
      <c r="AC501" s="42"/>
    </row>
    <row r="502" spans="15:29" x14ac:dyDescent="0.25">
      <c r="O502" s="42"/>
      <c r="R502" s="42"/>
      <c r="AC502" s="42"/>
    </row>
    <row r="503" spans="15:29" x14ac:dyDescent="0.25">
      <c r="O503" s="42"/>
      <c r="R503" s="42"/>
      <c r="AC503" s="42"/>
    </row>
    <row r="504" spans="15:29" x14ac:dyDescent="0.25">
      <c r="O504" s="42"/>
      <c r="R504" s="42"/>
      <c r="AC504" s="42"/>
    </row>
    <row r="505" spans="15:29" x14ac:dyDescent="0.25">
      <c r="O505" s="42"/>
      <c r="R505" s="42"/>
      <c r="AC505" s="42"/>
    </row>
    <row r="506" spans="15:29" x14ac:dyDescent="0.25">
      <c r="O506" s="42"/>
      <c r="R506" s="42"/>
      <c r="AC506" s="42"/>
    </row>
    <row r="507" spans="15:29" x14ac:dyDescent="0.25">
      <c r="O507" s="42"/>
      <c r="R507" s="42"/>
      <c r="AC507" s="42"/>
    </row>
    <row r="508" spans="15:29" x14ac:dyDescent="0.25">
      <c r="O508" s="42"/>
      <c r="R508" s="42"/>
      <c r="AC508" s="42"/>
    </row>
    <row r="509" spans="15:29" x14ac:dyDescent="0.25">
      <c r="O509" s="42"/>
      <c r="R509" s="42"/>
      <c r="AC509" s="42"/>
    </row>
    <row r="510" spans="15:29" x14ac:dyDescent="0.25">
      <c r="O510" s="42"/>
      <c r="R510" s="42"/>
      <c r="AC510" s="42"/>
    </row>
    <row r="511" spans="15:29" x14ac:dyDescent="0.25">
      <c r="O511" s="42"/>
      <c r="R511" s="42"/>
      <c r="AC511" s="42"/>
    </row>
    <row r="512" spans="15:29" x14ac:dyDescent="0.25">
      <c r="O512" s="42"/>
      <c r="R512" s="42"/>
      <c r="AC512" s="42"/>
    </row>
    <row r="513" spans="15:29" x14ac:dyDescent="0.25">
      <c r="O513" s="42"/>
      <c r="R513" s="42"/>
      <c r="AC513" s="42"/>
    </row>
    <row r="514" spans="15:29" x14ac:dyDescent="0.25">
      <c r="O514" s="42"/>
      <c r="R514" s="42"/>
      <c r="AC514" s="42"/>
    </row>
    <row r="515" spans="15:29" x14ac:dyDescent="0.25">
      <c r="O515" s="42"/>
      <c r="R515" s="42"/>
      <c r="AC515" s="42"/>
    </row>
    <row r="516" spans="15:29" x14ac:dyDescent="0.25">
      <c r="O516" s="42"/>
      <c r="R516" s="42"/>
      <c r="AC516" s="42"/>
    </row>
    <row r="517" spans="15:29" x14ac:dyDescent="0.25">
      <c r="O517" s="42"/>
      <c r="R517" s="42"/>
      <c r="AC517" s="42"/>
    </row>
    <row r="518" spans="15:29" x14ac:dyDescent="0.25">
      <c r="O518" s="42"/>
      <c r="R518" s="42"/>
      <c r="AC518" s="42"/>
    </row>
    <row r="519" spans="15:29" x14ac:dyDescent="0.25">
      <c r="O519" s="42"/>
      <c r="R519" s="42"/>
      <c r="AC519" s="42"/>
    </row>
    <row r="520" spans="15:29" x14ac:dyDescent="0.25">
      <c r="O520" s="42"/>
      <c r="R520" s="42"/>
      <c r="AC520" s="42"/>
    </row>
    <row r="521" spans="15:29" x14ac:dyDescent="0.25">
      <c r="O521" s="42"/>
      <c r="R521" s="42"/>
      <c r="AC521" s="42"/>
    </row>
    <row r="522" spans="15:29" x14ac:dyDescent="0.25">
      <c r="O522" s="42"/>
      <c r="R522" s="42"/>
      <c r="AC522" s="42"/>
    </row>
    <row r="523" spans="15:29" x14ac:dyDescent="0.25">
      <c r="O523" s="42"/>
      <c r="R523" s="42"/>
      <c r="AC523" s="42"/>
    </row>
    <row r="524" spans="15:29" x14ac:dyDescent="0.25">
      <c r="O524" s="42"/>
      <c r="R524" s="42"/>
      <c r="AC524" s="42"/>
    </row>
    <row r="525" spans="15:29" x14ac:dyDescent="0.25">
      <c r="O525" s="42"/>
      <c r="R525" s="42"/>
      <c r="AC525" s="42"/>
    </row>
    <row r="526" spans="15:29" x14ac:dyDescent="0.25">
      <c r="O526" s="42"/>
      <c r="R526" s="42"/>
      <c r="AC526" s="42"/>
    </row>
    <row r="527" spans="15:29" x14ac:dyDescent="0.25">
      <c r="O527" s="42"/>
      <c r="R527" s="42"/>
      <c r="AC527" s="42"/>
    </row>
    <row r="528" spans="15:29" x14ac:dyDescent="0.25">
      <c r="O528" s="42"/>
      <c r="R528" s="42"/>
      <c r="AC528" s="42"/>
    </row>
    <row r="529" spans="15:29" x14ac:dyDescent="0.25">
      <c r="O529" s="42"/>
      <c r="R529" s="42"/>
      <c r="AC529" s="42"/>
    </row>
    <row r="530" spans="15:29" x14ac:dyDescent="0.25">
      <c r="O530" s="42"/>
      <c r="R530" s="42"/>
      <c r="AC530" s="42"/>
    </row>
    <row r="531" spans="15:29" x14ac:dyDescent="0.25">
      <c r="O531" s="42"/>
      <c r="R531" s="42"/>
      <c r="AC531" s="42"/>
    </row>
    <row r="532" spans="15:29" x14ac:dyDescent="0.25">
      <c r="O532" s="42"/>
      <c r="R532" s="42"/>
      <c r="AC532" s="42"/>
    </row>
    <row r="533" spans="15:29" x14ac:dyDescent="0.25">
      <c r="O533" s="42"/>
      <c r="R533" s="42"/>
      <c r="AC533" s="42"/>
    </row>
    <row r="534" spans="15:29" x14ac:dyDescent="0.25">
      <c r="O534" s="42"/>
      <c r="R534" s="42"/>
      <c r="AC534" s="42"/>
    </row>
    <row r="535" spans="15:29" x14ac:dyDescent="0.25">
      <c r="O535" s="42"/>
      <c r="R535" s="42"/>
      <c r="AC535" s="42"/>
    </row>
    <row r="536" spans="15:29" x14ac:dyDescent="0.25">
      <c r="O536" s="42"/>
      <c r="R536" s="42"/>
      <c r="AC536" s="42"/>
    </row>
    <row r="537" spans="15:29" x14ac:dyDescent="0.25">
      <c r="O537" s="42"/>
      <c r="R537" s="42"/>
      <c r="AC537" s="42"/>
    </row>
    <row r="538" spans="15:29" x14ac:dyDescent="0.25">
      <c r="O538" s="42"/>
      <c r="R538" s="42"/>
      <c r="AC538" s="42"/>
    </row>
    <row r="539" spans="15:29" x14ac:dyDescent="0.25">
      <c r="O539" s="42"/>
      <c r="R539" s="42"/>
      <c r="AC539" s="42"/>
    </row>
    <row r="540" spans="15:29" x14ac:dyDescent="0.25">
      <c r="O540" s="42"/>
      <c r="R540" s="42"/>
      <c r="AC540" s="42"/>
    </row>
    <row r="541" spans="15:29" x14ac:dyDescent="0.25">
      <c r="O541" s="42"/>
      <c r="R541" s="42"/>
      <c r="AC541" s="42"/>
    </row>
    <row r="542" spans="15:29" x14ac:dyDescent="0.25">
      <c r="O542" s="42"/>
      <c r="R542" s="42"/>
      <c r="AC542" s="42"/>
    </row>
    <row r="543" spans="15:29" x14ac:dyDescent="0.25">
      <c r="O543" s="42"/>
      <c r="R543" s="42"/>
      <c r="AC543" s="42"/>
    </row>
    <row r="544" spans="15:29" x14ac:dyDescent="0.25">
      <c r="O544" s="42"/>
      <c r="R544" s="42"/>
      <c r="AC544" s="42"/>
    </row>
    <row r="545" spans="15:29" x14ac:dyDescent="0.25">
      <c r="O545" s="42"/>
      <c r="R545" s="42"/>
      <c r="AC545" s="42"/>
    </row>
    <row r="546" spans="15:29" x14ac:dyDescent="0.25">
      <c r="O546" s="42"/>
      <c r="R546" s="42"/>
      <c r="AC546" s="42"/>
    </row>
    <row r="547" spans="15:29" x14ac:dyDescent="0.25">
      <c r="O547" s="42"/>
      <c r="R547" s="42"/>
      <c r="AC547" s="42"/>
    </row>
    <row r="548" spans="15:29" x14ac:dyDescent="0.25">
      <c r="O548" s="42"/>
      <c r="R548" s="42"/>
      <c r="AC548" s="42"/>
    </row>
    <row r="549" spans="15:29" x14ac:dyDescent="0.25">
      <c r="O549" s="42"/>
      <c r="R549" s="42"/>
      <c r="AC549" s="42"/>
    </row>
    <row r="550" spans="15:29" x14ac:dyDescent="0.25">
      <c r="O550" s="42"/>
      <c r="R550" s="42"/>
      <c r="AC550" s="42"/>
    </row>
    <row r="551" spans="15:29" x14ac:dyDescent="0.25">
      <c r="O551" s="42"/>
      <c r="R551" s="42"/>
      <c r="AC551" s="42"/>
    </row>
    <row r="552" spans="15:29" x14ac:dyDescent="0.25">
      <c r="O552" s="42"/>
      <c r="R552" s="42"/>
      <c r="AC552" s="42"/>
    </row>
    <row r="553" spans="15:29" x14ac:dyDescent="0.25">
      <c r="O553" s="42"/>
      <c r="R553" s="42"/>
      <c r="AC553" s="42"/>
    </row>
    <row r="554" spans="15:29" x14ac:dyDescent="0.25">
      <c r="O554" s="42"/>
      <c r="R554" s="42"/>
      <c r="AC554" s="42"/>
    </row>
    <row r="555" spans="15:29" x14ac:dyDescent="0.25">
      <c r="O555" s="42"/>
      <c r="R555" s="42"/>
      <c r="AC555" s="42"/>
    </row>
    <row r="556" spans="15:29" x14ac:dyDescent="0.25">
      <c r="O556" s="42"/>
      <c r="R556" s="42"/>
      <c r="AC556" s="42"/>
    </row>
    <row r="557" spans="15:29" x14ac:dyDescent="0.25">
      <c r="O557" s="42"/>
      <c r="R557" s="42"/>
      <c r="AC557" s="42"/>
    </row>
    <row r="558" spans="15:29" x14ac:dyDescent="0.25">
      <c r="O558" s="42"/>
      <c r="R558" s="42"/>
      <c r="AC558" s="42"/>
    </row>
    <row r="559" spans="15:29" x14ac:dyDescent="0.25">
      <c r="O559" s="42"/>
      <c r="R559" s="42"/>
      <c r="AC559" s="42"/>
    </row>
    <row r="560" spans="15:29" x14ac:dyDescent="0.25">
      <c r="O560" s="42"/>
      <c r="R560" s="42"/>
      <c r="AC560" s="42"/>
    </row>
    <row r="561" spans="15:29" x14ac:dyDescent="0.25">
      <c r="O561" s="42"/>
      <c r="R561" s="42"/>
      <c r="AC561" s="42"/>
    </row>
    <row r="562" spans="15:29" x14ac:dyDescent="0.25">
      <c r="O562" s="42"/>
      <c r="R562" s="42"/>
      <c r="AC562" s="42"/>
    </row>
    <row r="563" spans="15:29" x14ac:dyDescent="0.25">
      <c r="O563" s="42"/>
      <c r="R563" s="42"/>
      <c r="AC563" s="42"/>
    </row>
    <row r="564" spans="15:29" x14ac:dyDescent="0.25">
      <c r="O564" s="42"/>
      <c r="R564" s="42"/>
      <c r="AC564" s="42"/>
    </row>
    <row r="565" spans="15:29" x14ac:dyDescent="0.25">
      <c r="O565" s="42"/>
      <c r="R565" s="42"/>
      <c r="AC565" s="42"/>
    </row>
    <row r="566" spans="15:29" x14ac:dyDescent="0.25">
      <c r="O566" s="42"/>
      <c r="R566" s="42"/>
      <c r="AC566" s="42"/>
    </row>
    <row r="567" spans="15:29" x14ac:dyDescent="0.25">
      <c r="O567" s="42"/>
      <c r="R567" s="42"/>
      <c r="AC567" s="42"/>
    </row>
    <row r="568" spans="15:29" x14ac:dyDescent="0.25">
      <c r="O568" s="42"/>
      <c r="R568" s="42"/>
      <c r="AC568" s="42"/>
    </row>
    <row r="569" spans="15:29" x14ac:dyDescent="0.25">
      <c r="O569" s="42"/>
      <c r="R569" s="42"/>
      <c r="AC569" s="42"/>
    </row>
    <row r="570" spans="15:29" x14ac:dyDescent="0.25">
      <c r="O570" s="42"/>
      <c r="R570" s="42"/>
      <c r="AC570" s="42"/>
    </row>
    <row r="571" spans="15:29" x14ac:dyDescent="0.25">
      <c r="O571" s="42"/>
      <c r="R571" s="42"/>
      <c r="AC571" s="42"/>
    </row>
    <row r="572" spans="15:29" x14ac:dyDescent="0.25">
      <c r="O572" s="42"/>
      <c r="R572" s="42"/>
      <c r="AC572" s="42"/>
    </row>
    <row r="573" spans="15:29" x14ac:dyDescent="0.25">
      <c r="O573" s="42"/>
      <c r="R573" s="42"/>
      <c r="AC573" s="42"/>
    </row>
    <row r="574" spans="15:29" x14ac:dyDescent="0.25">
      <c r="O574" s="42"/>
      <c r="R574" s="42"/>
      <c r="AC574" s="42"/>
    </row>
    <row r="575" spans="15:29" x14ac:dyDescent="0.25">
      <c r="O575" s="42"/>
      <c r="R575" s="42"/>
      <c r="AC575" s="42"/>
    </row>
    <row r="576" spans="15:29" x14ac:dyDescent="0.25">
      <c r="O576" s="42"/>
      <c r="R576" s="42"/>
      <c r="AC576" s="42"/>
    </row>
    <row r="577" spans="15:29" x14ac:dyDescent="0.25">
      <c r="O577" s="42"/>
      <c r="R577" s="42"/>
      <c r="AC577" s="42"/>
    </row>
    <row r="578" spans="15:29" x14ac:dyDescent="0.25">
      <c r="O578" s="42"/>
      <c r="R578" s="42"/>
      <c r="AC578" s="42"/>
    </row>
    <row r="579" spans="15:29" x14ac:dyDescent="0.25">
      <c r="O579" s="42"/>
      <c r="R579" s="42"/>
      <c r="AC579" s="42"/>
    </row>
    <row r="580" spans="15:29" x14ac:dyDescent="0.25">
      <c r="O580" s="42"/>
      <c r="R580" s="42"/>
      <c r="AC580" s="42"/>
    </row>
    <row r="581" spans="15:29" x14ac:dyDescent="0.25">
      <c r="O581" s="42"/>
      <c r="R581" s="42"/>
      <c r="AC581" s="42"/>
    </row>
    <row r="582" spans="15:29" x14ac:dyDescent="0.25">
      <c r="O582" s="42"/>
      <c r="R582" s="42"/>
      <c r="AC582" s="42"/>
    </row>
    <row r="583" spans="15:29" x14ac:dyDescent="0.25">
      <c r="O583" s="42"/>
      <c r="R583" s="42"/>
      <c r="AC583" s="42"/>
    </row>
    <row r="584" spans="15:29" x14ac:dyDescent="0.25">
      <c r="O584" s="42"/>
      <c r="R584" s="42"/>
      <c r="AC584" s="42"/>
    </row>
    <row r="585" spans="15:29" x14ac:dyDescent="0.25">
      <c r="O585" s="42"/>
      <c r="R585" s="42"/>
      <c r="AC585" s="42"/>
    </row>
    <row r="586" spans="15:29" x14ac:dyDescent="0.25">
      <c r="O586" s="42"/>
      <c r="R586" s="42"/>
      <c r="AC586" s="42"/>
    </row>
    <row r="587" spans="15:29" x14ac:dyDescent="0.25">
      <c r="O587" s="42"/>
      <c r="R587" s="42"/>
      <c r="AC587" s="42"/>
    </row>
    <row r="588" spans="15:29" x14ac:dyDescent="0.25">
      <c r="O588" s="42"/>
      <c r="R588" s="42"/>
      <c r="AC588" s="42"/>
    </row>
    <row r="589" spans="15:29" x14ac:dyDescent="0.25">
      <c r="O589" s="42"/>
      <c r="R589" s="42"/>
      <c r="AC589" s="42"/>
    </row>
    <row r="590" spans="15:29" x14ac:dyDescent="0.25">
      <c r="O590" s="42"/>
      <c r="R590" s="42"/>
      <c r="AC590" s="42"/>
    </row>
    <row r="591" spans="15:29" x14ac:dyDescent="0.25">
      <c r="O591" s="42"/>
      <c r="R591" s="42"/>
      <c r="AC591" s="42"/>
    </row>
    <row r="592" spans="15:29" x14ac:dyDescent="0.25">
      <c r="O592" s="42"/>
      <c r="R592" s="42"/>
      <c r="AC592" s="42"/>
    </row>
    <row r="593" spans="15:29" x14ac:dyDescent="0.25">
      <c r="O593" s="42"/>
      <c r="R593" s="42"/>
      <c r="AC593" s="42"/>
    </row>
    <row r="594" spans="15:29" x14ac:dyDescent="0.25">
      <c r="O594" s="42"/>
      <c r="R594" s="42"/>
      <c r="AC594" s="42"/>
    </row>
    <row r="595" spans="15:29" x14ac:dyDescent="0.25">
      <c r="O595" s="42"/>
      <c r="R595" s="42"/>
      <c r="AC595" s="42"/>
    </row>
    <row r="596" spans="15:29" x14ac:dyDescent="0.25">
      <c r="O596" s="42"/>
      <c r="R596" s="42"/>
      <c r="AC596" s="42"/>
    </row>
    <row r="597" spans="15:29" x14ac:dyDescent="0.25">
      <c r="O597" s="42"/>
      <c r="R597" s="42"/>
      <c r="AC597" s="42"/>
    </row>
    <row r="598" spans="15:29" x14ac:dyDescent="0.25">
      <c r="O598" s="42"/>
      <c r="R598" s="42"/>
      <c r="AC598" s="42"/>
    </row>
    <row r="599" spans="15:29" x14ac:dyDescent="0.25">
      <c r="O599" s="42"/>
      <c r="R599" s="42"/>
      <c r="AC599" s="42"/>
    </row>
    <row r="600" spans="15:29" x14ac:dyDescent="0.25">
      <c r="O600" s="42"/>
      <c r="R600" s="42"/>
      <c r="AC600" s="42"/>
    </row>
    <row r="601" spans="15:29" x14ac:dyDescent="0.25">
      <c r="O601" s="42"/>
      <c r="R601" s="42"/>
      <c r="AC601" s="42"/>
    </row>
    <row r="602" spans="15:29" x14ac:dyDescent="0.25">
      <c r="O602" s="42"/>
      <c r="R602" s="42"/>
      <c r="AC602" s="42"/>
    </row>
    <row r="603" spans="15:29" x14ac:dyDescent="0.25">
      <c r="O603" s="42"/>
      <c r="R603" s="42"/>
      <c r="AC603" s="42"/>
    </row>
    <row r="604" spans="15:29" x14ac:dyDescent="0.25">
      <c r="O604" s="42"/>
      <c r="R604" s="42"/>
      <c r="AC604" s="42"/>
    </row>
    <row r="605" spans="15:29" x14ac:dyDescent="0.25">
      <c r="O605" s="42"/>
      <c r="R605" s="42"/>
      <c r="AC605" s="42"/>
    </row>
    <row r="606" spans="15:29" x14ac:dyDescent="0.25">
      <c r="O606" s="42"/>
      <c r="R606" s="42"/>
      <c r="AC606" s="42"/>
    </row>
    <row r="607" spans="15:29" x14ac:dyDescent="0.25">
      <c r="O607" s="42"/>
      <c r="R607" s="42"/>
      <c r="AC607" s="42"/>
    </row>
    <row r="608" spans="15:29" x14ac:dyDescent="0.25">
      <c r="O608" s="42"/>
      <c r="R608" s="42"/>
      <c r="AC608" s="42"/>
    </row>
    <row r="609" spans="15:29" x14ac:dyDescent="0.25">
      <c r="O609" s="42"/>
      <c r="R609" s="42"/>
      <c r="AC609" s="42"/>
    </row>
    <row r="610" spans="15:29" x14ac:dyDescent="0.25">
      <c r="O610" s="42"/>
      <c r="R610" s="42"/>
      <c r="AC610" s="42"/>
    </row>
    <row r="611" spans="15:29" x14ac:dyDescent="0.25">
      <c r="O611" s="42"/>
      <c r="R611" s="42"/>
      <c r="AC611" s="42"/>
    </row>
    <row r="612" spans="15:29" x14ac:dyDescent="0.25">
      <c r="O612" s="42"/>
      <c r="R612" s="42"/>
      <c r="AC612" s="42"/>
    </row>
    <row r="613" spans="15:29" x14ac:dyDescent="0.25">
      <c r="O613" s="42"/>
      <c r="R613" s="42"/>
      <c r="AC613" s="42"/>
    </row>
    <row r="614" spans="15:29" x14ac:dyDescent="0.25">
      <c r="O614" s="42"/>
      <c r="R614" s="42"/>
      <c r="AC614" s="42"/>
    </row>
    <row r="615" spans="15:29" x14ac:dyDescent="0.25">
      <c r="O615" s="42"/>
      <c r="R615" s="42"/>
      <c r="AC615" s="42"/>
    </row>
    <row r="616" spans="15:29" x14ac:dyDescent="0.25">
      <c r="O616" s="42"/>
      <c r="R616" s="42"/>
      <c r="AC616" s="42"/>
    </row>
    <row r="617" spans="15:29" x14ac:dyDescent="0.25">
      <c r="O617" s="42"/>
      <c r="R617" s="42"/>
      <c r="AC617" s="42"/>
    </row>
    <row r="618" spans="15:29" x14ac:dyDescent="0.25">
      <c r="O618" s="42"/>
      <c r="R618" s="42"/>
      <c r="AC618" s="42"/>
    </row>
    <row r="619" spans="15:29" x14ac:dyDescent="0.25">
      <c r="O619" s="42"/>
      <c r="R619" s="42"/>
      <c r="AC619" s="42"/>
    </row>
    <row r="620" spans="15:29" x14ac:dyDescent="0.25">
      <c r="O620" s="42"/>
      <c r="R620" s="42"/>
      <c r="AC620" s="42"/>
    </row>
    <row r="621" spans="15:29" x14ac:dyDescent="0.25">
      <c r="O621" s="42"/>
      <c r="R621" s="42"/>
      <c r="AC621" s="42"/>
    </row>
    <row r="622" spans="15:29" x14ac:dyDescent="0.25">
      <c r="O622" s="42"/>
      <c r="R622" s="42"/>
      <c r="AC622" s="42"/>
    </row>
    <row r="623" spans="15:29" x14ac:dyDescent="0.25">
      <c r="O623" s="42"/>
      <c r="R623" s="42"/>
      <c r="AC623" s="42"/>
    </row>
    <row r="624" spans="15:29" x14ac:dyDescent="0.25">
      <c r="O624" s="42"/>
      <c r="R624" s="42"/>
      <c r="AC624" s="42"/>
    </row>
    <row r="625" spans="15:29" x14ac:dyDescent="0.25">
      <c r="O625" s="42"/>
      <c r="R625" s="42"/>
      <c r="AC625" s="42"/>
    </row>
    <row r="626" spans="15:29" x14ac:dyDescent="0.25">
      <c r="O626" s="42"/>
      <c r="R626" s="42"/>
      <c r="AC626" s="42"/>
    </row>
    <row r="627" spans="15:29" x14ac:dyDescent="0.25">
      <c r="O627" s="42"/>
      <c r="R627" s="42"/>
      <c r="AC627" s="42"/>
    </row>
    <row r="628" spans="15:29" x14ac:dyDescent="0.25">
      <c r="O628" s="42"/>
      <c r="R628" s="42"/>
      <c r="AC628" s="42"/>
    </row>
    <row r="629" spans="15:29" x14ac:dyDescent="0.25">
      <c r="O629" s="42"/>
      <c r="R629" s="42"/>
      <c r="AC629" s="42"/>
    </row>
    <row r="630" spans="15:29" x14ac:dyDescent="0.25">
      <c r="O630" s="42"/>
      <c r="R630" s="42"/>
      <c r="AC630" s="42"/>
    </row>
    <row r="631" spans="15:29" x14ac:dyDescent="0.25">
      <c r="O631" s="42"/>
      <c r="R631" s="42"/>
      <c r="AC631" s="42"/>
    </row>
    <row r="632" spans="15:29" x14ac:dyDescent="0.25">
      <c r="O632" s="42"/>
      <c r="R632" s="42"/>
      <c r="AC632" s="42"/>
    </row>
    <row r="633" spans="15:29" x14ac:dyDescent="0.25">
      <c r="O633" s="42"/>
      <c r="R633" s="42"/>
      <c r="AC633" s="42"/>
    </row>
    <row r="634" spans="15:29" x14ac:dyDescent="0.25">
      <c r="O634" s="42"/>
      <c r="R634" s="42"/>
      <c r="AC634" s="42"/>
    </row>
    <row r="635" spans="15:29" x14ac:dyDescent="0.25">
      <c r="O635" s="42"/>
      <c r="R635" s="42"/>
      <c r="AC635" s="42"/>
    </row>
    <row r="636" spans="15:29" x14ac:dyDescent="0.25">
      <c r="O636" s="42"/>
      <c r="R636" s="42"/>
      <c r="AC636" s="42"/>
    </row>
    <row r="637" spans="15:29" x14ac:dyDescent="0.25">
      <c r="O637" s="42"/>
      <c r="R637" s="42"/>
      <c r="AC637" s="42"/>
    </row>
    <row r="638" spans="15:29" x14ac:dyDescent="0.25">
      <c r="O638" s="42"/>
      <c r="R638" s="42"/>
      <c r="AC638" s="42"/>
    </row>
    <row r="639" spans="15:29" x14ac:dyDescent="0.25">
      <c r="O639" s="42"/>
      <c r="R639" s="42"/>
      <c r="AC639" s="42"/>
    </row>
    <row r="640" spans="15:29" x14ac:dyDescent="0.25">
      <c r="O640" s="42"/>
      <c r="R640" s="42"/>
      <c r="AC640" s="42"/>
    </row>
    <row r="641" spans="15:29" x14ac:dyDescent="0.25">
      <c r="O641" s="42"/>
      <c r="R641" s="42"/>
      <c r="AC641" s="42"/>
    </row>
    <row r="642" spans="15:29" x14ac:dyDescent="0.25">
      <c r="O642" s="42"/>
      <c r="R642" s="42"/>
      <c r="AC642" s="42"/>
    </row>
    <row r="643" spans="15:29" x14ac:dyDescent="0.25">
      <c r="O643" s="42"/>
      <c r="R643" s="42"/>
      <c r="AC643" s="42"/>
    </row>
    <row r="644" spans="15:29" x14ac:dyDescent="0.25">
      <c r="O644" s="42"/>
      <c r="R644" s="42"/>
      <c r="AC644" s="42"/>
    </row>
    <row r="645" spans="15:29" x14ac:dyDescent="0.25">
      <c r="O645" s="42"/>
      <c r="R645" s="42"/>
      <c r="AC645" s="42"/>
    </row>
    <row r="646" spans="15:29" x14ac:dyDescent="0.25">
      <c r="O646" s="42"/>
      <c r="R646" s="42"/>
      <c r="AC646" s="42"/>
    </row>
    <row r="647" spans="15:29" x14ac:dyDescent="0.25">
      <c r="O647" s="42"/>
      <c r="R647" s="42"/>
      <c r="AC647" s="42"/>
    </row>
    <row r="648" spans="15:29" x14ac:dyDescent="0.25">
      <c r="O648" s="42"/>
      <c r="R648" s="42"/>
      <c r="AC648" s="42"/>
    </row>
    <row r="649" spans="15:29" x14ac:dyDescent="0.25">
      <c r="O649" s="42"/>
      <c r="R649" s="42"/>
      <c r="AC649" s="42"/>
    </row>
    <row r="650" spans="15:29" x14ac:dyDescent="0.25">
      <c r="O650" s="42"/>
      <c r="R650" s="42"/>
      <c r="AC650" s="42"/>
    </row>
    <row r="651" spans="15:29" x14ac:dyDescent="0.25">
      <c r="O651" s="42"/>
      <c r="R651" s="42"/>
      <c r="AC651" s="42"/>
    </row>
    <row r="652" spans="15:29" x14ac:dyDescent="0.25">
      <c r="O652" s="42"/>
      <c r="R652" s="42"/>
      <c r="AC652" s="42"/>
    </row>
    <row r="653" spans="15:29" x14ac:dyDescent="0.25">
      <c r="O653" s="42"/>
      <c r="R653" s="42"/>
      <c r="AC653" s="42"/>
    </row>
    <row r="654" spans="15:29" x14ac:dyDescent="0.25">
      <c r="O654" s="42"/>
      <c r="R654" s="42"/>
      <c r="AC654" s="42"/>
    </row>
    <row r="655" spans="15:29" x14ac:dyDescent="0.25">
      <c r="O655" s="42"/>
      <c r="R655" s="42"/>
      <c r="AC655" s="42"/>
    </row>
    <row r="656" spans="15:29" x14ac:dyDescent="0.25">
      <c r="O656" s="42"/>
      <c r="R656" s="42"/>
      <c r="AC656" s="42"/>
    </row>
    <row r="657" spans="15:29" x14ac:dyDescent="0.25">
      <c r="O657" s="42"/>
      <c r="R657" s="42"/>
      <c r="AC657" s="42"/>
    </row>
    <row r="658" spans="15:29" x14ac:dyDescent="0.25">
      <c r="O658" s="42"/>
      <c r="R658" s="42"/>
      <c r="AC658" s="42"/>
    </row>
    <row r="659" spans="15:29" x14ac:dyDescent="0.25">
      <c r="O659" s="42"/>
      <c r="R659" s="42"/>
      <c r="AC659" s="42"/>
    </row>
    <row r="660" spans="15:29" x14ac:dyDescent="0.25">
      <c r="O660" s="42"/>
      <c r="R660" s="42"/>
      <c r="AC660" s="42"/>
    </row>
    <row r="661" spans="15:29" x14ac:dyDescent="0.25">
      <c r="O661" s="42"/>
      <c r="R661" s="42"/>
      <c r="AC661" s="42"/>
    </row>
    <row r="662" spans="15:29" x14ac:dyDescent="0.25">
      <c r="O662" s="42"/>
      <c r="R662" s="42"/>
      <c r="AC662" s="42"/>
    </row>
    <row r="663" spans="15:29" x14ac:dyDescent="0.25">
      <c r="O663" s="42"/>
      <c r="R663" s="42"/>
      <c r="AC663" s="42"/>
    </row>
    <row r="664" spans="15:29" x14ac:dyDescent="0.25">
      <c r="O664" s="42"/>
      <c r="R664" s="42"/>
      <c r="AC664" s="42"/>
    </row>
    <row r="665" spans="15:29" x14ac:dyDescent="0.25">
      <c r="O665" s="42"/>
      <c r="R665" s="42"/>
      <c r="AC665" s="42"/>
    </row>
    <row r="666" spans="15:29" x14ac:dyDescent="0.25">
      <c r="O666" s="42"/>
      <c r="R666" s="42"/>
      <c r="AC666" s="42"/>
    </row>
    <row r="667" spans="15:29" x14ac:dyDescent="0.25">
      <c r="O667" s="42"/>
      <c r="R667" s="42"/>
      <c r="AC667" s="42"/>
    </row>
    <row r="668" spans="15:29" x14ac:dyDescent="0.25">
      <c r="O668" s="42"/>
      <c r="R668" s="42"/>
      <c r="AC668" s="42"/>
    </row>
    <row r="669" spans="15:29" x14ac:dyDescent="0.25">
      <c r="O669" s="42"/>
      <c r="R669" s="42"/>
      <c r="AC669" s="42"/>
    </row>
    <row r="670" spans="15:29" x14ac:dyDescent="0.25">
      <c r="O670" s="42"/>
      <c r="R670" s="42"/>
      <c r="AC670" s="42"/>
    </row>
    <row r="671" spans="15:29" x14ac:dyDescent="0.25">
      <c r="O671" s="42"/>
      <c r="R671" s="42"/>
      <c r="AC671" s="42"/>
    </row>
    <row r="672" spans="15:29" x14ac:dyDescent="0.25">
      <c r="O672" s="42"/>
      <c r="R672" s="42"/>
      <c r="AC672" s="42"/>
    </row>
    <row r="673" spans="15:29" x14ac:dyDescent="0.25">
      <c r="O673" s="42"/>
      <c r="R673" s="42"/>
      <c r="AC673" s="42"/>
    </row>
    <row r="674" spans="15:29" x14ac:dyDescent="0.25">
      <c r="O674" s="42"/>
      <c r="R674" s="42"/>
      <c r="AC674" s="42"/>
    </row>
    <row r="675" spans="15:29" x14ac:dyDescent="0.25">
      <c r="O675" s="42"/>
      <c r="R675" s="42"/>
      <c r="AC675" s="42"/>
    </row>
    <row r="676" spans="15:29" x14ac:dyDescent="0.25">
      <c r="O676" s="42"/>
      <c r="R676" s="42"/>
      <c r="AC676" s="42"/>
    </row>
    <row r="677" spans="15:29" x14ac:dyDescent="0.25">
      <c r="O677" s="42"/>
      <c r="R677" s="42"/>
      <c r="AC677" s="42"/>
    </row>
    <row r="678" spans="15:29" x14ac:dyDescent="0.25">
      <c r="O678" s="42"/>
      <c r="R678" s="42"/>
      <c r="AC678" s="42"/>
    </row>
    <row r="679" spans="15:29" x14ac:dyDescent="0.25">
      <c r="O679" s="42"/>
      <c r="R679" s="42"/>
      <c r="AC679" s="42"/>
    </row>
    <row r="680" spans="15:29" x14ac:dyDescent="0.25">
      <c r="O680" s="42"/>
      <c r="R680" s="42"/>
      <c r="AC680" s="42"/>
    </row>
    <row r="681" spans="15:29" x14ac:dyDescent="0.25">
      <c r="O681" s="42"/>
      <c r="R681" s="42"/>
      <c r="AC681" s="42"/>
    </row>
    <row r="682" spans="15:29" x14ac:dyDescent="0.25">
      <c r="O682" s="42"/>
      <c r="R682" s="42"/>
      <c r="AC682" s="42"/>
    </row>
    <row r="683" spans="15:29" x14ac:dyDescent="0.25">
      <c r="O683" s="42"/>
      <c r="R683" s="42"/>
      <c r="AC683" s="42"/>
    </row>
    <row r="684" spans="15:29" x14ac:dyDescent="0.25">
      <c r="O684" s="42"/>
      <c r="R684" s="42"/>
      <c r="AC684" s="42"/>
    </row>
    <row r="685" spans="15:29" x14ac:dyDescent="0.25">
      <c r="O685" s="42"/>
      <c r="R685" s="42"/>
      <c r="AC685" s="42"/>
    </row>
    <row r="686" spans="15:29" x14ac:dyDescent="0.25">
      <c r="O686" s="42"/>
      <c r="R686" s="42"/>
      <c r="AC686" s="42"/>
    </row>
    <row r="687" spans="15:29" x14ac:dyDescent="0.25">
      <c r="O687" s="42"/>
      <c r="R687" s="42"/>
      <c r="AC687" s="42"/>
    </row>
    <row r="688" spans="15:29" x14ac:dyDescent="0.25">
      <c r="O688" s="42"/>
      <c r="R688" s="42"/>
      <c r="AC688" s="42"/>
    </row>
    <row r="689" spans="15:29" x14ac:dyDescent="0.25">
      <c r="O689" s="42"/>
      <c r="R689" s="42"/>
      <c r="AC689" s="42"/>
    </row>
    <row r="690" spans="15:29" x14ac:dyDescent="0.25">
      <c r="O690" s="42"/>
      <c r="R690" s="42"/>
      <c r="AC690" s="42"/>
    </row>
    <row r="691" spans="15:29" x14ac:dyDescent="0.25">
      <c r="O691" s="42"/>
      <c r="R691" s="42"/>
      <c r="AC691" s="42"/>
    </row>
    <row r="692" spans="15:29" x14ac:dyDescent="0.25">
      <c r="O692" s="42"/>
      <c r="R692" s="42"/>
      <c r="AC692" s="42"/>
    </row>
    <row r="693" spans="15:29" x14ac:dyDescent="0.25">
      <c r="O693" s="42"/>
      <c r="R693" s="42"/>
      <c r="AC693" s="42"/>
    </row>
    <row r="694" spans="15:29" x14ac:dyDescent="0.25">
      <c r="O694" s="42"/>
      <c r="R694" s="42"/>
      <c r="AC694" s="42"/>
    </row>
    <row r="695" spans="15:29" x14ac:dyDescent="0.25">
      <c r="O695" s="42"/>
      <c r="R695" s="42"/>
      <c r="AC695" s="42"/>
    </row>
    <row r="696" spans="15:29" x14ac:dyDescent="0.25">
      <c r="O696" s="42"/>
      <c r="R696" s="42"/>
      <c r="AC696" s="42"/>
    </row>
    <row r="697" spans="15:29" x14ac:dyDescent="0.25">
      <c r="O697" s="42"/>
      <c r="R697" s="42"/>
      <c r="AC697" s="42"/>
    </row>
    <row r="698" spans="15:29" x14ac:dyDescent="0.25">
      <c r="O698" s="42"/>
      <c r="R698" s="42"/>
      <c r="AC698" s="42"/>
    </row>
    <row r="699" spans="15:29" x14ac:dyDescent="0.25">
      <c r="O699" s="42"/>
      <c r="R699" s="42"/>
      <c r="AC699" s="42"/>
    </row>
    <row r="700" spans="15:29" x14ac:dyDescent="0.25">
      <c r="O700" s="42"/>
      <c r="R700" s="42"/>
      <c r="AC700" s="42"/>
    </row>
    <row r="701" spans="15:29" x14ac:dyDescent="0.25">
      <c r="O701" s="42"/>
      <c r="R701" s="42"/>
      <c r="AC701" s="42"/>
    </row>
    <row r="702" spans="15:29" x14ac:dyDescent="0.25">
      <c r="O702" s="42"/>
      <c r="R702" s="42"/>
      <c r="AC702" s="42"/>
    </row>
    <row r="703" spans="15:29" x14ac:dyDescent="0.25">
      <c r="O703" s="42"/>
      <c r="R703" s="42"/>
      <c r="AC703" s="42"/>
    </row>
    <row r="704" spans="15:29" x14ac:dyDescent="0.25">
      <c r="O704" s="42"/>
      <c r="R704" s="42"/>
      <c r="AC704" s="42"/>
    </row>
    <row r="705" spans="15:29" x14ac:dyDescent="0.25">
      <c r="O705" s="42"/>
      <c r="R705" s="42"/>
      <c r="AC705" s="42"/>
    </row>
    <row r="706" spans="15:29" x14ac:dyDescent="0.25">
      <c r="O706" s="42"/>
      <c r="R706" s="42"/>
      <c r="AC706" s="42"/>
    </row>
    <row r="707" spans="15:29" x14ac:dyDescent="0.25">
      <c r="O707" s="42"/>
      <c r="R707" s="42"/>
      <c r="AC707" s="42"/>
    </row>
    <row r="708" spans="15:29" x14ac:dyDescent="0.25">
      <c r="O708" s="42"/>
      <c r="R708" s="42"/>
      <c r="AC708" s="42"/>
    </row>
    <row r="709" spans="15:29" x14ac:dyDescent="0.25">
      <c r="O709" s="42"/>
      <c r="R709" s="42"/>
      <c r="AC709" s="42"/>
    </row>
    <row r="710" spans="15:29" x14ac:dyDescent="0.25">
      <c r="O710" s="42"/>
      <c r="R710" s="42"/>
      <c r="AC710" s="42"/>
    </row>
    <row r="711" spans="15:29" x14ac:dyDescent="0.25">
      <c r="O711" s="42"/>
      <c r="R711" s="42"/>
      <c r="AC711" s="42"/>
    </row>
    <row r="712" spans="15:29" x14ac:dyDescent="0.25">
      <c r="O712" s="42"/>
      <c r="R712" s="42"/>
      <c r="AC712" s="42"/>
    </row>
    <row r="713" spans="15:29" x14ac:dyDescent="0.25">
      <c r="O713" s="42"/>
      <c r="R713" s="42"/>
      <c r="AC713" s="42"/>
    </row>
    <row r="714" spans="15:29" x14ac:dyDescent="0.25">
      <c r="O714" s="42"/>
      <c r="R714" s="42"/>
      <c r="AC714" s="42"/>
    </row>
    <row r="715" spans="15:29" x14ac:dyDescent="0.25">
      <c r="O715" s="42"/>
      <c r="R715" s="42"/>
      <c r="AC715" s="42"/>
    </row>
    <row r="716" spans="15:29" x14ac:dyDescent="0.25">
      <c r="O716" s="42"/>
      <c r="R716" s="42"/>
      <c r="AC716" s="42"/>
    </row>
    <row r="717" spans="15:29" x14ac:dyDescent="0.25">
      <c r="O717" s="42"/>
      <c r="R717" s="42"/>
      <c r="AC717" s="42"/>
    </row>
    <row r="718" spans="15:29" x14ac:dyDescent="0.25">
      <c r="O718" s="42"/>
      <c r="R718" s="42"/>
      <c r="AC718" s="42"/>
    </row>
    <row r="719" spans="15:29" x14ac:dyDescent="0.25">
      <c r="O719" s="42"/>
      <c r="R719" s="42"/>
      <c r="AC719" s="42"/>
    </row>
    <row r="720" spans="15:29" x14ac:dyDescent="0.25">
      <c r="O720" s="42"/>
      <c r="R720" s="42"/>
      <c r="AC720" s="42"/>
    </row>
    <row r="721" spans="15:29" x14ac:dyDescent="0.25">
      <c r="O721" s="42"/>
      <c r="R721" s="42"/>
      <c r="AC721" s="42"/>
    </row>
    <row r="722" spans="15:29" x14ac:dyDescent="0.25">
      <c r="O722" s="42"/>
      <c r="R722" s="42"/>
      <c r="AC722" s="42"/>
    </row>
    <row r="723" spans="15:29" x14ac:dyDescent="0.25">
      <c r="O723" s="42"/>
      <c r="R723" s="42"/>
      <c r="AC723" s="42"/>
    </row>
    <row r="724" spans="15:29" x14ac:dyDescent="0.25">
      <c r="O724" s="42"/>
      <c r="R724" s="42"/>
      <c r="AC724" s="42"/>
    </row>
    <row r="725" spans="15:29" x14ac:dyDescent="0.25">
      <c r="O725" s="42"/>
      <c r="R725" s="42"/>
      <c r="AC725" s="42"/>
    </row>
    <row r="726" spans="15:29" x14ac:dyDescent="0.25">
      <c r="O726" s="42"/>
      <c r="R726" s="42"/>
      <c r="AC726" s="42"/>
    </row>
    <row r="727" spans="15:29" x14ac:dyDescent="0.25">
      <c r="O727" s="42"/>
      <c r="R727" s="42"/>
      <c r="AC727" s="42"/>
    </row>
    <row r="728" spans="15:29" x14ac:dyDescent="0.25">
      <c r="O728" s="42"/>
      <c r="R728" s="42"/>
      <c r="AC728" s="42"/>
    </row>
    <row r="729" spans="15:29" x14ac:dyDescent="0.25">
      <c r="O729" s="42"/>
      <c r="R729" s="42"/>
      <c r="AC729" s="42"/>
    </row>
    <row r="730" spans="15:29" x14ac:dyDescent="0.25">
      <c r="O730" s="42"/>
      <c r="R730" s="42"/>
      <c r="AC730" s="42"/>
    </row>
    <row r="731" spans="15:29" x14ac:dyDescent="0.25">
      <c r="O731" s="42"/>
      <c r="R731" s="42"/>
      <c r="AC731" s="42"/>
    </row>
    <row r="732" spans="15:29" x14ac:dyDescent="0.25">
      <c r="O732" s="42"/>
      <c r="R732" s="42"/>
      <c r="AC732" s="42"/>
    </row>
    <row r="733" spans="15:29" x14ac:dyDescent="0.25">
      <c r="O733" s="42"/>
      <c r="R733" s="42"/>
      <c r="AC733" s="42"/>
    </row>
    <row r="734" spans="15:29" x14ac:dyDescent="0.25">
      <c r="O734" s="42"/>
      <c r="R734" s="42"/>
      <c r="AC734" s="42"/>
    </row>
    <row r="735" spans="15:29" x14ac:dyDescent="0.25">
      <c r="O735" s="42"/>
      <c r="R735" s="42"/>
      <c r="AC735" s="42"/>
    </row>
    <row r="736" spans="15:29" x14ac:dyDescent="0.25">
      <c r="O736" s="42"/>
      <c r="R736" s="42"/>
      <c r="AC736" s="42"/>
    </row>
    <row r="737" spans="15:29" x14ac:dyDescent="0.25">
      <c r="O737" s="42"/>
      <c r="R737" s="42"/>
      <c r="AC737" s="42"/>
    </row>
    <row r="738" spans="15:29" x14ac:dyDescent="0.25">
      <c r="O738" s="42"/>
      <c r="R738" s="42"/>
      <c r="AC738" s="42"/>
    </row>
    <row r="739" spans="15:29" x14ac:dyDescent="0.25">
      <c r="O739" s="42"/>
      <c r="R739" s="42"/>
      <c r="AC739" s="42"/>
    </row>
    <row r="740" spans="15:29" x14ac:dyDescent="0.25">
      <c r="O740" s="42"/>
      <c r="R740" s="42"/>
      <c r="AC740" s="42"/>
    </row>
    <row r="741" spans="15:29" x14ac:dyDescent="0.25">
      <c r="O741" s="42"/>
      <c r="R741" s="42"/>
      <c r="AC741" s="42"/>
    </row>
    <row r="742" spans="15:29" x14ac:dyDescent="0.25">
      <c r="O742" s="42"/>
      <c r="R742" s="42"/>
      <c r="AC742" s="42"/>
    </row>
    <row r="743" spans="15:29" x14ac:dyDescent="0.25">
      <c r="O743" s="42"/>
      <c r="R743" s="42"/>
      <c r="AC743" s="42"/>
    </row>
    <row r="744" spans="15:29" x14ac:dyDescent="0.25">
      <c r="O744" s="42"/>
      <c r="R744" s="42"/>
      <c r="AC744" s="42"/>
    </row>
    <row r="745" spans="15:29" x14ac:dyDescent="0.25">
      <c r="O745" s="42"/>
      <c r="R745" s="42"/>
      <c r="AC745" s="42"/>
    </row>
    <row r="746" spans="15:29" x14ac:dyDescent="0.25">
      <c r="O746" s="42"/>
      <c r="R746" s="42"/>
      <c r="AC746" s="42"/>
    </row>
    <row r="747" spans="15:29" x14ac:dyDescent="0.25">
      <c r="O747" s="42"/>
      <c r="R747" s="42"/>
      <c r="AC747" s="42"/>
    </row>
    <row r="748" spans="15:29" x14ac:dyDescent="0.25">
      <c r="O748" s="42"/>
      <c r="R748" s="42"/>
      <c r="AC748" s="42"/>
    </row>
    <row r="749" spans="15:29" x14ac:dyDescent="0.25">
      <c r="O749" s="42"/>
      <c r="R749" s="42"/>
      <c r="AC749" s="42"/>
    </row>
    <row r="750" spans="15:29" x14ac:dyDescent="0.25">
      <c r="O750" s="42"/>
      <c r="R750" s="42"/>
      <c r="AC750" s="42"/>
    </row>
    <row r="751" spans="15:29" x14ac:dyDescent="0.25">
      <c r="O751" s="42"/>
      <c r="R751" s="42"/>
      <c r="AC751" s="42"/>
    </row>
    <row r="752" spans="15:29" x14ac:dyDescent="0.25">
      <c r="O752" s="42"/>
      <c r="R752" s="42"/>
      <c r="AC752" s="42"/>
    </row>
    <row r="753" spans="15:29" x14ac:dyDescent="0.25">
      <c r="O753" s="42"/>
      <c r="R753" s="42"/>
      <c r="AC753" s="42"/>
    </row>
    <row r="754" spans="15:29" x14ac:dyDescent="0.25">
      <c r="O754" s="42"/>
      <c r="R754" s="42"/>
      <c r="AC754" s="42"/>
    </row>
    <row r="755" spans="15:29" x14ac:dyDescent="0.25">
      <c r="O755" s="42"/>
      <c r="R755" s="42"/>
      <c r="AC755" s="42"/>
    </row>
    <row r="756" spans="15:29" x14ac:dyDescent="0.25">
      <c r="O756" s="42"/>
      <c r="R756" s="42"/>
      <c r="AC756" s="42"/>
    </row>
    <row r="757" spans="15:29" x14ac:dyDescent="0.25">
      <c r="O757" s="42"/>
      <c r="R757" s="42"/>
      <c r="AC757" s="42"/>
    </row>
    <row r="758" spans="15:29" x14ac:dyDescent="0.25">
      <c r="O758" s="42"/>
      <c r="R758" s="42"/>
      <c r="AC758" s="42"/>
    </row>
    <row r="759" spans="15:29" x14ac:dyDescent="0.25">
      <c r="O759" s="42"/>
      <c r="R759" s="42"/>
      <c r="AC759" s="42"/>
    </row>
    <row r="760" spans="15:29" x14ac:dyDescent="0.25">
      <c r="O760" s="42"/>
      <c r="R760" s="42"/>
      <c r="AC760" s="42"/>
    </row>
    <row r="761" spans="15:29" x14ac:dyDescent="0.25">
      <c r="O761" s="42"/>
      <c r="R761" s="42"/>
      <c r="AC761" s="42"/>
    </row>
    <row r="762" spans="15:29" x14ac:dyDescent="0.25">
      <c r="O762" s="42"/>
      <c r="R762" s="42"/>
      <c r="AC762" s="42"/>
    </row>
    <row r="763" spans="15:29" x14ac:dyDescent="0.25">
      <c r="O763" s="42"/>
      <c r="R763" s="42"/>
      <c r="AC763" s="42"/>
    </row>
    <row r="764" spans="15:29" x14ac:dyDescent="0.25">
      <c r="O764" s="42"/>
      <c r="R764" s="42"/>
      <c r="AC764" s="42"/>
    </row>
    <row r="765" spans="15:29" x14ac:dyDescent="0.25">
      <c r="O765" s="42"/>
      <c r="R765" s="42"/>
      <c r="AC765" s="42"/>
    </row>
    <row r="766" spans="15:29" x14ac:dyDescent="0.25">
      <c r="O766" s="42"/>
      <c r="R766" s="42"/>
      <c r="AC766" s="42"/>
    </row>
    <row r="767" spans="15:29" x14ac:dyDescent="0.25">
      <c r="O767" s="42"/>
      <c r="R767" s="42"/>
      <c r="AC767" s="42"/>
    </row>
    <row r="768" spans="15:29" x14ac:dyDescent="0.25">
      <c r="O768" s="42"/>
      <c r="R768" s="42"/>
      <c r="AC768" s="42"/>
    </row>
    <row r="769" spans="15:29" x14ac:dyDescent="0.25">
      <c r="O769" s="42"/>
      <c r="R769" s="42"/>
      <c r="AC769" s="42"/>
    </row>
    <row r="770" spans="15:29" x14ac:dyDescent="0.25">
      <c r="O770" s="42"/>
      <c r="R770" s="42"/>
      <c r="AC770" s="42"/>
    </row>
    <row r="771" spans="15:29" x14ac:dyDescent="0.25">
      <c r="O771" s="42"/>
      <c r="R771" s="42"/>
      <c r="AC771" s="42"/>
    </row>
    <row r="772" spans="15:29" x14ac:dyDescent="0.25">
      <c r="O772" s="42"/>
      <c r="R772" s="42"/>
      <c r="AC772" s="42"/>
    </row>
    <row r="773" spans="15:29" x14ac:dyDescent="0.25">
      <c r="O773" s="42"/>
      <c r="R773" s="42"/>
      <c r="AC773" s="42"/>
    </row>
    <row r="774" spans="15:29" x14ac:dyDescent="0.25">
      <c r="O774" s="42"/>
      <c r="R774" s="42"/>
      <c r="AC774" s="42"/>
    </row>
    <row r="775" spans="15:29" x14ac:dyDescent="0.25">
      <c r="O775" s="42"/>
      <c r="R775" s="42"/>
      <c r="AC775" s="42"/>
    </row>
    <row r="776" spans="15:29" x14ac:dyDescent="0.25">
      <c r="O776" s="42"/>
      <c r="R776" s="42"/>
      <c r="AC776" s="42"/>
    </row>
    <row r="777" spans="15:29" x14ac:dyDescent="0.25">
      <c r="O777" s="42"/>
      <c r="R777" s="42"/>
      <c r="AC777" s="42"/>
    </row>
    <row r="778" spans="15:29" x14ac:dyDescent="0.25">
      <c r="O778" s="42"/>
      <c r="R778" s="42"/>
      <c r="AC778" s="42"/>
    </row>
    <row r="779" spans="15:29" x14ac:dyDescent="0.25">
      <c r="O779" s="42"/>
      <c r="R779" s="42"/>
      <c r="AC779" s="42"/>
    </row>
    <row r="780" spans="15:29" x14ac:dyDescent="0.25">
      <c r="O780" s="42"/>
      <c r="R780" s="42"/>
      <c r="AC780" s="42"/>
    </row>
    <row r="781" spans="15:29" x14ac:dyDescent="0.25">
      <c r="O781" s="42"/>
      <c r="R781" s="42"/>
      <c r="AC781" s="42"/>
    </row>
    <row r="782" spans="15:29" x14ac:dyDescent="0.25">
      <c r="O782" s="42"/>
      <c r="R782" s="42"/>
      <c r="AC782" s="42"/>
    </row>
    <row r="783" spans="15:29" x14ac:dyDescent="0.25">
      <c r="O783" s="42"/>
      <c r="R783" s="42"/>
      <c r="AC783" s="42"/>
    </row>
    <row r="784" spans="15:29" x14ac:dyDescent="0.25">
      <c r="O784" s="42"/>
      <c r="R784" s="42"/>
      <c r="AC784" s="42"/>
    </row>
    <row r="785" spans="15:29" x14ac:dyDescent="0.25">
      <c r="O785" s="42"/>
      <c r="R785" s="42"/>
      <c r="AC785" s="42"/>
    </row>
    <row r="786" spans="15:29" x14ac:dyDescent="0.25">
      <c r="O786" s="42"/>
      <c r="R786" s="42"/>
      <c r="AC786" s="42"/>
    </row>
    <row r="787" spans="15:29" x14ac:dyDescent="0.25">
      <c r="O787" s="42"/>
      <c r="R787" s="42"/>
      <c r="AC787" s="42"/>
    </row>
    <row r="788" spans="15:29" x14ac:dyDescent="0.25">
      <c r="O788" s="42"/>
      <c r="R788" s="42"/>
      <c r="AC788" s="42"/>
    </row>
    <row r="789" spans="15:29" x14ac:dyDescent="0.25">
      <c r="O789" s="42"/>
      <c r="R789" s="42"/>
      <c r="AC789" s="42"/>
    </row>
    <row r="790" spans="15:29" x14ac:dyDescent="0.25">
      <c r="O790" s="42"/>
      <c r="R790" s="42"/>
      <c r="AC790" s="42"/>
    </row>
    <row r="791" spans="15:29" x14ac:dyDescent="0.25">
      <c r="O791" s="42"/>
      <c r="R791" s="42"/>
      <c r="AC791" s="42"/>
    </row>
    <row r="792" spans="15:29" x14ac:dyDescent="0.25">
      <c r="O792" s="42"/>
      <c r="R792" s="42"/>
      <c r="AC792" s="42"/>
    </row>
    <row r="793" spans="15:29" x14ac:dyDescent="0.25">
      <c r="O793" s="42"/>
      <c r="R793" s="42"/>
      <c r="AC793" s="42"/>
    </row>
    <row r="794" spans="15:29" x14ac:dyDescent="0.25">
      <c r="O794" s="42"/>
      <c r="R794" s="42"/>
      <c r="AC794" s="42"/>
    </row>
    <row r="795" spans="15:29" x14ac:dyDescent="0.25">
      <c r="O795" s="42"/>
      <c r="R795" s="42"/>
      <c r="AC795" s="42"/>
    </row>
    <row r="796" spans="15:29" x14ac:dyDescent="0.25">
      <c r="O796" s="42"/>
      <c r="R796" s="42"/>
      <c r="AC796" s="42"/>
    </row>
    <row r="797" spans="15:29" x14ac:dyDescent="0.25">
      <c r="O797" s="42"/>
      <c r="R797" s="42"/>
      <c r="AC797" s="42"/>
    </row>
    <row r="798" spans="15:29" x14ac:dyDescent="0.25">
      <c r="O798" s="42"/>
      <c r="R798" s="42"/>
      <c r="AC798" s="42"/>
    </row>
    <row r="799" spans="15:29" x14ac:dyDescent="0.25">
      <c r="O799" s="42"/>
      <c r="R799" s="42"/>
      <c r="AC799" s="42"/>
    </row>
    <row r="800" spans="15:29" x14ac:dyDescent="0.25">
      <c r="O800" s="42"/>
      <c r="R800" s="42"/>
      <c r="AC800" s="42"/>
    </row>
    <row r="801" spans="15:29" x14ac:dyDescent="0.25">
      <c r="O801" s="42"/>
      <c r="R801" s="42"/>
      <c r="AC801" s="42"/>
    </row>
    <row r="802" spans="15:29" x14ac:dyDescent="0.25">
      <c r="O802" s="42"/>
      <c r="R802" s="42"/>
      <c r="AC802" s="42"/>
    </row>
    <row r="803" spans="15:29" x14ac:dyDescent="0.25">
      <c r="O803" s="42"/>
      <c r="R803" s="42"/>
      <c r="AC803" s="42"/>
    </row>
    <row r="804" spans="15:29" x14ac:dyDescent="0.25">
      <c r="O804" s="42"/>
      <c r="R804" s="42"/>
      <c r="AC804" s="42"/>
    </row>
    <row r="805" spans="15:29" x14ac:dyDescent="0.25">
      <c r="O805" s="42"/>
      <c r="R805" s="42"/>
      <c r="AC805" s="42"/>
    </row>
    <row r="806" spans="15:29" x14ac:dyDescent="0.25">
      <c r="O806" s="42"/>
      <c r="R806" s="42"/>
      <c r="AC806" s="42"/>
    </row>
    <row r="807" spans="15:29" x14ac:dyDescent="0.25">
      <c r="O807" s="42"/>
      <c r="R807" s="42"/>
      <c r="AC807" s="42"/>
    </row>
    <row r="808" spans="15:29" x14ac:dyDescent="0.25">
      <c r="O808" s="42"/>
      <c r="R808" s="42"/>
      <c r="AC808" s="42"/>
    </row>
    <row r="809" spans="15:29" x14ac:dyDescent="0.25">
      <c r="O809" s="42"/>
      <c r="R809" s="42"/>
      <c r="AC809" s="42"/>
    </row>
    <row r="810" spans="15:29" x14ac:dyDescent="0.25">
      <c r="O810" s="42"/>
      <c r="R810" s="42"/>
      <c r="AC810" s="42"/>
    </row>
    <row r="811" spans="15:29" x14ac:dyDescent="0.25">
      <c r="O811" s="42"/>
      <c r="R811" s="42"/>
      <c r="AC811" s="42"/>
    </row>
    <row r="812" spans="15:29" x14ac:dyDescent="0.25">
      <c r="O812" s="42"/>
      <c r="R812" s="42"/>
      <c r="AC812" s="42"/>
    </row>
    <row r="813" spans="15:29" x14ac:dyDescent="0.25">
      <c r="O813" s="42"/>
      <c r="R813" s="42"/>
      <c r="AC813" s="42"/>
    </row>
    <row r="814" spans="15:29" x14ac:dyDescent="0.25">
      <c r="O814" s="42"/>
      <c r="R814" s="42"/>
      <c r="AC814" s="42"/>
    </row>
    <row r="815" spans="15:29" x14ac:dyDescent="0.25">
      <c r="O815" s="42"/>
      <c r="R815" s="42"/>
      <c r="AC815" s="42"/>
    </row>
    <row r="816" spans="15:29" x14ac:dyDescent="0.25">
      <c r="O816" s="42"/>
      <c r="R816" s="42"/>
      <c r="AC816" s="42"/>
    </row>
    <row r="817" spans="15:29" x14ac:dyDescent="0.25">
      <c r="O817" s="42"/>
      <c r="R817" s="42"/>
      <c r="AC817" s="42"/>
    </row>
    <row r="818" spans="15:29" x14ac:dyDescent="0.25">
      <c r="O818" s="42"/>
      <c r="R818" s="42"/>
      <c r="AC818" s="42"/>
    </row>
    <row r="819" spans="15:29" x14ac:dyDescent="0.25">
      <c r="O819" s="42"/>
      <c r="R819" s="42"/>
      <c r="AC819" s="42"/>
    </row>
    <row r="820" spans="15:29" x14ac:dyDescent="0.25">
      <c r="O820" s="42"/>
      <c r="R820" s="42"/>
      <c r="AC820" s="42"/>
    </row>
    <row r="821" spans="15:29" x14ac:dyDescent="0.25">
      <c r="O821" s="42"/>
      <c r="R821" s="42"/>
      <c r="AC821" s="42"/>
    </row>
    <row r="822" spans="15:29" x14ac:dyDescent="0.25">
      <c r="O822" s="42"/>
      <c r="R822" s="42"/>
      <c r="AC822" s="42"/>
    </row>
    <row r="823" spans="15:29" x14ac:dyDescent="0.25">
      <c r="O823" s="42"/>
      <c r="R823" s="42"/>
      <c r="AC823" s="42"/>
    </row>
    <row r="824" spans="15:29" x14ac:dyDescent="0.25">
      <c r="O824" s="42"/>
      <c r="R824" s="42"/>
      <c r="AC824" s="42"/>
    </row>
    <row r="825" spans="15:29" x14ac:dyDescent="0.25">
      <c r="O825" s="42"/>
      <c r="R825" s="42"/>
      <c r="AC825" s="42"/>
    </row>
    <row r="826" spans="15:29" x14ac:dyDescent="0.25">
      <c r="O826" s="42"/>
      <c r="R826" s="42"/>
      <c r="AC826" s="42"/>
    </row>
    <row r="827" spans="15:29" x14ac:dyDescent="0.25">
      <c r="O827" s="42"/>
      <c r="R827" s="42"/>
      <c r="AC827" s="42"/>
    </row>
    <row r="828" spans="15:29" x14ac:dyDescent="0.25">
      <c r="O828" s="42"/>
      <c r="R828" s="42"/>
      <c r="AC828" s="42"/>
    </row>
    <row r="829" spans="15:29" x14ac:dyDescent="0.25">
      <c r="O829" s="42"/>
      <c r="R829" s="42"/>
      <c r="AC829" s="42"/>
    </row>
    <row r="830" spans="15:29" x14ac:dyDescent="0.25">
      <c r="O830" s="42"/>
      <c r="R830" s="42"/>
      <c r="AC830" s="42"/>
    </row>
    <row r="831" spans="15:29" x14ac:dyDescent="0.25">
      <c r="O831" s="42"/>
      <c r="R831" s="42"/>
      <c r="AC831" s="42"/>
    </row>
    <row r="832" spans="15:29" x14ac:dyDescent="0.25">
      <c r="O832" s="42"/>
      <c r="R832" s="42"/>
      <c r="AC832" s="42"/>
    </row>
    <row r="833" spans="15:29" x14ac:dyDescent="0.25">
      <c r="O833" s="42"/>
      <c r="R833" s="42"/>
      <c r="AC833" s="42"/>
    </row>
    <row r="834" spans="15:29" x14ac:dyDescent="0.25">
      <c r="O834" s="42"/>
      <c r="R834" s="42"/>
      <c r="AC834" s="42"/>
    </row>
    <row r="835" spans="15:29" x14ac:dyDescent="0.25">
      <c r="O835" s="42"/>
      <c r="R835" s="42"/>
      <c r="AC835" s="42"/>
    </row>
    <row r="836" spans="15:29" x14ac:dyDescent="0.25">
      <c r="O836" s="42"/>
      <c r="R836" s="42"/>
      <c r="AC836" s="42"/>
    </row>
    <row r="837" spans="15:29" x14ac:dyDescent="0.25">
      <c r="O837" s="42"/>
      <c r="R837" s="42"/>
      <c r="AC837" s="42"/>
    </row>
    <row r="838" spans="15:29" x14ac:dyDescent="0.25">
      <c r="O838" s="42"/>
      <c r="R838" s="42"/>
      <c r="AC838" s="42"/>
    </row>
    <row r="839" spans="15:29" x14ac:dyDescent="0.25">
      <c r="O839" s="42"/>
      <c r="R839" s="42"/>
      <c r="AC839" s="42"/>
    </row>
    <row r="840" spans="15:29" x14ac:dyDescent="0.25">
      <c r="O840" s="42"/>
      <c r="R840" s="42"/>
      <c r="AC840" s="42"/>
    </row>
    <row r="841" spans="15:29" x14ac:dyDescent="0.25">
      <c r="O841" s="42"/>
      <c r="R841" s="42"/>
      <c r="AC841" s="42"/>
    </row>
    <row r="842" spans="15:29" x14ac:dyDescent="0.25">
      <c r="O842" s="42"/>
      <c r="R842" s="42"/>
      <c r="AC842" s="42"/>
    </row>
    <row r="843" spans="15:29" x14ac:dyDescent="0.25">
      <c r="O843" s="42"/>
      <c r="R843" s="42"/>
      <c r="AC843" s="42"/>
    </row>
    <row r="844" spans="15:29" x14ac:dyDescent="0.25">
      <c r="O844" s="42"/>
      <c r="R844" s="42"/>
      <c r="AC844" s="42"/>
    </row>
    <row r="845" spans="15:29" x14ac:dyDescent="0.25">
      <c r="O845" s="42"/>
      <c r="R845" s="42"/>
      <c r="AC845" s="42"/>
    </row>
    <row r="846" spans="15:29" x14ac:dyDescent="0.25">
      <c r="O846" s="42"/>
      <c r="R846" s="42"/>
      <c r="AC846" s="42"/>
    </row>
    <row r="847" spans="15:29" x14ac:dyDescent="0.25">
      <c r="O847" s="42"/>
      <c r="R847" s="42"/>
      <c r="AC847" s="42"/>
    </row>
    <row r="848" spans="15:29" x14ac:dyDescent="0.25">
      <c r="O848" s="42"/>
      <c r="R848" s="42"/>
      <c r="AC848" s="42"/>
    </row>
    <row r="849" spans="15:29" x14ac:dyDescent="0.25">
      <c r="O849" s="42"/>
      <c r="R849" s="42"/>
      <c r="AC849" s="42"/>
    </row>
    <row r="850" spans="15:29" x14ac:dyDescent="0.25">
      <c r="O850" s="42"/>
      <c r="R850" s="42"/>
      <c r="AC850" s="42"/>
    </row>
    <row r="851" spans="15:29" x14ac:dyDescent="0.25">
      <c r="O851" s="42"/>
      <c r="R851" s="42"/>
      <c r="AC851" s="42"/>
    </row>
    <row r="852" spans="15:29" x14ac:dyDescent="0.25">
      <c r="O852" s="42"/>
      <c r="R852" s="42"/>
      <c r="AC852" s="42"/>
    </row>
    <row r="853" spans="15:29" x14ac:dyDescent="0.25">
      <c r="O853" s="42"/>
      <c r="R853" s="42"/>
      <c r="AC853" s="42"/>
    </row>
    <row r="854" spans="15:29" x14ac:dyDescent="0.25">
      <c r="O854" s="42"/>
      <c r="R854" s="42"/>
      <c r="AC854" s="42"/>
    </row>
    <row r="855" spans="15:29" x14ac:dyDescent="0.25">
      <c r="O855" s="42"/>
      <c r="R855" s="42"/>
      <c r="AC855" s="42"/>
    </row>
    <row r="856" spans="15:29" x14ac:dyDescent="0.25">
      <c r="O856" s="42"/>
      <c r="R856" s="42"/>
      <c r="AC856" s="42"/>
    </row>
    <row r="857" spans="15:29" x14ac:dyDescent="0.25">
      <c r="O857" s="42"/>
      <c r="R857" s="42"/>
      <c r="AC857" s="42"/>
    </row>
    <row r="858" spans="15:29" x14ac:dyDescent="0.25">
      <c r="O858" s="42"/>
      <c r="R858" s="42"/>
      <c r="AC858" s="42"/>
    </row>
    <row r="859" spans="15:29" x14ac:dyDescent="0.25">
      <c r="O859" s="42"/>
      <c r="R859" s="42"/>
      <c r="AC859" s="42"/>
    </row>
    <row r="860" spans="15:29" x14ac:dyDescent="0.25">
      <c r="O860" s="42"/>
      <c r="R860" s="42"/>
      <c r="AC860" s="42"/>
    </row>
    <row r="861" spans="15:29" x14ac:dyDescent="0.25">
      <c r="O861" s="42"/>
      <c r="R861" s="42"/>
      <c r="AC861" s="42"/>
    </row>
    <row r="862" spans="15:29" x14ac:dyDescent="0.25">
      <c r="O862" s="42"/>
      <c r="R862" s="42"/>
      <c r="AC862" s="42"/>
    </row>
    <row r="863" spans="15:29" x14ac:dyDescent="0.25">
      <c r="O863" s="42"/>
      <c r="R863" s="42"/>
      <c r="AC863" s="42"/>
    </row>
    <row r="864" spans="15:29" x14ac:dyDescent="0.25">
      <c r="O864" s="42"/>
      <c r="R864" s="42"/>
      <c r="AC864" s="42"/>
    </row>
    <row r="865" spans="15:29" x14ac:dyDescent="0.25">
      <c r="O865" s="42"/>
      <c r="R865" s="42"/>
      <c r="AC865" s="42"/>
    </row>
    <row r="866" spans="15:29" x14ac:dyDescent="0.25">
      <c r="O866" s="42"/>
      <c r="R866" s="42"/>
      <c r="AC866" s="42"/>
    </row>
    <row r="867" spans="15:29" x14ac:dyDescent="0.25">
      <c r="O867" s="42"/>
      <c r="R867" s="42"/>
      <c r="AC867" s="42"/>
    </row>
    <row r="868" spans="15:29" x14ac:dyDescent="0.25">
      <c r="O868" s="42"/>
      <c r="R868" s="42"/>
      <c r="AC868" s="42"/>
    </row>
    <row r="869" spans="15:29" x14ac:dyDescent="0.25">
      <c r="O869" s="42"/>
      <c r="R869" s="42"/>
      <c r="AC869" s="42"/>
    </row>
    <row r="870" spans="15:29" x14ac:dyDescent="0.25">
      <c r="O870" s="42"/>
      <c r="R870" s="42"/>
      <c r="AC870" s="42"/>
    </row>
    <row r="871" spans="15:29" x14ac:dyDescent="0.25">
      <c r="O871" s="42"/>
      <c r="R871" s="42"/>
      <c r="AC871" s="42"/>
    </row>
    <row r="872" spans="15:29" x14ac:dyDescent="0.25">
      <c r="O872" s="42"/>
      <c r="R872" s="42"/>
      <c r="AC872" s="42"/>
    </row>
    <row r="873" spans="15:29" x14ac:dyDescent="0.25">
      <c r="O873" s="42"/>
      <c r="R873" s="42"/>
      <c r="AC873" s="42"/>
    </row>
    <row r="874" spans="15:29" x14ac:dyDescent="0.25">
      <c r="O874" s="42"/>
      <c r="R874" s="42"/>
      <c r="AC874" s="42"/>
    </row>
    <row r="875" spans="15:29" x14ac:dyDescent="0.25">
      <c r="O875" s="42"/>
      <c r="R875" s="42"/>
      <c r="AC875" s="42"/>
    </row>
    <row r="876" spans="15:29" x14ac:dyDescent="0.25">
      <c r="O876" s="42"/>
      <c r="R876" s="42"/>
      <c r="AC876" s="42"/>
    </row>
    <row r="877" spans="15:29" x14ac:dyDescent="0.25">
      <c r="O877" s="42"/>
      <c r="R877" s="42"/>
      <c r="AC877" s="42"/>
    </row>
    <row r="878" spans="15:29" x14ac:dyDescent="0.25">
      <c r="O878" s="42"/>
      <c r="R878" s="42"/>
      <c r="AC878" s="42"/>
    </row>
    <row r="879" spans="15:29" x14ac:dyDescent="0.25">
      <c r="O879" s="42"/>
      <c r="R879" s="42"/>
      <c r="AC879" s="42"/>
    </row>
    <row r="880" spans="15:29" x14ac:dyDescent="0.25">
      <c r="O880" s="42"/>
      <c r="R880" s="42"/>
      <c r="AC880" s="42"/>
    </row>
    <row r="881" spans="15:29" x14ac:dyDescent="0.25">
      <c r="O881" s="42"/>
      <c r="R881" s="42"/>
      <c r="AC881" s="42"/>
    </row>
    <row r="882" spans="15:29" x14ac:dyDescent="0.25">
      <c r="O882" s="42"/>
      <c r="R882" s="42"/>
      <c r="AC882" s="42"/>
    </row>
    <row r="883" spans="15:29" x14ac:dyDescent="0.25">
      <c r="O883" s="42"/>
      <c r="R883" s="42"/>
      <c r="AC883" s="42"/>
    </row>
    <row r="884" spans="15:29" x14ac:dyDescent="0.25">
      <c r="O884" s="42"/>
      <c r="R884" s="42"/>
      <c r="AC884" s="42"/>
    </row>
    <row r="885" spans="15:29" x14ac:dyDescent="0.25">
      <c r="O885" s="42"/>
      <c r="R885" s="42"/>
      <c r="AC885" s="42"/>
    </row>
    <row r="886" spans="15:29" x14ac:dyDescent="0.25">
      <c r="O886" s="42"/>
      <c r="R886" s="42"/>
      <c r="AC886" s="42"/>
    </row>
    <row r="887" spans="15:29" x14ac:dyDescent="0.25">
      <c r="O887" s="42"/>
      <c r="R887" s="42"/>
      <c r="AC887" s="42"/>
    </row>
    <row r="888" spans="15:29" x14ac:dyDescent="0.25">
      <c r="O888" s="42"/>
      <c r="R888" s="42"/>
      <c r="AC888" s="42"/>
    </row>
    <row r="889" spans="15:29" x14ac:dyDescent="0.25">
      <c r="O889" s="42"/>
      <c r="R889" s="42"/>
      <c r="AC889" s="42"/>
    </row>
    <row r="890" spans="15:29" x14ac:dyDescent="0.25">
      <c r="O890" s="42"/>
      <c r="R890" s="42"/>
      <c r="AC890" s="42"/>
    </row>
    <row r="891" spans="15:29" x14ac:dyDescent="0.25">
      <c r="O891" s="42"/>
      <c r="R891" s="42"/>
      <c r="AC891" s="42"/>
    </row>
    <row r="892" spans="15:29" x14ac:dyDescent="0.25">
      <c r="O892" s="42"/>
      <c r="R892" s="42"/>
      <c r="AC892" s="42"/>
    </row>
    <row r="893" spans="15:29" x14ac:dyDescent="0.25">
      <c r="O893" s="42"/>
      <c r="R893" s="42"/>
      <c r="AC893" s="42"/>
    </row>
    <row r="894" spans="15:29" x14ac:dyDescent="0.25">
      <c r="O894" s="42"/>
      <c r="R894" s="42"/>
      <c r="AC894" s="42"/>
    </row>
    <row r="895" spans="15:29" x14ac:dyDescent="0.25">
      <c r="O895" s="42"/>
      <c r="R895" s="42"/>
      <c r="AC895" s="42"/>
    </row>
    <row r="896" spans="15:29" x14ac:dyDescent="0.25">
      <c r="O896" s="42"/>
      <c r="R896" s="42"/>
      <c r="AC896" s="42"/>
    </row>
    <row r="897" spans="15:29" x14ac:dyDescent="0.25">
      <c r="O897" s="42"/>
      <c r="R897" s="42"/>
      <c r="AC897" s="42"/>
    </row>
    <row r="898" spans="15:29" x14ac:dyDescent="0.25">
      <c r="O898" s="42"/>
      <c r="R898" s="42"/>
      <c r="AC898" s="42"/>
    </row>
    <row r="899" spans="15:29" x14ac:dyDescent="0.25">
      <c r="O899" s="42"/>
      <c r="R899" s="42"/>
      <c r="AC899" s="42"/>
    </row>
    <row r="900" spans="15:29" x14ac:dyDescent="0.25">
      <c r="O900" s="42"/>
      <c r="R900" s="42"/>
      <c r="AC900" s="42"/>
    </row>
    <row r="901" spans="15:29" x14ac:dyDescent="0.25">
      <c r="O901" s="42"/>
      <c r="R901" s="42"/>
      <c r="AC901" s="42"/>
    </row>
    <row r="902" spans="15:29" x14ac:dyDescent="0.25">
      <c r="O902" s="42"/>
      <c r="R902" s="42"/>
      <c r="AC902" s="42"/>
    </row>
    <row r="903" spans="15:29" x14ac:dyDescent="0.25">
      <c r="O903" s="42"/>
      <c r="R903" s="42"/>
      <c r="AC903" s="42"/>
    </row>
    <row r="904" spans="15:29" x14ac:dyDescent="0.25">
      <c r="O904" s="42"/>
      <c r="R904" s="42"/>
      <c r="AC904" s="42"/>
    </row>
    <row r="905" spans="15:29" x14ac:dyDescent="0.25">
      <c r="O905" s="42"/>
      <c r="R905" s="42"/>
      <c r="AC905" s="42"/>
    </row>
    <row r="906" spans="15:29" x14ac:dyDescent="0.25">
      <c r="O906" s="42"/>
      <c r="R906" s="42"/>
      <c r="AC906" s="42"/>
    </row>
    <row r="907" spans="15:29" x14ac:dyDescent="0.25">
      <c r="O907" s="42"/>
      <c r="R907" s="42"/>
      <c r="AC907" s="42"/>
    </row>
    <row r="908" spans="15:29" x14ac:dyDescent="0.25">
      <c r="O908" s="42"/>
      <c r="R908" s="42"/>
      <c r="AC908" s="42"/>
    </row>
    <row r="909" spans="15:29" x14ac:dyDescent="0.25">
      <c r="O909" s="42"/>
      <c r="R909" s="42"/>
      <c r="AC909" s="42"/>
    </row>
    <row r="910" spans="15:29" x14ac:dyDescent="0.25">
      <c r="O910" s="42"/>
      <c r="R910" s="42"/>
      <c r="AC910" s="42"/>
    </row>
    <row r="911" spans="15:29" x14ac:dyDescent="0.25">
      <c r="O911" s="42"/>
      <c r="R911" s="42"/>
      <c r="AC911" s="42"/>
    </row>
    <row r="912" spans="15:29" x14ac:dyDescent="0.25">
      <c r="O912" s="42"/>
      <c r="R912" s="42"/>
      <c r="AC912" s="42"/>
    </row>
    <row r="913" spans="15:29" x14ac:dyDescent="0.25">
      <c r="O913" s="42"/>
      <c r="R913" s="42"/>
      <c r="AC913" s="42"/>
    </row>
    <row r="914" spans="15:29" x14ac:dyDescent="0.25">
      <c r="O914" s="42"/>
      <c r="R914" s="42"/>
      <c r="AC914" s="42"/>
    </row>
    <row r="915" spans="15:29" x14ac:dyDescent="0.25">
      <c r="O915" s="42"/>
      <c r="R915" s="42"/>
      <c r="AC915" s="42"/>
    </row>
    <row r="916" spans="15:29" x14ac:dyDescent="0.25">
      <c r="O916" s="42"/>
      <c r="R916" s="42"/>
      <c r="AC916" s="42"/>
    </row>
    <row r="917" spans="15:29" x14ac:dyDescent="0.25">
      <c r="O917" s="42"/>
      <c r="R917" s="42"/>
      <c r="AC917" s="42"/>
    </row>
    <row r="918" spans="15:29" x14ac:dyDescent="0.25">
      <c r="O918" s="42"/>
      <c r="R918" s="42"/>
      <c r="AC918" s="42"/>
    </row>
    <row r="919" spans="15:29" x14ac:dyDescent="0.25">
      <c r="O919" s="42"/>
      <c r="R919" s="42"/>
      <c r="AC919" s="42"/>
    </row>
    <row r="920" spans="15:29" x14ac:dyDescent="0.25">
      <c r="O920" s="42"/>
      <c r="R920" s="42"/>
      <c r="AC920" s="42"/>
    </row>
    <row r="921" spans="15:29" x14ac:dyDescent="0.25">
      <c r="O921" s="42"/>
      <c r="R921" s="42"/>
      <c r="AC921" s="42"/>
    </row>
    <row r="922" spans="15:29" x14ac:dyDescent="0.25">
      <c r="O922" s="42"/>
      <c r="R922" s="42"/>
      <c r="AC922" s="42"/>
    </row>
    <row r="923" spans="15:29" x14ac:dyDescent="0.25">
      <c r="O923" s="42"/>
      <c r="R923" s="42"/>
      <c r="AC923" s="42"/>
    </row>
    <row r="924" spans="15:29" x14ac:dyDescent="0.25">
      <c r="O924" s="42"/>
      <c r="R924" s="42"/>
      <c r="AC924" s="42"/>
    </row>
    <row r="925" spans="15:29" x14ac:dyDescent="0.25">
      <c r="O925" s="42"/>
      <c r="R925" s="42"/>
      <c r="AC925" s="42"/>
    </row>
    <row r="926" spans="15:29" x14ac:dyDescent="0.25">
      <c r="O926" s="42"/>
      <c r="R926" s="42"/>
      <c r="AC926" s="42"/>
    </row>
    <row r="927" spans="15:29" x14ac:dyDescent="0.25">
      <c r="O927" s="42"/>
      <c r="R927" s="42"/>
      <c r="AC927" s="42"/>
    </row>
    <row r="928" spans="15:29" x14ac:dyDescent="0.25">
      <c r="O928" s="42"/>
      <c r="R928" s="42"/>
      <c r="AC928" s="42"/>
    </row>
    <row r="929" spans="15:29" x14ac:dyDescent="0.25">
      <c r="O929" s="42"/>
      <c r="R929" s="42"/>
      <c r="AC929" s="42"/>
    </row>
    <row r="930" spans="15:29" x14ac:dyDescent="0.25">
      <c r="O930" s="42"/>
      <c r="R930" s="42"/>
      <c r="AC930" s="42"/>
    </row>
    <row r="931" spans="15:29" x14ac:dyDescent="0.25">
      <c r="O931" s="42"/>
      <c r="R931" s="42"/>
      <c r="AC931" s="42"/>
    </row>
    <row r="932" spans="15:29" x14ac:dyDescent="0.25">
      <c r="O932" s="42"/>
      <c r="R932" s="42"/>
      <c r="AC932" s="42"/>
    </row>
    <row r="933" spans="15:29" x14ac:dyDescent="0.25">
      <c r="O933" s="42"/>
      <c r="R933" s="42"/>
      <c r="AC933" s="42"/>
    </row>
    <row r="934" spans="15:29" x14ac:dyDescent="0.25">
      <c r="O934" s="42"/>
      <c r="R934" s="42"/>
      <c r="AC934" s="42"/>
    </row>
    <row r="935" spans="15:29" x14ac:dyDescent="0.25">
      <c r="O935" s="42"/>
      <c r="R935" s="42"/>
      <c r="AC935" s="42"/>
    </row>
    <row r="936" spans="15:29" x14ac:dyDescent="0.25">
      <c r="O936" s="42"/>
      <c r="R936" s="42"/>
      <c r="AC936" s="42"/>
    </row>
    <row r="937" spans="15:29" x14ac:dyDescent="0.25">
      <c r="O937" s="42"/>
      <c r="R937" s="42"/>
      <c r="AC937" s="42"/>
    </row>
    <row r="938" spans="15:29" x14ac:dyDescent="0.25">
      <c r="O938" s="42"/>
      <c r="R938" s="42"/>
      <c r="AC938" s="42"/>
    </row>
    <row r="939" spans="15:29" x14ac:dyDescent="0.25">
      <c r="O939" s="42"/>
      <c r="R939" s="42"/>
      <c r="AC939" s="42"/>
    </row>
    <row r="940" spans="15:29" x14ac:dyDescent="0.25">
      <c r="O940" s="42"/>
      <c r="R940" s="42"/>
      <c r="AC940" s="42"/>
    </row>
    <row r="941" spans="15:29" x14ac:dyDescent="0.25">
      <c r="O941" s="42"/>
      <c r="R941" s="42"/>
      <c r="AC941" s="42"/>
    </row>
    <row r="942" spans="15:29" x14ac:dyDescent="0.25">
      <c r="O942" s="42"/>
      <c r="R942" s="42"/>
      <c r="AC942" s="42"/>
    </row>
    <row r="943" spans="15:29" x14ac:dyDescent="0.25">
      <c r="O943" s="42"/>
      <c r="R943" s="42"/>
      <c r="AC943" s="42"/>
    </row>
    <row r="944" spans="15:29" x14ac:dyDescent="0.25">
      <c r="O944" s="42"/>
      <c r="R944" s="42"/>
      <c r="AC944" s="42"/>
    </row>
    <row r="945" spans="15:29" x14ac:dyDescent="0.25">
      <c r="O945" s="42"/>
      <c r="R945" s="42"/>
      <c r="AC945" s="42"/>
    </row>
    <row r="946" spans="15:29" x14ac:dyDescent="0.25">
      <c r="O946" s="42"/>
      <c r="R946" s="42"/>
      <c r="AC946" s="42"/>
    </row>
    <row r="947" spans="15:29" x14ac:dyDescent="0.25">
      <c r="O947" s="42"/>
      <c r="R947" s="42"/>
      <c r="AC947" s="42"/>
    </row>
    <row r="948" spans="15:29" x14ac:dyDescent="0.25">
      <c r="O948" s="42"/>
      <c r="R948" s="42"/>
      <c r="AC948" s="42"/>
    </row>
    <row r="949" spans="15:29" x14ac:dyDescent="0.25">
      <c r="O949" s="42"/>
      <c r="R949" s="42"/>
      <c r="AC949" s="42"/>
    </row>
    <row r="950" spans="15:29" x14ac:dyDescent="0.25">
      <c r="O950" s="42"/>
      <c r="R950" s="42"/>
      <c r="AC950" s="42"/>
    </row>
    <row r="951" spans="15:29" x14ac:dyDescent="0.25">
      <c r="O951" s="42"/>
      <c r="R951" s="42"/>
      <c r="AC951" s="42"/>
    </row>
    <row r="952" spans="15:29" x14ac:dyDescent="0.25">
      <c r="O952" s="42"/>
      <c r="R952" s="42"/>
      <c r="AC952" s="42"/>
    </row>
    <row r="953" spans="15:29" x14ac:dyDescent="0.25">
      <c r="O953" s="42"/>
      <c r="R953" s="42"/>
      <c r="AC953" s="42"/>
    </row>
    <row r="954" spans="15:29" x14ac:dyDescent="0.25">
      <c r="O954" s="42"/>
      <c r="R954" s="42"/>
      <c r="AC954" s="42"/>
    </row>
    <row r="955" spans="15:29" x14ac:dyDescent="0.25">
      <c r="O955" s="42"/>
      <c r="R955" s="42"/>
      <c r="AC955" s="42"/>
    </row>
    <row r="956" spans="15:29" x14ac:dyDescent="0.25">
      <c r="O956" s="42"/>
      <c r="R956" s="42"/>
      <c r="AC956" s="42"/>
    </row>
    <row r="957" spans="15:29" x14ac:dyDescent="0.25">
      <c r="O957" s="42"/>
      <c r="R957" s="42"/>
      <c r="AC957" s="42"/>
    </row>
    <row r="958" spans="15:29" x14ac:dyDescent="0.25">
      <c r="O958" s="42"/>
      <c r="R958" s="42"/>
      <c r="AC958" s="42"/>
    </row>
    <row r="959" spans="15:29" x14ac:dyDescent="0.25">
      <c r="O959" s="42"/>
      <c r="R959" s="42"/>
      <c r="AC959" s="42"/>
    </row>
    <row r="960" spans="15:29" x14ac:dyDescent="0.25">
      <c r="O960" s="42"/>
      <c r="R960" s="42"/>
      <c r="AC960" s="42"/>
    </row>
    <row r="961" spans="15:29" x14ac:dyDescent="0.25">
      <c r="O961" s="42"/>
      <c r="R961" s="42"/>
      <c r="AC961" s="42"/>
    </row>
    <row r="962" spans="15:29" x14ac:dyDescent="0.25">
      <c r="O962" s="42"/>
      <c r="R962" s="42"/>
      <c r="AC962" s="42"/>
    </row>
    <row r="963" spans="15:29" x14ac:dyDescent="0.25">
      <c r="O963" s="42"/>
      <c r="R963" s="42"/>
      <c r="AC963" s="42"/>
    </row>
    <row r="964" spans="15:29" x14ac:dyDescent="0.25">
      <c r="O964" s="42"/>
      <c r="R964" s="42"/>
      <c r="AC964" s="42"/>
    </row>
    <row r="965" spans="15:29" x14ac:dyDescent="0.25">
      <c r="O965" s="42"/>
      <c r="R965" s="42"/>
      <c r="AC965" s="42"/>
    </row>
    <row r="966" spans="15:29" x14ac:dyDescent="0.25">
      <c r="O966" s="42"/>
      <c r="R966" s="42"/>
      <c r="AC966" s="42"/>
    </row>
    <row r="967" spans="15:29" x14ac:dyDescent="0.25">
      <c r="O967" s="42"/>
      <c r="R967" s="42"/>
      <c r="AC967" s="42"/>
    </row>
    <row r="968" spans="15:29" x14ac:dyDescent="0.25">
      <c r="O968" s="42"/>
      <c r="R968" s="42"/>
      <c r="AC968" s="42"/>
    </row>
    <row r="969" spans="15:29" x14ac:dyDescent="0.25">
      <c r="O969" s="42"/>
      <c r="R969" s="42"/>
      <c r="AC969" s="42"/>
    </row>
    <row r="970" spans="15:29" x14ac:dyDescent="0.25">
      <c r="O970" s="42"/>
      <c r="R970" s="42"/>
      <c r="AC970" s="42"/>
    </row>
    <row r="971" spans="15:29" x14ac:dyDescent="0.25">
      <c r="O971" s="42"/>
      <c r="R971" s="42"/>
      <c r="AC971" s="42"/>
    </row>
    <row r="972" spans="15:29" x14ac:dyDescent="0.25">
      <c r="O972" s="42"/>
      <c r="R972" s="42"/>
      <c r="AC972" s="42"/>
    </row>
    <row r="973" spans="15:29" x14ac:dyDescent="0.25">
      <c r="O973" s="42"/>
      <c r="R973" s="42"/>
      <c r="AC973" s="42"/>
    </row>
    <row r="974" spans="15:29" x14ac:dyDescent="0.25">
      <c r="O974" s="42"/>
      <c r="R974" s="42"/>
      <c r="AC974" s="42"/>
    </row>
    <row r="975" spans="15:29" x14ac:dyDescent="0.25">
      <c r="O975" s="42"/>
      <c r="R975" s="42"/>
      <c r="AC975" s="42"/>
    </row>
    <row r="976" spans="15:29" x14ac:dyDescent="0.25">
      <c r="O976" s="42"/>
      <c r="R976" s="42"/>
      <c r="AC976" s="42"/>
    </row>
    <row r="977" spans="15:29" x14ac:dyDescent="0.25">
      <c r="O977" s="42"/>
      <c r="R977" s="42"/>
      <c r="AC977" s="42"/>
    </row>
    <row r="978" spans="15:29" x14ac:dyDescent="0.25">
      <c r="O978" s="42"/>
      <c r="R978" s="42"/>
      <c r="AC978" s="42"/>
    </row>
    <row r="979" spans="15:29" x14ac:dyDescent="0.25">
      <c r="O979" s="42"/>
      <c r="R979" s="42"/>
      <c r="AC979" s="42"/>
    </row>
    <row r="980" spans="15:29" x14ac:dyDescent="0.25">
      <c r="O980" s="42"/>
      <c r="R980" s="42"/>
      <c r="AC980" s="42"/>
    </row>
    <row r="981" spans="15:29" x14ac:dyDescent="0.25">
      <c r="O981" s="42"/>
      <c r="R981" s="42"/>
      <c r="AC981" s="42"/>
    </row>
    <row r="982" spans="15:29" x14ac:dyDescent="0.25">
      <c r="O982" s="42"/>
      <c r="R982" s="42"/>
      <c r="AC982" s="42"/>
    </row>
    <row r="983" spans="15:29" x14ac:dyDescent="0.25">
      <c r="O983" s="42"/>
      <c r="R983" s="42"/>
      <c r="AC983" s="42"/>
    </row>
    <row r="984" spans="15:29" x14ac:dyDescent="0.25">
      <c r="O984" s="42"/>
      <c r="R984" s="42"/>
      <c r="AC984" s="42"/>
    </row>
    <row r="985" spans="15:29" x14ac:dyDescent="0.25">
      <c r="O985" s="42"/>
      <c r="R985" s="42"/>
      <c r="AC985" s="42"/>
    </row>
    <row r="986" spans="15:29" x14ac:dyDescent="0.25">
      <c r="O986" s="42"/>
      <c r="R986" s="42"/>
      <c r="AC986" s="42"/>
    </row>
    <row r="987" spans="15:29" x14ac:dyDescent="0.25">
      <c r="O987" s="42"/>
      <c r="R987" s="42"/>
      <c r="AC987" s="42"/>
    </row>
    <row r="988" spans="15:29" x14ac:dyDescent="0.25">
      <c r="O988" s="42"/>
      <c r="R988" s="42"/>
      <c r="AC988" s="42"/>
    </row>
    <row r="989" spans="15:29" x14ac:dyDescent="0.25">
      <c r="O989" s="42"/>
      <c r="R989" s="42"/>
      <c r="AC989" s="42"/>
    </row>
    <row r="990" spans="15:29" x14ac:dyDescent="0.25">
      <c r="O990" s="42"/>
      <c r="R990" s="42"/>
      <c r="AC990" s="42"/>
    </row>
    <row r="991" spans="15:29" x14ac:dyDescent="0.25">
      <c r="O991" s="42"/>
      <c r="R991" s="42"/>
      <c r="AC991" s="42"/>
    </row>
    <row r="992" spans="15:29" x14ac:dyDescent="0.25">
      <c r="O992" s="42"/>
      <c r="R992" s="42"/>
      <c r="AC992" s="42"/>
    </row>
    <row r="993" spans="15:29" x14ac:dyDescent="0.25">
      <c r="O993" s="42"/>
      <c r="R993" s="42"/>
      <c r="AC993" s="42"/>
    </row>
    <row r="994" spans="15:29" x14ac:dyDescent="0.25">
      <c r="O994" s="42"/>
      <c r="R994" s="42"/>
      <c r="AC994" s="42"/>
    </row>
    <row r="995" spans="15:29" x14ac:dyDescent="0.25">
      <c r="O995" s="42"/>
      <c r="R995" s="42"/>
      <c r="AC995" s="42"/>
    </row>
    <row r="996" spans="15:29" x14ac:dyDescent="0.25">
      <c r="O996" s="42"/>
      <c r="R996" s="42"/>
      <c r="AC996" s="42"/>
    </row>
    <row r="997" spans="15:29" x14ac:dyDescent="0.25">
      <c r="O997" s="42"/>
      <c r="R997" s="42"/>
      <c r="AC997" s="42"/>
    </row>
    <row r="998" spans="15:29" x14ac:dyDescent="0.25">
      <c r="O998" s="42"/>
      <c r="R998" s="42"/>
      <c r="AC998" s="42"/>
    </row>
    <row r="999" spans="15:29" x14ac:dyDescent="0.25">
      <c r="O999" s="42"/>
      <c r="R999" s="42"/>
      <c r="AC999" s="42"/>
    </row>
    <row r="1000" spans="15:29" x14ac:dyDescent="0.25">
      <c r="O1000" s="42"/>
      <c r="R1000" s="42"/>
      <c r="AC1000" s="42"/>
    </row>
    <row r="1001" spans="15:29" x14ac:dyDescent="0.25">
      <c r="O1001" s="42"/>
      <c r="R1001" s="42"/>
      <c r="AC1001" s="42"/>
    </row>
    <row r="1002" spans="15:29" x14ac:dyDescent="0.25">
      <c r="O1002" s="42"/>
      <c r="R1002" s="42"/>
      <c r="AC1002" s="42"/>
    </row>
    <row r="1003" spans="15:29" x14ac:dyDescent="0.25">
      <c r="O1003" s="42"/>
      <c r="R1003" s="42"/>
      <c r="AC1003" s="42"/>
    </row>
    <row r="1004" spans="15:29" x14ac:dyDescent="0.25">
      <c r="O1004" s="42"/>
      <c r="R1004" s="42"/>
      <c r="AC1004" s="42"/>
    </row>
    <row r="1005" spans="15:29" x14ac:dyDescent="0.25">
      <c r="O1005" s="42"/>
      <c r="R1005" s="42"/>
      <c r="AC1005" s="42"/>
    </row>
    <row r="1006" spans="15:29" x14ac:dyDescent="0.25">
      <c r="O1006" s="42"/>
      <c r="R1006" s="42"/>
      <c r="AC1006" s="42"/>
    </row>
    <row r="1007" spans="15:29" x14ac:dyDescent="0.25">
      <c r="O1007" s="42"/>
      <c r="R1007" s="42"/>
      <c r="AC1007" s="42"/>
    </row>
    <row r="1008" spans="15:29" x14ac:dyDescent="0.25">
      <c r="O1008" s="42"/>
      <c r="R1008" s="42"/>
      <c r="AC1008" s="42"/>
    </row>
    <row r="1009" spans="15:29" x14ac:dyDescent="0.25">
      <c r="O1009" s="42"/>
      <c r="R1009" s="42"/>
      <c r="AC1009" s="42"/>
    </row>
    <row r="1010" spans="15:29" x14ac:dyDescent="0.25">
      <c r="O1010" s="42"/>
      <c r="R1010" s="42"/>
      <c r="AC1010" s="42"/>
    </row>
    <row r="1011" spans="15:29" x14ac:dyDescent="0.25">
      <c r="O1011" s="42"/>
      <c r="R1011" s="42"/>
      <c r="AC1011" s="42"/>
    </row>
    <row r="1012" spans="15:29" x14ac:dyDescent="0.25">
      <c r="O1012" s="42"/>
      <c r="R1012" s="42"/>
      <c r="AC1012" s="42"/>
    </row>
    <row r="1013" spans="15:29" x14ac:dyDescent="0.25">
      <c r="O1013" s="42"/>
      <c r="R1013" s="42"/>
      <c r="AC1013" s="42"/>
    </row>
    <row r="1014" spans="15:29" x14ac:dyDescent="0.25">
      <c r="O1014" s="42"/>
      <c r="R1014" s="42"/>
      <c r="AC1014" s="42"/>
    </row>
    <row r="1015" spans="15:29" x14ac:dyDescent="0.25">
      <c r="O1015" s="42"/>
      <c r="R1015" s="42"/>
      <c r="AC1015" s="42"/>
    </row>
    <row r="1016" spans="15:29" x14ac:dyDescent="0.25">
      <c r="O1016" s="42"/>
      <c r="R1016" s="42"/>
      <c r="AC1016" s="42"/>
    </row>
    <row r="1017" spans="15:29" x14ac:dyDescent="0.25">
      <c r="O1017" s="42"/>
      <c r="R1017" s="42"/>
      <c r="AC1017" s="42"/>
    </row>
    <row r="1018" spans="15:29" x14ac:dyDescent="0.25">
      <c r="O1018" s="42"/>
      <c r="R1018" s="42"/>
      <c r="AC1018" s="42"/>
    </row>
    <row r="1019" spans="15:29" x14ac:dyDescent="0.25">
      <c r="O1019" s="42"/>
      <c r="R1019" s="42"/>
      <c r="AC1019" s="42"/>
    </row>
    <row r="1020" spans="15:29" x14ac:dyDescent="0.25">
      <c r="O1020" s="42"/>
      <c r="R1020" s="42"/>
      <c r="AC1020" s="42"/>
    </row>
    <row r="1021" spans="15:29" x14ac:dyDescent="0.25">
      <c r="O1021" s="42"/>
      <c r="R1021" s="42"/>
      <c r="AC1021" s="42"/>
    </row>
    <row r="1022" spans="15:29" x14ac:dyDescent="0.25">
      <c r="O1022" s="42"/>
      <c r="R1022" s="42"/>
      <c r="AC1022" s="42"/>
    </row>
    <row r="1023" spans="15:29" x14ac:dyDescent="0.25">
      <c r="O1023" s="42"/>
      <c r="R1023" s="42"/>
      <c r="AC1023" s="42"/>
    </row>
    <row r="1024" spans="15:29" x14ac:dyDescent="0.25">
      <c r="O1024" s="42"/>
      <c r="R1024" s="42"/>
      <c r="AC1024" s="42"/>
    </row>
    <row r="1025" spans="15:29" x14ac:dyDescent="0.25">
      <c r="O1025" s="42"/>
      <c r="R1025" s="42"/>
      <c r="AC1025" s="42"/>
    </row>
    <row r="1026" spans="15:29" x14ac:dyDescent="0.25">
      <c r="O1026" s="42"/>
      <c r="R1026" s="42"/>
      <c r="AC1026" s="42"/>
    </row>
    <row r="1027" spans="15:29" x14ac:dyDescent="0.25">
      <c r="O1027" s="42"/>
      <c r="R1027" s="42"/>
      <c r="AC1027" s="42"/>
    </row>
    <row r="1028" spans="15:29" x14ac:dyDescent="0.25">
      <c r="O1028" s="42"/>
      <c r="R1028" s="42"/>
      <c r="AC1028" s="42"/>
    </row>
    <row r="1029" spans="15:29" x14ac:dyDescent="0.25">
      <c r="O1029" s="42"/>
      <c r="R1029" s="42"/>
      <c r="AC1029" s="42"/>
    </row>
    <row r="1030" spans="15:29" x14ac:dyDescent="0.25">
      <c r="O1030" s="42"/>
      <c r="R1030" s="42"/>
      <c r="AC1030" s="42"/>
    </row>
    <row r="1031" spans="15:29" x14ac:dyDescent="0.25">
      <c r="O1031" s="42"/>
      <c r="R1031" s="42"/>
      <c r="AC1031" s="42"/>
    </row>
    <row r="1032" spans="15:29" x14ac:dyDescent="0.25">
      <c r="O1032" s="42"/>
      <c r="R1032" s="42"/>
      <c r="AC1032" s="42"/>
    </row>
    <row r="1033" spans="15:29" x14ac:dyDescent="0.25">
      <c r="O1033" s="42"/>
      <c r="R1033" s="42"/>
      <c r="AC1033" s="42"/>
    </row>
    <row r="1034" spans="15:29" x14ac:dyDescent="0.25">
      <c r="O1034" s="42"/>
      <c r="R1034" s="42"/>
      <c r="AC1034" s="42"/>
    </row>
    <row r="1035" spans="15:29" x14ac:dyDescent="0.25">
      <c r="O1035" s="42"/>
      <c r="R1035" s="42"/>
      <c r="AC1035" s="42"/>
    </row>
    <row r="1036" spans="15:29" x14ac:dyDescent="0.25">
      <c r="O1036" s="42"/>
      <c r="R1036" s="42"/>
      <c r="AC1036" s="42"/>
    </row>
    <row r="1037" spans="15:29" x14ac:dyDescent="0.25">
      <c r="O1037" s="42"/>
      <c r="R1037" s="42"/>
      <c r="AC1037" s="42"/>
    </row>
    <row r="1038" spans="15:29" x14ac:dyDescent="0.25">
      <c r="O1038" s="42"/>
      <c r="R1038" s="42"/>
      <c r="AC1038" s="42"/>
    </row>
    <row r="1039" spans="15:29" x14ac:dyDescent="0.25">
      <c r="O1039" s="42"/>
      <c r="R1039" s="42"/>
      <c r="AC1039" s="42"/>
    </row>
    <row r="1040" spans="15:29" x14ac:dyDescent="0.25">
      <c r="O1040" s="42"/>
      <c r="R1040" s="42"/>
      <c r="AC1040" s="42"/>
    </row>
    <row r="1041" spans="15:29" x14ac:dyDescent="0.25">
      <c r="O1041" s="42"/>
      <c r="R1041" s="42"/>
      <c r="AC1041" s="42"/>
    </row>
    <row r="1042" spans="15:29" x14ac:dyDescent="0.25">
      <c r="O1042" s="42"/>
      <c r="R1042" s="42"/>
      <c r="AC1042" s="42"/>
    </row>
    <row r="1043" spans="15:29" x14ac:dyDescent="0.25">
      <c r="O1043" s="42"/>
      <c r="R1043" s="42"/>
      <c r="AC1043" s="42"/>
    </row>
    <row r="1044" spans="15:29" x14ac:dyDescent="0.25">
      <c r="O1044" s="42"/>
      <c r="R1044" s="42"/>
      <c r="AC1044" s="42"/>
    </row>
    <row r="1045" spans="15:29" x14ac:dyDescent="0.25">
      <c r="O1045" s="42"/>
      <c r="R1045" s="42"/>
      <c r="AC1045" s="42"/>
    </row>
    <row r="1046" spans="15:29" x14ac:dyDescent="0.25">
      <c r="O1046" s="42"/>
      <c r="R1046" s="42"/>
      <c r="AC1046" s="42"/>
    </row>
    <row r="1047" spans="15:29" x14ac:dyDescent="0.25">
      <c r="O1047" s="42"/>
      <c r="R1047" s="42"/>
      <c r="AC1047" s="42"/>
    </row>
    <row r="1048" spans="15:29" x14ac:dyDescent="0.25">
      <c r="O1048" s="42"/>
      <c r="R1048" s="42"/>
      <c r="AC1048" s="42"/>
    </row>
    <row r="1049" spans="15:29" x14ac:dyDescent="0.25">
      <c r="O1049" s="42"/>
      <c r="R1049" s="42"/>
      <c r="AC1049" s="42"/>
    </row>
    <row r="1050" spans="15:29" x14ac:dyDescent="0.25">
      <c r="O1050" s="42"/>
      <c r="R1050" s="42"/>
      <c r="AC1050" s="42"/>
    </row>
    <row r="1051" spans="15:29" x14ac:dyDescent="0.25">
      <c r="O1051" s="42"/>
      <c r="R1051" s="42"/>
      <c r="AC1051" s="42"/>
    </row>
    <row r="1052" spans="15:29" x14ac:dyDescent="0.25">
      <c r="O1052" s="42"/>
      <c r="R1052" s="42"/>
      <c r="AC1052" s="42"/>
    </row>
    <row r="1053" spans="15:29" x14ac:dyDescent="0.25">
      <c r="O1053" s="42"/>
      <c r="R1053" s="42"/>
      <c r="AC1053" s="42"/>
    </row>
    <row r="1054" spans="15:29" x14ac:dyDescent="0.25">
      <c r="O1054" s="42"/>
      <c r="R1054" s="42"/>
      <c r="AC1054" s="42"/>
    </row>
    <row r="1055" spans="15:29" x14ac:dyDescent="0.25">
      <c r="O1055" s="42"/>
      <c r="R1055" s="42"/>
      <c r="AC1055" s="42"/>
    </row>
    <row r="1056" spans="15:29" x14ac:dyDescent="0.25">
      <c r="O1056" s="42"/>
      <c r="R1056" s="42"/>
      <c r="AC1056" s="42"/>
    </row>
    <row r="1057" spans="15:29" x14ac:dyDescent="0.25">
      <c r="O1057" s="42"/>
      <c r="R1057" s="42"/>
      <c r="AC1057" s="42"/>
    </row>
    <row r="1058" spans="15:29" x14ac:dyDescent="0.25">
      <c r="O1058" s="42"/>
      <c r="R1058" s="42"/>
      <c r="AC1058" s="42"/>
    </row>
    <row r="1059" spans="15:29" x14ac:dyDescent="0.25">
      <c r="O1059" s="42"/>
      <c r="R1059" s="42"/>
      <c r="AC1059" s="42"/>
    </row>
    <row r="1060" spans="15:29" x14ac:dyDescent="0.25">
      <c r="O1060" s="42"/>
      <c r="R1060" s="42"/>
      <c r="AC1060" s="42"/>
    </row>
    <row r="1061" spans="15:29" x14ac:dyDescent="0.25">
      <c r="O1061" s="42"/>
      <c r="R1061" s="42"/>
      <c r="AC1061" s="42"/>
    </row>
    <row r="1062" spans="15:29" x14ac:dyDescent="0.25">
      <c r="O1062" s="42"/>
      <c r="R1062" s="42"/>
      <c r="AC1062" s="42"/>
    </row>
    <row r="1063" spans="15:29" x14ac:dyDescent="0.25">
      <c r="O1063" s="42"/>
      <c r="R1063" s="42"/>
      <c r="AC1063" s="42"/>
    </row>
    <row r="1064" spans="15:29" x14ac:dyDescent="0.25">
      <c r="O1064" s="42"/>
      <c r="R1064" s="42"/>
      <c r="AC1064" s="42"/>
    </row>
    <row r="1065" spans="15:29" x14ac:dyDescent="0.25">
      <c r="O1065" s="42"/>
      <c r="R1065" s="42"/>
      <c r="AC1065" s="42"/>
    </row>
    <row r="1066" spans="15:29" x14ac:dyDescent="0.25">
      <c r="O1066" s="42"/>
      <c r="R1066" s="42"/>
      <c r="AC1066" s="42"/>
    </row>
    <row r="1067" spans="15:29" x14ac:dyDescent="0.25">
      <c r="O1067" s="42"/>
      <c r="R1067" s="42"/>
      <c r="AC1067" s="42"/>
    </row>
    <row r="1068" spans="15:29" x14ac:dyDescent="0.25">
      <c r="O1068" s="42"/>
      <c r="R1068" s="42"/>
      <c r="AC1068" s="42"/>
    </row>
    <row r="1069" spans="15:29" x14ac:dyDescent="0.25">
      <c r="O1069" s="42"/>
      <c r="R1069" s="42"/>
      <c r="AC1069" s="42"/>
    </row>
    <row r="1070" spans="15:29" x14ac:dyDescent="0.25">
      <c r="O1070" s="42"/>
      <c r="R1070" s="42"/>
      <c r="AC1070" s="42"/>
    </row>
    <row r="1071" spans="15:29" x14ac:dyDescent="0.25">
      <c r="O1071" s="42"/>
      <c r="R1071" s="42"/>
      <c r="AC1071" s="42"/>
    </row>
    <row r="1072" spans="15:29" x14ac:dyDescent="0.25">
      <c r="O1072" s="42"/>
      <c r="R1072" s="42"/>
      <c r="AC1072" s="42"/>
    </row>
    <row r="1073" spans="15:29" x14ac:dyDescent="0.25">
      <c r="O1073" s="42"/>
      <c r="R1073" s="42"/>
      <c r="AC1073" s="42"/>
    </row>
    <row r="1074" spans="15:29" x14ac:dyDescent="0.25">
      <c r="O1074" s="42"/>
      <c r="R1074" s="42"/>
      <c r="AC1074" s="42"/>
    </row>
    <row r="1075" spans="15:29" x14ac:dyDescent="0.25">
      <c r="O1075" s="42"/>
      <c r="R1075" s="42"/>
      <c r="AC1075" s="42"/>
    </row>
    <row r="1076" spans="15:29" x14ac:dyDescent="0.25">
      <c r="O1076" s="42"/>
      <c r="R1076" s="42"/>
      <c r="AC1076" s="42"/>
    </row>
    <row r="1077" spans="15:29" x14ac:dyDescent="0.25">
      <c r="O1077" s="42"/>
      <c r="R1077" s="42"/>
      <c r="AC1077" s="42"/>
    </row>
    <row r="1078" spans="15:29" x14ac:dyDescent="0.25">
      <c r="O1078" s="42"/>
      <c r="R1078" s="42"/>
      <c r="AC1078" s="42"/>
    </row>
    <row r="1079" spans="15:29" x14ac:dyDescent="0.25">
      <c r="O1079" s="42"/>
      <c r="R1079" s="42"/>
      <c r="AC1079" s="42"/>
    </row>
    <row r="1080" spans="15:29" x14ac:dyDescent="0.25">
      <c r="O1080" s="42"/>
      <c r="R1080" s="42"/>
      <c r="AC1080" s="42"/>
    </row>
    <row r="1081" spans="15:29" x14ac:dyDescent="0.25">
      <c r="O1081" s="42"/>
      <c r="R1081" s="42"/>
      <c r="AC1081" s="42"/>
    </row>
    <row r="1082" spans="15:29" x14ac:dyDescent="0.25">
      <c r="O1082" s="42"/>
      <c r="R1082" s="42"/>
      <c r="AC1082" s="42"/>
    </row>
    <row r="1083" spans="15:29" x14ac:dyDescent="0.25">
      <c r="O1083" s="42"/>
      <c r="R1083" s="42"/>
      <c r="AC1083" s="42"/>
    </row>
    <row r="1084" spans="15:29" x14ac:dyDescent="0.25">
      <c r="O1084" s="42"/>
      <c r="R1084" s="42"/>
      <c r="AC1084" s="42"/>
    </row>
    <row r="1085" spans="15:29" x14ac:dyDescent="0.25">
      <c r="O1085" s="42"/>
      <c r="R1085" s="42"/>
      <c r="AC1085" s="42"/>
    </row>
    <row r="1086" spans="15:29" x14ac:dyDescent="0.25">
      <c r="O1086" s="42"/>
      <c r="R1086" s="42"/>
      <c r="AC1086" s="42"/>
    </row>
    <row r="1087" spans="15:29" x14ac:dyDescent="0.25">
      <c r="O1087" s="42"/>
      <c r="R1087" s="42"/>
      <c r="AC1087" s="42"/>
    </row>
    <row r="1088" spans="15:29" x14ac:dyDescent="0.25">
      <c r="O1088" s="42"/>
      <c r="R1088" s="42"/>
      <c r="AC1088" s="42"/>
    </row>
    <row r="1089" spans="15:29" x14ac:dyDescent="0.25">
      <c r="O1089" s="42"/>
      <c r="R1089" s="42"/>
      <c r="AC1089" s="42"/>
    </row>
    <row r="1090" spans="15:29" x14ac:dyDescent="0.25">
      <c r="O1090" s="42"/>
      <c r="R1090" s="42"/>
      <c r="AC1090" s="42"/>
    </row>
    <row r="1091" spans="15:29" x14ac:dyDescent="0.25">
      <c r="O1091" s="42"/>
      <c r="R1091" s="42"/>
      <c r="AC1091" s="42"/>
    </row>
    <row r="1092" spans="15:29" x14ac:dyDescent="0.25">
      <c r="O1092" s="42"/>
      <c r="R1092" s="42"/>
      <c r="AC1092" s="42"/>
    </row>
    <row r="1093" spans="15:29" x14ac:dyDescent="0.25">
      <c r="O1093" s="42"/>
      <c r="R1093" s="42"/>
      <c r="AC1093" s="42"/>
    </row>
    <row r="1094" spans="15:29" x14ac:dyDescent="0.25">
      <c r="O1094" s="42"/>
      <c r="R1094" s="42"/>
      <c r="AC1094" s="42"/>
    </row>
    <row r="1095" spans="15:29" x14ac:dyDescent="0.25">
      <c r="O1095" s="42"/>
      <c r="R1095" s="42"/>
      <c r="AC1095" s="42"/>
    </row>
    <row r="1096" spans="15:29" x14ac:dyDescent="0.25">
      <c r="O1096" s="42"/>
      <c r="R1096" s="42"/>
      <c r="AC1096" s="42"/>
    </row>
    <row r="1097" spans="15:29" x14ac:dyDescent="0.25">
      <c r="O1097" s="42"/>
      <c r="R1097" s="42"/>
      <c r="AC1097" s="42"/>
    </row>
    <row r="1098" spans="15:29" x14ac:dyDescent="0.25">
      <c r="O1098" s="42"/>
      <c r="R1098" s="42"/>
      <c r="AC1098" s="42"/>
    </row>
    <row r="1099" spans="15:29" x14ac:dyDescent="0.25">
      <c r="O1099" s="42"/>
      <c r="R1099" s="42"/>
      <c r="AC1099" s="42"/>
    </row>
    <row r="1100" spans="15:29" x14ac:dyDescent="0.25">
      <c r="O1100" s="42"/>
      <c r="R1100" s="42"/>
      <c r="AC1100" s="42"/>
    </row>
    <row r="1101" spans="15:29" x14ac:dyDescent="0.25">
      <c r="O1101" s="42"/>
      <c r="R1101" s="42"/>
      <c r="AC1101" s="42"/>
    </row>
    <row r="1102" spans="15:29" x14ac:dyDescent="0.25">
      <c r="O1102" s="42"/>
      <c r="R1102" s="42"/>
      <c r="AC1102" s="42"/>
    </row>
    <row r="1103" spans="15:29" x14ac:dyDescent="0.25">
      <c r="O1103" s="42"/>
      <c r="R1103" s="42"/>
      <c r="AC1103" s="42"/>
    </row>
    <row r="1104" spans="15:29" x14ac:dyDescent="0.25">
      <c r="O1104" s="42"/>
      <c r="R1104" s="42"/>
      <c r="AC1104" s="42"/>
    </row>
    <row r="1105" spans="15:29" x14ac:dyDescent="0.25">
      <c r="O1105" s="42"/>
      <c r="R1105" s="42"/>
      <c r="AC1105" s="42"/>
    </row>
    <row r="1106" spans="15:29" x14ac:dyDescent="0.25">
      <c r="O1106" s="42"/>
      <c r="R1106" s="42"/>
      <c r="AC1106" s="42"/>
    </row>
    <row r="1107" spans="15:29" x14ac:dyDescent="0.25">
      <c r="O1107" s="42"/>
      <c r="R1107" s="42"/>
      <c r="AC1107" s="42"/>
    </row>
    <row r="1108" spans="15:29" x14ac:dyDescent="0.25">
      <c r="O1108" s="42"/>
      <c r="R1108" s="42"/>
      <c r="AC1108" s="42"/>
    </row>
    <row r="1109" spans="15:29" x14ac:dyDescent="0.25">
      <c r="O1109" s="42"/>
      <c r="R1109" s="42"/>
      <c r="AC1109" s="42"/>
    </row>
    <row r="1110" spans="15:29" x14ac:dyDescent="0.25">
      <c r="O1110" s="42"/>
      <c r="R1110" s="42"/>
      <c r="AC1110" s="42"/>
    </row>
    <row r="1111" spans="15:29" x14ac:dyDescent="0.25">
      <c r="O1111" s="42"/>
      <c r="R1111" s="42"/>
      <c r="AC1111" s="42"/>
    </row>
    <row r="1112" spans="15:29" x14ac:dyDescent="0.25">
      <c r="O1112" s="42"/>
      <c r="R1112" s="42"/>
      <c r="AC1112" s="42"/>
    </row>
    <row r="1113" spans="15:29" x14ac:dyDescent="0.25">
      <c r="O1113" s="42"/>
      <c r="R1113" s="42"/>
      <c r="AC1113" s="42"/>
    </row>
    <row r="1114" spans="15:29" x14ac:dyDescent="0.25">
      <c r="O1114" s="42"/>
      <c r="R1114" s="42"/>
      <c r="AC1114" s="42"/>
    </row>
    <row r="1115" spans="15:29" x14ac:dyDescent="0.25">
      <c r="O1115" s="42"/>
      <c r="R1115" s="42"/>
      <c r="AC1115" s="42"/>
    </row>
    <row r="1116" spans="15:29" x14ac:dyDescent="0.25">
      <c r="O1116" s="42"/>
      <c r="R1116" s="42"/>
      <c r="AC1116" s="42"/>
    </row>
    <row r="1117" spans="15:29" x14ac:dyDescent="0.25">
      <c r="O1117" s="42"/>
      <c r="R1117" s="42"/>
      <c r="AC1117" s="42"/>
    </row>
    <row r="1118" spans="15:29" x14ac:dyDescent="0.25">
      <c r="O1118" s="42"/>
      <c r="R1118" s="42"/>
      <c r="AC1118" s="42"/>
    </row>
    <row r="1119" spans="15:29" x14ac:dyDescent="0.25">
      <c r="O1119" s="42"/>
      <c r="R1119" s="42"/>
      <c r="AC1119" s="42"/>
    </row>
    <row r="1120" spans="15:29" x14ac:dyDescent="0.25">
      <c r="O1120" s="42"/>
      <c r="R1120" s="42"/>
      <c r="AC1120" s="42"/>
    </row>
    <row r="1121" spans="15:29" x14ac:dyDescent="0.25">
      <c r="O1121" s="42"/>
      <c r="R1121" s="42"/>
      <c r="AC1121" s="42"/>
    </row>
    <row r="1122" spans="15:29" x14ac:dyDescent="0.25">
      <c r="O1122" s="42"/>
      <c r="R1122" s="42"/>
      <c r="AC1122" s="42"/>
    </row>
    <row r="1123" spans="15:29" x14ac:dyDescent="0.25">
      <c r="O1123" s="42"/>
      <c r="R1123" s="42"/>
      <c r="AC1123" s="42"/>
    </row>
    <row r="1124" spans="15:29" x14ac:dyDescent="0.25">
      <c r="O1124" s="42"/>
      <c r="R1124" s="42"/>
      <c r="AC1124" s="42"/>
    </row>
    <row r="1125" spans="15:29" x14ac:dyDescent="0.25">
      <c r="O1125" s="42"/>
      <c r="R1125" s="42"/>
      <c r="AC1125" s="42"/>
    </row>
    <row r="1126" spans="15:29" x14ac:dyDescent="0.25">
      <c r="O1126" s="42"/>
      <c r="R1126" s="42"/>
      <c r="AC1126" s="42"/>
    </row>
    <row r="1127" spans="15:29" x14ac:dyDescent="0.25">
      <c r="O1127" s="42"/>
      <c r="R1127" s="42"/>
      <c r="AC1127" s="42"/>
    </row>
    <row r="1128" spans="15:29" x14ac:dyDescent="0.25">
      <c r="O1128" s="42"/>
      <c r="R1128" s="42"/>
      <c r="AC1128" s="42"/>
    </row>
    <row r="1129" spans="15:29" x14ac:dyDescent="0.25">
      <c r="O1129" s="42"/>
      <c r="R1129" s="42"/>
      <c r="AC1129" s="42"/>
    </row>
    <row r="1130" spans="15:29" x14ac:dyDescent="0.25">
      <c r="O1130" s="42"/>
      <c r="R1130" s="42"/>
      <c r="AC1130" s="42"/>
    </row>
    <row r="1131" spans="15:29" x14ac:dyDescent="0.25">
      <c r="O1131" s="42"/>
      <c r="R1131" s="42"/>
      <c r="AC1131" s="42"/>
    </row>
    <row r="1132" spans="15:29" x14ac:dyDescent="0.25">
      <c r="O1132" s="42"/>
      <c r="R1132" s="42"/>
      <c r="AC1132" s="42"/>
    </row>
    <row r="1133" spans="15:29" x14ac:dyDescent="0.25">
      <c r="O1133" s="42"/>
      <c r="R1133" s="42"/>
      <c r="AC1133" s="42"/>
    </row>
    <row r="1134" spans="15:29" x14ac:dyDescent="0.25">
      <c r="O1134" s="42"/>
      <c r="R1134" s="42"/>
      <c r="AC1134" s="42"/>
    </row>
    <row r="1135" spans="15:29" x14ac:dyDescent="0.25">
      <c r="O1135" s="42"/>
      <c r="R1135" s="42"/>
      <c r="AC1135" s="42"/>
    </row>
    <row r="1136" spans="15:29" x14ac:dyDescent="0.25">
      <c r="O1136" s="42"/>
      <c r="R1136" s="42"/>
      <c r="AC1136" s="42"/>
    </row>
    <row r="1137" spans="15:29" x14ac:dyDescent="0.25">
      <c r="O1137" s="42"/>
      <c r="R1137" s="42"/>
      <c r="AC1137" s="42"/>
    </row>
    <row r="1138" spans="15:29" x14ac:dyDescent="0.25">
      <c r="O1138" s="42"/>
      <c r="R1138" s="42"/>
      <c r="AC1138" s="42"/>
    </row>
    <row r="1139" spans="15:29" x14ac:dyDescent="0.25">
      <c r="O1139" s="42"/>
      <c r="R1139" s="42"/>
      <c r="AC1139" s="42"/>
    </row>
    <row r="1140" spans="15:29" x14ac:dyDescent="0.25">
      <c r="O1140" s="42"/>
      <c r="R1140" s="42"/>
      <c r="AC1140" s="42"/>
    </row>
    <row r="1141" spans="15:29" x14ac:dyDescent="0.25">
      <c r="O1141" s="42"/>
      <c r="R1141" s="42"/>
      <c r="AC1141" s="42"/>
    </row>
    <row r="1142" spans="15:29" x14ac:dyDescent="0.25">
      <c r="O1142" s="42"/>
      <c r="R1142" s="42"/>
      <c r="AC1142" s="42"/>
    </row>
    <row r="1143" spans="15:29" x14ac:dyDescent="0.25">
      <c r="O1143" s="42"/>
      <c r="R1143" s="42"/>
      <c r="AC1143" s="42"/>
    </row>
    <row r="1144" spans="15:29" x14ac:dyDescent="0.25">
      <c r="O1144" s="42"/>
      <c r="R1144" s="42"/>
      <c r="AC1144" s="42"/>
    </row>
    <row r="1145" spans="15:29" x14ac:dyDescent="0.25">
      <c r="O1145" s="42"/>
      <c r="R1145" s="42"/>
      <c r="AC1145" s="42"/>
    </row>
    <row r="1146" spans="15:29" x14ac:dyDescent="0.25">
      <c r="O1146" s="42"/>
      <c r="R1146" s="42"/>
      <c r="AC1146" s="42"/>
    </row>
    <row r="1147" spans="15:29" x14ac:dyDescent="0.25">
      <c r="O1147" s="42"/>
      <c r="R1147" s="42"/>
      <c r="AC1147" s="42"/>
    </row>
    <row r="1148" spans="15:29" x14ac:dyDescent="0.25">
      <c r="O1148" s="42"/>
      <c r="R1148" s="42"/>
      <c r="AC1148" s="42"/>
    </row>
    <row r="1149" spans="15:29" x14ac:dyDescent="0.25">
      <c r="O1149" s="42"/>
      <c r="R1149" s="42"/>
      <c r="AC1149" s="42"/>
    </row>
    <row r="1150" spans="15:29" x14ac:dyDescent="0.25">
      <c r="O1150" s="42"/>
      <c r="R1150" s="42"/>
      <c r="AC1150" s="42"/>
    </row>
    <row r="1151" spans="15:29" x14ac:dyDescent="0.25">
      <c r="O1151" s="42"/>
      <c r="R1151" s="42"/>
      <c r="AC1151" s="42"/>
    </row>
    <row r="1152" spans="15:29" x14ac:dyDescent="0.25">
      <c r="O1152" s="42"/>
      <c r="R1152" s="42"/>
      <c r="AC1152" s="42"/>
    </row>
    <row r="1153" spans="15:29" x14ac:dyDescent="0.25">
      <c r="O1153" s="42"/>
      <c r="R1153" s="42"/>
      <c r="AC1153" s="42"/>
    </row>
    <row r="1154" spans="15:29" x14ac:dyDescent="0.25">
      <c r="O1154" s="42"/>
      <c r="R1154" s="42"/>
      <c r="AC1154" s="42"/>
    </row>
    <row r="1155" spans="15:29" x14ac:dyDescent="0.25">
      <c r="O1155" s="42"/>
      <c r="R1155" s="42"/>
      <c r="AC1155" s="42"/>
    </row>
    <row r="1156" spans="15:29" x14ac:dyDescent="0.25">
      <c r="O1156" s="42"/>
      <c r="R1156" s="42"/>
      <c r="AC1156" s="42"/>
    </row>
    <row r="1157" spans="15:29" x14ac:dyDescent="0.25">
      <c r="O1157" s="42"/>
      <c r="R1157" s="42"/>
      <c r="AC1157" s="42"/>
    </row>
    <row r="1158" spans="15:29" x14ac:dyDescent="0.25">
      <c r="O1158" s="42"/>
      <c r="R1158" s="42"/>
      <c r="AC1158" s="42"/>
    </row>
    <row r="1159" spans="15:29" x14ac:dyDescent="0.25">
      <c r="O1159" s="42"/>
      <c r="R1159" s="42"/>
      <c r="AC1159" s="42"/>
    </row>
    <row r="1160" spans="15:29" x14ac:dyDescent="0.25">
      <c r="O1160" s="42"/>
      <c r="R1160" s="42"/>
      <c r="AC1160" s="42"/>
    </row>
    <row r="1161" spans="15:29" x14ac:dyDescent="0.25">
      <c r="O1161" s="42"/>
      <c r="R1161" s="42"/>
      <c r="AC1161" s="42"/>
    </row>
    <row r="1162" spans="15:29" x14ac:dyDescent="0.25">
      <c r="O1162" s="42"/>
      <c r="R1162" s="42"/>
      <c r="AC1162" s="42"/>
    </row>
    <row r="1163" spans="15:29" x14ac:dyDescent="0.25">
      <c r="O1163" s="42"/>
      <c r="R1163" s="42"/>
      <c r="AC1163" s="42"/>
    </row>
    <row r="1164" spans="15:29" x14ac:dyDescent="0.25">
      <c r="O1164" s="42"/>
      <c r="R1164" s="42"/>
      <c r="AC1164" s="42"/>
    </row>
    <row r="1165" spans="15:29" x14ac:dyDescent="0.25">
      <c r="O1165" s="42"/>
      <c r="R1165" s="42"/>
      <c r="AC1165" s="42"/>
    </row>
    <row r="1166" spans="15:29" x14ac:dyDescent="0.25">
      <c r="O1166" s="42"/>
      <c r="R1166" s="42"/>
      <c r="AC1166" s="42"/>
    </row>
    <row r="1167" spans="15:29" x14ac:dyDescent="0.25">
      <c r="O1167" s="42"/>
      <c r="R1167" s="42"/>
      <c r="AC1167" s="42"/>
    </row>
    <row r="1168" spans="15:29" x14ac:dyDescent="0.25">
      <c r="O1168" s="42"/>
      <c r="R1168" s="42"/>
      <c r="AC1168" s="42"/>
    </row>
    <row r="1169" spans="15:29" x14ac:dyDescent="0.25">
      <c r="O1169" s="42"/>
      <c r="R1169" s="42"/>
      <c r="AC1169" s="42"/>
    </row>
    <row r="1170" spans="15:29" x14ac:dyDescent="0.25">
      <c r="O1170" s="42"/>
      <c r="R1170" s="42"/>
      <c r="AC1170" s="42"/>
    </row>
    <row r="1171" spans="15:29" x14ac:dyDescent="0.25">
      <c r="O1171" s="42"/>
      <c r="R1171" s="42"/>
      <c r="AC1171" s="42"/>
    </row>
    <row r="1172" spans="15:29" x14ac:dyDescent="0.25">
      <c r="O1172" s="42"/>
      <c r="R1172" s="42"/>
      <c r="AC1172" s="42"/>
    </row>
    <row r="1173" spans="15:29" x14ac:dyDescent="0.25">
      <c r="O1173" s="42"/>
      <c r="R1173" s="42"/>
      <c r="AC1173" s="42"/>
    </row>
    <row r="1174" spans="15:29" x14ac:dyDescent="0.25">
      <c r="O1174" s="42"/>
      <c r="R1174" s="42"/>
      <c r="AC1174" s="42"/>
    </row>
    <row r="1175" spans="15:29" x14ac:dyDescent="0.25">
      <c r="O1175" s="42"/>
      <c r="R1175" s="42"/>
      <c r="AC1175" s="42"/>
    </row>
    <row r="1176" spans="15:29" x14ac:dyDescent="0.25">
      <c r="O1176" s="42"/>
      <c r="R1176" s="42"/>
      <c r="AC1176" s="42"/>
    </row>
    <row r="1177" spans="15:29" x14ac:dyDescent="0.25">
      <c r="O1177" s="42"/>
      <c r="R1177" s="42"/>
      <c r="AC1177" s="42"/>
    </row>
    <row r="1178" spans="15:29" x14ac:dyDescent="0.25">
      <c r="O1178" s="42"/>
      <c r="R1178" s="42"/>
      <c r="AC1178" s="42"/>
    </row>
    <row r="1179" spans="15:29" x14ac:dyDescent="0.25">
      <c r="O1179" s="42"/>
      <c r="R1179" s="42"/>
      <c r="AC1179" s="42"/>
    </row>
    <row r="1180" spans="15:29" x14ac:dyDescent="0.25">
      <c r="O1180" s="42"/>
      <c r="R1180" s="42"/>
      <c r="AC1180" s="42"/>
    </row>
    <row r="1181" spans="15:29" x14ac:dyDescent="0.25">
      <c r="O1181" s="42"/>
      <c r="R1181" s="42"/>
      <c r="AC1181" s="42"/>
    </row>
    <row r="1182" spans="15:29" x14ac:dyDescent="0.25">
      <c r="O1182" s="42"/>
      <c r="R1182" s="42"/>
      <c r="AC1182" s="42"/>
    </row>
    <row r="1183" spans="15:29" x14ac:dyDescent="0.25">
      <c r="O1183" s="42"/>
      <c r="R1183" s="42"/>
      <c r="AC1183" s="42"/>
    </row>
    <row r="1184" spans="15:29" x14ac:dyDescent="0.25">
      <c r="O1184" s="42"/>
      <c r="R1184" s="42"/>
      <c r="AC1184" s="42"/>
    </row>
    <row r="1185" spans="15:29" x14ac:dyDescent="0.25">
      <c r="O1185" s="42"/>
      <c r="R1185" s="42"/>
      <c r="AC1185" s="42"/>
    </row>
    <row r="1186" spans="15:29" x14ac:dyDescent="0.25">
      <c r="O1186" s="42"/>
      <c r="R1186" s="42"/>
      <c r="AC1186" s="42"/>
    </row>
    <row r="1187" spans="15:29" x14ac:dyDescent="0.25">
      <c r="O1187" s="42"/>
      <c r="R1187" s="42"/>
      <c r="AC1187" s="42"/>
    </row>
    <row r="1188" spans="15:29" x14ac:dyDescent="0.25">
      <c r="O1188" s="42"/>
      <c r="R1188" s="42"/>
      <c r="AC1188" s="42"/>
    </row>
    <row r="1189" spans="15:29" x14ac:dyDescent="0.25">
      <c r="O1189" s="42"/>
      <c r="R1189" s="42"/>
      <c r="AC1189" s="42"/>
    </row>
    <row r="1190" spans="15:29" x14ac:dyDescent="0.25">
      <c r="O1190" s="42"/>
      <c r="R1190" s="42"/>
      <c r="AC1190" s="42"/>
    </row>
    <row r="1191" spans="15:29" x14ac:dyDescent="0.25">
      <c r="O1191" s="42"/>
      <c r="R1191" s="42"/>
      <c r="AC1191" s="42"/>
    </row>
    <row r="1192" spans="15:29" x14ac:dyDescent="0.25">
      <c r="O1192" s="42"/>
      <c r="R1192" s="42"/>
      <c r="AC1192" s="42"/>
    </row>
    <row r="1193" spans="15:29" x14ac:dyDescent="0.25">
      <c r="O1193" s="42"/>
      <c r="R1193" s="42"/>
      <c r="AC1193" s="42"/>
    </row>
    <row r="1194" spans="15:29" x14ac:dyDescent="0.25">
      <c r="O1194" s="42"/>
      <c r="R1194" s="42"/>
      <c r="AC1194" s="42"/>
    </row>
    <row r="1195" spans="15:29" x14ac:dyDescent="0.25">
      <c r="O1195" s="42"/>
      <c r="R1195" s="42"/>
      <c r="AC1195" s="42"/>
    </row>
    <row r="1196" spans="15:29" x14ac:dyDescent="0.25">
      <c r="O1196" s="42"/>
      <c r="R1196" s="42"/>
      <c r="AC1196" s="42"/>
    </row>
    <row r="1197" spans="15:29" x14ac:dyDescent="0.25">
      <c r="O1197" s="42"/>
      <c r="R1197" s="42"/>
      <c r="AC1197" s="42"/>
    </row>
    <row r="1198" spans="15:29" x14ac:dyDescent="0.25">
      <c r="O1198" s="42"/>
      <c r="R1198" s="42"/>
      <c r="AC1198" s="42"/>
    </row>
    <row r="1199" spans="15:29" x14ac:dyDescent="0.25">
      <c r="O1199" s="42"/>
      <c r="R1199" s="42"/>
      <c r="AC1199" s="42"/>
    </row>
    <row r="1200" spans="15:29" x14ac:dyDescent="0.25">
      <c r="O1200" s="42"/>
      <c r="R1200" s="42"/>
      <c r="AC1200" s="42"/>
    </row>
    <row r="1201" spans="15:29" x14ac:dyDescent="0.25">
      <c r="O1201" s="42"/>
      <c r="R1201" s="42"/>
      <c r="AC1201" s="42"/>
    </row>
    <row r="1202" spans="15:29" x14ac:dyDescent="0.25">
      <c r="O1202" s="42"/>
      <c r="R1202" s="42"/>
      <c r="AC1202" s="42"/>
    </row>
    <row r="1203" spans="15:29" x14ac:dyDescent="0.25">
      <c r="O1203" s="42"/>
      <c r="R1203" s="42"/>
      <c r="AC1203" s="42"/>
    </row>
    <row r="1204" spans="15:29" x14ac:dyDescent="0.25">
      <c r="O1204" s="42"/>
      <c r="R1204" s="42"/>
      <c r="AC1204" s="42"/>
    </row>
    <row r="1205" spans="15:29" x14ac:dyDescent="0.25">
      <c r="O1205" s="42"/>
      <c r="R1205" s="42"/>
      <c r="AC1205" s="42"/>
    </row>
    <row r="1206" spans="15:29" x14ac:dyDescent="0.25">
      <c r="O1206" s="42"/>
      <c r="R1206" s="42"/>
      <c r="AC1206" s="42"/>
    </row>
    <row r="1207" spans="15:29" x14ac:dyDescent="0.25">
      <c r="O1207" s="42"/>
      <c r="R1207" s="42"/>
      <c r="AC1207" s="42"/>
    </row>
    <row r="1208" spans="15:29" x14ac:dyDescent="0.25">
      <c r="O1208" s="42"/>
      <c r="R1208" s="42"/>
      <c r="AC1208" s="42"/>
    </row>
    <row r="1209" spans="15:29" x14ac:dyDescent="0.25">
      <c r="O1209" s="42"/>
      <c r="R1209" s="42"/>
      <c r="AC1209" s="42"/>
    </row>
    <row r="1210" spans="15:29" x14ac:dyDescent="0.25">
      <c r="O1210" s="42"/>
      <c r="R1210" s="42"/>
      <c r="AC1210" s="42"/>
    </row>
    <row r="1211" spans="15:29" x14ac:dyDescent="0.25">
      <c r="O1211" s="42"/>
      <c r="R1211" s="42"/>
      <c r="AC1211" s="42"/>
    </row>
    <row r="1212" spans="15:29" x14ac:dyDescent="0.25">
      <c r="O1212" s="42"/>
      <c r="R1212" s="42"/>
      <c r="AC1212" s="42"/>
    </row>
    <row r="1213" spans="15:29" x14ac:dyDescent="0.25">
      <c r="O1213" s="42"/>
      <c r="R1213" s="42"/>
      <c r="AC1213" s="42"/>
    </row>
    <row r="1214" spans="15:29" x14ac:dyDescent="0.25">
      <c r="O1214" s="42"/>
      <c r="R1214" s="42"/>
      <c r="AC1214" s="42"/>
    </row>
    <row r="1215" spans="15:29" x14ac:dyDescent="0.25">
      <c r="O1215" s="42"/>
      <c r="R1215" s="42"/>
      <c r="AC1215" s="42"/>
    </row>
    <row r="1216" spans="15:29" x14ac:dyDescent="0.25">
      <c r="O1216" s="42"/>
      <c r="R1216" s="42"/>
      <c r="AC1216" s="42"/>
    </row>
    <row r="1217" spans="15:29" x14ac:dyDescent="0.25">
      <c r="O1217" s="42"/>
      <c r="R1217" s="42"/>
      <c r="AC1217" s="42"/>
    </row>
    <row r="1218" spans="15:29" x14ac:dyDescent="0.25">
      <c r="O1218" s="42"/>
      <c r="R1218" s="42"/>
      <c r="AC1218" s="42"/>
    </row>
    <row r="1219" spans="15:29" x14ac:dyDescent="0.25">
      <c r="O1219" s="42"/>
      <c r="R1219" s="42"/>
      <c r="AC1219" s="42"/>
    </row>
    <row r="1220" spans="15:29" x14ac:dyDescent="0.25">
      <c r="O1220" s="42"/>
      <c r="R1220" s="42"/>
      <c r="AC1220" s="42"/>
    </row>
    <row r="1221" spans="15:29" x14ac:dyDescent="0.25">
      <c r="O1221" s="42"/>
      <c r="R1221" s="42"/>
      <c r="AC1221" s="42"/>
    </row>
    <row r="1222" spans="15:29" x14ac:dyDescent="0.25">
      <c r="O1222" s="42"/>
      <c r="R1222" s="42"/>
      <c r="AC1222" s="42"/>
    </row>
    <row r="1223" spans="15:29" x14ac:dyDescent="0.25">
      <c r="O1223" s="42"/>
      <c r="R1223" s="42"/>
      <c r="AC1223" s="42"/>
    </row>
    <row r="1224" spans="15:29" x14ac:dyDescent="0.25">
      <c r="O1224" s="42"/>
      <c r="R1224" s="42"/>
      <c r="AC1224" s="42"/>
    </row>
    <row r="1225" spans="15:29" x14ac:dyDescent="0.25">
      <c r="O1225" s="42"/>
      <c r="R1225" s="42"/>
      <c r="AC1225" s="42"/>
    </row>
    <row r="1226" spans="15:29" x14ac:dyDescent="0.25">
      <c r="O1226" s="42"/>
      <c r="R1226" s="42"/>
      <c r="AC1226" s="42"/>
    </row>
    <row r="1227" spans="15:29" x14ac:dyDescent="0.25">
      <c r="O1227" s="42"/>
      <c r="R1227" s="42"/>
      <c r="AC1227" s="42"/>
    </row>
    <row r="1228" spans="15:29" x14ac:dyDescent="0.25">
      <c r="O1228" s="42"/>
      <c r="R1228" s="42"/>
      <c r="AC1228" s="42"/>
    </row>
    <row r="1229" spans="15:29" x14ac:dyDescent="0.25">
      <c r="O1229" s="42"/>
      <c r="R1229" s="42"/>
      <c r="AC1229" s="42"/>
    </row>
    <row r="1230" spans="15:29" x14ac:dyDescent="0.25">
      <c r="O1230" s="42"/>
      <c r="R1230" s="42"/>
      <c r="AC1230" s="42"/>
    </row>
    <row r="1231" spans="15:29" x14ac:dyDescent="0.25">
      <c r="O1231" s="42"/>
      <c r="R1231" s="42"/>
      <c r="AC1231" s="42"/>
    </row>
    <row r="1232" spans="15:29" x14ac:dyDescent="0.25">
      <c r="O1232" s="42"/>
      <c r="R1232" s="42"/>
      <c r="AC1232" s="42"/>
    </row>
    <row r="1233" spans="15:29" x14ac:dyDescent="0.25">
      <c r="O1233" s="42"/>
      <c r="R1233" s="42"/>
      <c r="AC1233" s="42"/>
    </row>
    <row r="1234" spans="15:29" x14ac:dyDescent="0.25">
      <c r="O1234" s="42"/>
      <c r="R1234" s="42"/>
      <c r="AC1234" s="42"/>
    </row>
    <row r="1235" spans="15:29" x14ac:dyDescent="0.25">
      <c r="O1235" s="42"/>
      <c r="R1235" s="42"/>
      <c r="AC1235" s="42"/>
    </row>
    <row r="1236" spans="15:29" x14ac:dyDescent="0.25">
      <c r="O1236" s="42"/>
      <c r="R1236" s="42"/>
      <c r="AC1236" s="42"/>
    </row>
    <row r="1237" spans="15:29" x14ac:dyDescent="0.25">
      <c r="O1237" s="42"/>
      <c r="R1237" s="42"/>
      <c r="AC1237" s="42"/>
    </row>
    <row r="1238" spans="15:29" x14ac:dyDescent="0.25">
      <c r="O1238" s="42"/>
      <c r="R1238" s="42"/>
      <c r="AC1238" s="42"/>
    </row>
    <row r="1239" spans="15:29" x14ac:dyDescent="0.25">
      <c r="O1239" s="42"/>
      <c r="R1239" s="42"/>
      <c r="AC1239" s="42"/>
    </row>
    <row r="1240" spans="15:29" x14ac:dyDescent="0.25">
      <c r="O1240" s="42"/>
      <c r="R1240" s="42"/>
      <c r="AC1240" s="42"/>
    </row>
    <row r="1241" spans="15:29" x14ac:dyDescent="0.25">
      <c r="O1241" s="42"/>
      <c r="R1241" s="42"/>
      <c r="AC1241" s="42"/>
    </row>
    <row r="1242" spans="15:29" x14ac:dyDescent="0.25">
      <c r="O1242" s="42"/>
      <c r="R1242" s="42"/>
      <c r="AC1242" s="42"/>
    </row>
    <row r="1243" spans="15:29" x14ac:dyDescent="0.25">
      <c r="O1243" s="42"/>
      <c r="R1243" s="42"/>
      <c r="AC1243" s="42"/>
    </row>
    <row r="1244" spans="15:29" x14ac:dyDescent="0.25">
      <c r="O1244" s="42"/>
      <c r="R1244" s="42"/>
      <c r="AC1244" s="42"/>
    </row>
    <row r="1245" spans="15:29" x14ac:dyDescent="0.25">
      <c r="O1245" s="42"/>
      <c r="R1245" s="42"/>
      <c r="AC1245" s="42"/>
    </row>
    <row r="1246" spans="15:29" x14ac:dyDescent="0.25">
      <c r="O1246" s="42"/>
      <c r="R1246" s="42"/>
      <c r="AC1246" s="42"/>
    </row>
    <row r="1247" spans="15:29" x14ac:dyDescent="0.25">
      <c r="O1247" s="42"/>
      <c r="R1247" s="42"/>
      <c r="AC1247" s="42"/>
    </row>
    <row r="1248" spans="15:29" x14ac:dyDescent="0.25">
      <c r="O1248" s="42"/>
      <c r="R1248" s="42"/>
      <c r="AC1248" s="42"/>
    </row>
    <row r="1249" spans="15:29" x14ac:dyDescent="0.25">
      <c r="O1249" s="42"/>
      <c r="R1249" s="42"/>
      <c r="AC1249" s="42"/>
    </row>
    <row r="1250" spans="15:29" x14ac:dyDescent="0.25">
      <c r="O1250" s="42"/>
      <c r="R1250" s="42"/>
      <c r="AC1250" s="42"/>
    </row>
    <row r="1251" spans="15:29" x14ac:dyDescent="0.25">
      <c r="O1251" s="42"/>
      <c r="R1251" s="42"/>
      <c r="AC1251" s="42"/>
    </row>
    <row r="1252" spans="15:29" x14ac:dyDescent="0.25">
      <c r="O1252" s="42"/>
      <c r="R1252" s="42"/>
      <c r="AC1252" s="42"/>
    </row>
    <row r="1253" spans="15:29" x14ac:dyDescent="0.25">
      <c r="O1253" s="42"/>
      <c r="R1253" s="42"/>
      <c r="AC1253" s="42"/>
    </row>
    <row r="1254" spans="15:29" x14ac:dyDescent="0.25">
      <c r="O1254" s="42"/>
      <c r="R1254" s="42"/>
      <c r="AC1254" s="42"/>
    </row>
    <row r="1255" spans="15:29" x14ac:dyDescent="0.25">
      <c r="O1255" s="42"/>
      <c r="R1255" s="42"/>
      <c r="AC1255" s="42"/>
    </row>
    <row r="1256" spans="15:29" x14ac:dyDescent="0.25">
      <c r="O1256" s="42"/>
      <c r="R1256" s="42"/>
      <c r="AC1256" s="42"/>
    </row>
    <row r="1257" spans="15:29" x14ac:dyDescent="0.25">
      <c r="O1257" s="42"/>
      <c r="R1257" s="42"/>
      <c r="AC1257" s="42"/>
    </row>
    <row r="1258" spans="15:29" x14ac:dyDescent="0.25">
      <c r="O1258" s="42"/>
      <c r="R1258" s="42"/>
      <c r="AC1258" s="42"/>
    </row>
    <row r="1259" spans="15:29" x14ac:dyDescent="0.25">
      <c r="O1259" s="42"/>
      <c r="R1259" s="42"/>
      <c r="AC1259" s="42"/>
    </row>
    <row r="1260" spans="15:29" x14ac:dyDescent="0.25">
      <c r="O1260" s="42"/>
      <c r="R1260" s="42"/>
      <c r="AC1260" s="42"/>
    </row>
    <row r="1261" spans="15:29" x14ac:dyDescent="0.25">
      <c r="O1261" s="42"/>
      <c r="R1261" s="42"/>
      <c r="AC1261" s="42"/>
    </row>
    <row r="1262" spans="15:29" x14ac:dyDescent="0.25">
      <c r="O1262" s="42"/>
      <c r="R1262" s="42"/>
      <c r="AC1262" s="42"/>
    </row>
    <row r="1263" spans="15:29" x14ac:dyDescent="0.25">
      <c r="O1263" s="42"/>
      <c r="R1263" s="42"/>
      <c r="AC1263" s="42"/>
    </row>
    <row r="1264" spans="15:29" x14ac:dyDescent="0.25">
      <c r="O1264" s="42"/>
      <c r="R1264" s="42"/>
      <c r="AC1264" s="42"/>
    </row>
    <row r="1265" spans="15:29" x14ac:dyDescent="0.25">
      <c r="O1265" s="42"/>
      <c r="R1265" s="42"/>
      <c r="AC1265" s="42"/>
    </row>
    <row r="1266" spans="15:29" x14ac:dyDescent="0.25">
      <c r="O1266" s="42"/>
      <c r="R1266" s="42"/>
      <c r="AC1266" s="42"/>
    </row>
    <row r="1267" spans="15:29" x14ac:dyDescent="0.25">
      <c r="O1267" s="42"/>
      <c r="R1267" s="42"/>
      <c r="AC1267" s="42"/>
    </row>
    <row r="1268" spans="15:29" x14ac:dyDescent="0.25">
      <c r="O1268" s="42"/>
      <c r="R1268" s="42"/>
      <c r="AC1268" s="42"/>
    </row>
    <row r="1269" spans="15:29" x14ac:dyDescent="0.25">
      <c r="O1269" s="42"/>
      <c r="R1269" s="42"/>
      <c r="AC1269" s="42"/>
    </row>
    <row r="1270" spans="15:29" x14ac:dyDescent="0.25">
      <c r="O1270" s="42"/>
      <c r="R1270" s="42"/>
      <c r="AC1270" s="42"/>
    </row>
    <row r="1271" spans="15:29" x14ac:dyDescent="0.25">
      <c r="O1271" s="42"/>
      <c r="R1271" s="42"/>
      <c r="AC1271" s="42"/>
    </row>
    <row r="1272" spans="15:29" x14ac:dyDescent="0.25">
      <c r="O1272" s="42"/>
      <c r="R1272" s="42"/>
      <c r="AC1272" s="42"/>
    </row>
    <row r="1273" spans="15:29" x14ac:dyDescent="0.25">
      <c r="O1273" s="42"/>
      <c r="R1273" s="42"/>
      <c r="AC1273" s="42"/>
    </row>
    <row r="1274" spans="15:29" x14ac:dyDescent="0.25">
      <c r="O1274" s="42"/>
      <c r="R1274" s="42"/>
      <c r="AC1274" s="42"/>
    </row>
    <row r="1275" spans="15:29" x14ac:dyDescent="0.25">
      <c r="O1275" s="42"/>
      <c r="R1275" s="42"/>
      <c r="AC1275" s="42"/>
    </row>
    <row r="1276" spans="15:29" x14ac:dyDescent="0.25">
      <c r="O1276" s="42"/>
      <c r="R1276" s="42"/>
      <c r="AC1276" s="42"/>
    </row>
    <row r="1277" spans="15:29" x14ac:dyDescent="0.25">
      <c r="O1277" s="42"/>
      <c r="R1277" s="42"/>
      <c r="AC1277" s="42"/>
    </row>
    <row r="1278" spans="15:29" x14ac:dyDescent="0.25">
      <c r="O1278" s="42"/>
      <c r="R1278" s="42"/>
      <c r="AC1278" s="42"/>
    </row>
    <row r="1279" spans="15:29" x14ac:dyDescent="0.25">
      <c r="O1279" s="42"/>
      <c r="R1279" s="42"/>
      <c r="AC1279" s="42"/>
    </row>
    <row r="1280" spans="15:29" x14ac:dyDescent="0.25">
      <c r="O1280" s="42"/>
      <c r="R1280" s="42"/>
      <c r="AC1280" s="42"/>
    </row>
    <row r="1281" spans="15:29" x14ac:dyDescent="0.25">
      <c r="O1281" s="42"/>
      <c r="R1281" s="42"/>
      <c r="AC1281" s="42"/>
    </row>
    <row r="1282" spans="15:29" x14ac:dyDescent="0.25">
      <c r="O1282" s="42"/>
      <c r="R1282" s="42"/>
      <c r="AC1282" s="42"/>
    </row>
    <row r="1283" spans="15:29" x14ac:dyDescent="0.25">
      <c r="O1283" s="42"/>
      <c r="R1283" s="42"/>
      <c r="AC1283" s="42"/>
    </row>
    <row r="1284" spans="15:29" x14ac:dyDescent="0.25">
      <c r="O1284" s="42"/>
      <c r="R1284" s="42"/>
      <c r="AC1284" s="42"/>
    </row>
    <row r="1285" spans="15:29" x14ac:dyDescent="0.25">
      <c r="O1285" s="42"/>
      <c r="R1285" s="42"/>
      <c r="AC1285" s="42"/>
    </row>
    <row r="1286" spans="15:29" x14ac:dyDescent="0.25">
      <c r="O1286" s="42"/>
      <c r="R1286" s="42"/>
      <c r="AC1286" s="42"/>
    </row>
    <row r="1287" spans="15:29" x14ac:dyDescent="0.25">
      <c r="O1287" s="42"/>
      <c r="R1287" s="42"/>
      <c r="AC1287" s="42"/>
    </row>
    <row r="1288" spans="15:29" x14ac:dyDescent="0.25">
      <c r="O1288" s="42"/>
      <c r="R1288" s="42"/>
      <c r="AC1288" s="42"/>
    </row>
    <row r="1289" spans="15:29" x14ac:dyDescent="0.25">
      <c r="O1289" s="42"/>
      <c r="R1289" s="42"/>
      <c r="AC1289" s="42"/>
    </row>
    <row r="1290" spans="15:29" x14ac:dyDescent="0.25">
      <c r="O1290" s="42"/>
      <c r="R1290" s="42"/>
      <c r="AC1290" s="42"/>
    </row>
    <row r="1291" spans="15:29" x14ac:dyDescent="0.25">
      <c r="O1291" s="42"/>
      <c r="R1291" s="42"/>
      <c r="AC1291" s="42"/>
    </row>
    <row r="1292" spans="15:29" x14ac:dyDescent="0.25">
      <c r="O1292" s="42"/>
      <c r="R1292" s="42"/>
      <c r="AC1292" s="42"/>
    </row>
    <row r="1293" spans="15:29" x14ac:dyDescent="0.25">
      <c r="O1293" s="42"/>
      <c r="R1293" s="42"/>
      <c r="AC1293" s="42"/>
    </row>
    <row r="1294" spans="15:29" x14ac:dyDescent="0.25">
      <c r="O1294" s="42"/>
      <c r="R1294" s="42"/>
      <c r="AC1294" s="42"/>
    </row>
    <row r="1295" spans="15:29" x14ac:dyDescent="0.25">
      <c r="O1295" s="42"/>
      <c r="R1295" s="42"/>
      <c r="AC1295" s="42"/>
    </row>
    <row r="1296" spans="15:29" x14ac:dyDescent="0.25">
      <c r="O1296" s="42"/>
      <c r="R1296" s="42"/>
      <c r="AC1296" s="42"/>
    </row>
    <row r="1297" spans="15:29" x14ac:dyDescent="0.25">
      <c r="O1297" s="42"/>
      <c r="R1297" s="42"/>
      <c r="AC1297" s="42"/>
    </row>
    <row r="1298" spans="15:29" x14ac:dyDescent="0.25">
      <c r="O1298" s="42"/>
      <c r="R1298" s="42"/>
      <c r="AC1298" s="42"/>
    </row>
    <row r="1299" spans="15:29" x14ac:dyDescent="0.25">
      <c r="O1299" s="42"/>
      <c r="R1299" s="42"/>
      <c r="AC1299" s="42"/>
    </row>
    <row r="1300" spans="15:29" x14ac:dyDescent="0.25">
      <c r="O1300" s="42"/>
      <c r="R1300" s="42"/>
      <c r="AC1300" s="42"/>
    </row>
    <row r="1301" spans="15:29" x14ac:dyDescent="0.25">
      <c r="O1301" s="42"/>
      <c r="R1301" s="42"/>
      <c r="AC1301" s="42"/>
    </row>
    <row r="1302" spans="15:29" x14ac:dyDescent="0.25">
      <c r="O1302" s="42"/>
      <c r="R1302" s="42"/>
      <c r="AC1302" s="42"/>
    </row>
    <row r="1303" spans="15:29" x14ac:dyDescent="0.25">
      <c r="O1303" s="42"/>
      <c r="R1303" s="42"/>
      <c r="AC1303" s="42"/>
    </row>
    <row r="1304" spans="15:29" x14ac:dyDescent="0.25">
      <c r="O1304" s="42"/>
      <c r="R1304" s="42"/>
      <c r="AC1304" s="42"/>
    </row>
    <row r="1305" spans="15:29" x14ac:dyDescent="0.25">
      <c r="O1305" s="42"/>
      <c r="R1305" s="42"/>
      <c r="AC1305" s="42"/>
    </row>
    <row r="1306" spans="15:29" x14ac:dyDescent="0.25">
      <c r="O1306" s="42"/>
      <c r="R1306" s="42"/>
      <c r="AC1306" s="42"/>
    </row>
    <row r="1307" spans="15:29" x14ac:dyDescent="0.25">
      <c r="O1307" s="42"/>
      <c r="R1307" s="42"/>
      <c r="AC1307" s="42"/>
    </row>
    <row r="1308" spans="15:29" x14ac:dyDescent="0.25">
      <c r="O1308" s="42"/>
      <c r="R1308" s="42"/>
      <c r="AC1308" s="42"/>
    </row>
    <row r="1309" spans="15:29" x14ac:dyDescent="0.25">
      <c r="O1309" s="42"/>
      <c r="R1309" s="42"/>
      <c r="AC1309" s="42"/>
    </row>
    <row r="1310" spans="15:29" x14ac:dyDescent="0.25">
      <c r="O1310" s="42"/>
      <c r="R1310" s="42"/>
      <c r="AC1310" s="42"/>
    </row>
    <row r="1311" spans="15:29" x14ac:dyDescent="0.25">
      <c r="O1311" s="42"/>
      <c r="R1311" s="42"/>
      <c r="AC1311" s="42"/>
    </row>
    <row r="1312" spans="15:29" x14ac:dyDescent="0.25">
      <c r="O1312" s="42"/>
      <c r="R1312" s="42"/>
      <c r="AC1312" s="42"/>
    </row>
    <row r="1313" spans="15:29" x14ac:dyDescent="0.25">
      <c r="O1313" s="42"/>
      <c r="R1313" s="42"/>
      <c r="AC1313" s="42"/>
    </row>
    <row r="1314" spans="15:29" x14ac:dyDescent="0.25">
      <c r="O1314" s="42"/>
      <c r="R1314" s="42"/>
      <c r="AC1314" s="42"/>
    </row>
    <row r="1315" spans="15:29" x14ac:dyDescent="0.25">
      <c r="O1315" s="42"/>
      <c r="R1315" s="42"/>
      <c r="AC1315" s="42"/>
    </row>
    <row r="1316" spans="15:29" x14ac:dyDescent="0.25">
      <c r="O1316" s="42"/>
      <c r="R1316" s="42"/>
      <c r="AC1316" s="42"/>
    </row>
    <row r="1317" spans="15:29" x14ac:dyDescent="0.25">
      <c r="O1317" s="42"/>
      <c r="R1317" s="42"/>
      <c r="AC1317" s="42"/>
    </row>
    <row r="1318" spans="15:29" x14ac:dyDescent="0.25">
      <c r="O1318" s="42"/>
      <c r="R1318" s="42"/>
      <c r="AC1318" s="42"/>
    </row>
    <row r="1319" spans="15:29" x14ac:dyDescent="0.25">
      <c r="O1319" s="42"/>
      <c r="R1319" s="42"/>
      <c r="AC1319" s="42"/>
    </row>
    <row r="1320" spans="15:29" x14ac:dyDescent="0.25">
      <c r="O1320" s="42"/>
      <c r="R1320" s="42"/>
      <c r="AC1320" s="42"/>
    </row>
    <row r="1321" spans="15:29" x14ac:dyDescent="0.25">
      <c r="O1321" s="42"/>
      <c r="R1321" s="42"/>
      <c r="AC1321" s="42"/>
    </row>
    <row r="1322" spans="15:29" x14ac:dyDescent="0.25">
      <c r="O1322" s="42"/>
      <c r="R1322" s="42"/>
      <c r="AC1322" s="42"/>
    </row>
    <row r="1323" spans="15:29" x14ac:dyDescent="0.25">
      <c r="O1323" s="42"/>
      <c r="R1323" s="42"/>
      <c r="AC1323" s="42"/>
    </row>
    <row r="1324" spans="15:29" x14ac:dyDescent="0.25">
      <c r="O1324" s="42"/>
      <c r="R1324" s="42"/>
      <c r="AC1324" s="42"/>
    </row>
    <row r="1325" spans="15:29" x14ac:dyDescent="0.25">
      <c r="O1325" s="42"/>
      <c r="R1325" s="42"/>
      <c r="AC1325" s="42"/>
    </row>
    <row r="1326" spans="15:29" x14ac:dyDescent="0.25">
      <c r="O1326" s="42"/>
      <c r="R1326" s="42"/>
      <c r="AC1326" s="42"/>
    </row>
    <row r="1327" spans="15:29" x14ac:dyDescent="0.25">
      <c r="O1327" s="42"/>
      <c r="R1327" s="42"/>
      <c r="AC1327" s="42"/>
    </row>
    <row r="1328" spans="15:29" x14ac:dyDescent="0.25">
      <c r="O1328" s="42"/>
      <c r="R1328" s="42"/>
      <c r="AC1328" s="42"/>
    </row>
    <row r="1329" spans="15:29" x14ac:dyDescent="0.25">
      <c r="O1329" s="42"/>
      <c r="R1329" s="42"/>
      <c r="AC1329" s="42"/>
    </row>
    <row r="1330" spans="15:29" x14ac:dyDescent="0.25">
      <c r="O1330" s="42"/>
      <c r="R1330" s="42"/>
      <c r="AC1330" s="42"/>
    </row>
    <row r="1331" spans="15:29" x14ac:dyDescent="0.25">
      <c r="O1331" s="42"/>
      <c r="R1331" s="42"/>
      <c r="AC1331" s="42"/>
    </row>
    <row r="1332" spans="15:29" x14ac:dyDescent="0.25">
      <c r="O1332" s="42"/>
      <c r="R1332" s="42"/>
      <c r="AC1332" s="42"/>
    </row>
    <row r="1333" spans="15:29" x14ac:dyDescent="0.25">
      <c r="O1333" s="42"/>
      <c r="R1333" s="42"/>
      <c r="AC1333" s="42"/>
    </row>
    <row r="1334" spans="15:29" x14ac:dyDescent="0.25">
      <c r="O1334" s="42"/>
      <c r="R1334" s="42"/>
      <c r="AC1334" s="42"/>
    </row>
    <row r="1335" spans="15:29" x14ac:dyDescent="0.25">
      <c r="O1335" s="42"/>
      <c r="R1335" s="42"/>
      <c r="AC1335" s="42"/>
    </row>
    <row r="1336" spans="15:29" x14ac:dyDescent="0.25">
      <c r="O1336" s="42"/>
      <c r="R1336" s="42"/>
      <c r="AC1336" s="42"/>
    </row>
    <row r="1337" spans="15:29" x14ac:dyDescent="0.25">
      <c r="O1337" s="42"/>
      <c r="R1337" s="42"/>
      <c r="AC1337" s="42"/>
    </row>
    <row r="1338" spans="15:29" x14ac:dyDescent="0.25">
      <c r="O1338" s="42"/>
      <c r="R1338" s="42"/>
      <c r="AC1338" s="42"/>
    </row>
    <row r="1339" spans="15:29" x14ac:dyDescent="0.25">
      <c r="O1339" s="42"/>
      <c r="R1339" s="42"/>
      <c r="AC1339" s="42"/>
    </row>
    <row r="1340" spans="15:29" x14ac:dyDescent="0.25">
      <c r="O1340" s="42"/>
      <c r="R1340" s="42"/>
      <c r="AC1340" s="42"/>
    </row>
    <row r="1341" spans="15:29" x14ac:dyDescent="0.25">
      <c r="O1341" s="42"/>
      <c r="R1341" s="42"/>
      <c r="AC1341" s="42"/>
    </row>
    <row r="1342" spans="15:29" x14ac:dyDescent="0.25">
      <c r="O1342" s="42"/>
      <c r="R1342" s="42"/>
      <c r="AC1342" s="42"/>
    </row>
    <row r="1343" spans="15:29" x14ac:dyDescent="0.25">
      <c r="O1343" s="42"/>
      <c r="R1343" s="42"/>
      <c r="AC1343" s="42"/>
    </row>
    <row r="1344" spans="15:29" x14ac:dyDescent="0.25">
      <c r="O1344" s="42"/>
      <c r="R1344" s="42"/>
      <c r="AC1344" s="42"/>
    </row>
    <row r="1345" spans="15:29" x14ac:dyDescent="0.25">
      <c r="O1345" s="42"/>
      <c r="R1345" s="42"/>
      <c r="AC1345" s="42"/>
    </row>
    <row r="1346" spans="15:29" x14ac:dyDescent="0.25">
      <c r="O1346" s="42"/>
      <c r="R1346" s="42"/>
      <c r="AC1346" s="42"/>
    </row>
    <row r="1347" spans="15:29" x14ac:dyDescent="0.25">
      <c r="O1347" s="42"/>
      <c r="R1347" s="42"/>
      <c r="AC1347" s="42"/>
    </row>
    <row r="1348" spans="15:29" x14ac:dyDescent="0.25">
      <c r="O1348" s="42"/>
      <c r="R1348" s="42"/>
      <c r="AC1348" s="42"/>
    </row>
    <row r="1349" spans="15:29" x14ac:dyDescent="0.25">
      <c r="O1349" s="42"/>
      <c r="R1349" s="42"/>
      <c r="AC1349" s="42"/>
    </row>
    <row r="1350" spans="15:29" x14ac:dyDescent="0.25">
      <c r="O1350" s="42"/>
      <c r="R1350" s="42"/>
      <c r="AC1350" s="42"/>
    </row>
    <row r="1351" spans="15:29" x14ac:dyDescent="0.25">
      <c r="O1351" s="42"/>
      <c r="R1351" s="42"/>
      <c r="AC1351" s="42"/>
    </row>
    <row r="1352" spans="15:29" x14ac:dyDescent="0.25">
      <c r="O1352" s="42"/>
      <c r="R1352" s="42"/>
      <c r="AC1352" s="42"/>
    </row>
    <row r="1353" spans="15:29" x14ac:dyDescent="0.25">
      <c r="O1353" s="42"/>
      <c r="R1353" s="42"/>
      <c r="AC1353" s="42"/>
    </row>
    <row r="1354" spans="15:29" x14ac:dyDescent="0.25">
      <c r="O1354" s="42"/>
      <c r="R1354" s="42"/>
      <c r="AC1354" s="42"/>
    </row>
    <row r="1355" spans="15:29" x14ac:dyDescent="0.25">
      <c r="O1355" s="42"/>
      <c r="R1355" s="42"/>
      <c r="AC1355" s="42"/>
    </row>
    <row r="1356" spans="15:29" x14ac:dyDescent="0.25">
      <c r="O1356" s="42"/>
      <c r="R1356" s="42"/>
      <c r="AC1356" s="42"/>
    </row>
    <row r="1357" spans="15:29" x14ac:dyDescent="0.25">
      <c r="O1357" s="42"/>
      <c r="R1357" s="42"/>
      <c r="AC1357" s="42"/>
    </row>
    <row r="1358" spans="15:29" x14ac:dyDescent="0.25">
      <c r="O1358" s="42"/>
      <c r="R1358" s="42"/>
      <c r="AC1358" s="42"/>
    </row>
    <row r="1359" spans="15:29" x14ac:dyDescent="0.25">
      <c r="O1359" s="42"/>
      <c r="R1359" s="42"/>
      <c r="AC1359" s="42"/>
    </row>
    <row r="1360" spans="15:29" x14ac:dyDescent="0.25">
      <c r="O1360" s="42"/>
      <c r="R1360" s="42"/>
      <c r="AC1360" s="42"/>
    </row>
    <row r="1361" spans="15:29" x14ac:dyDescent="0.25">
      <c r="O1361" s="42"/>
      <c r="R1361" s="42"/>
      <c r="AC1361" s="42"/>
    </row>
    <row r="1362" spans="15:29" x14ac:dyDescent="0.25">
      <c r="O1362" s="42"/>
      <c r="R1362" s="42"/>
      <c r="AC1362" s="42"/>
    </row>
    <row r="1363" spans="15:29" x14ac:dyDescent="0.25">
      <c r="O1363" s="42"/>
      <c r="R1363" s="42"/>
      <c r="AC1363" s="42"/>
    </row>
    <row r="1364" spans="15:29" x14ac:dyDescent="0.25">
      <c r="O1364" s="42"/>
      <c r="R1364" s="42"/>
      <c r="AC1364" s="42"/>
    </row>
    <row r="1365" spans="15:29" x14ac:dyDescent="0.25">
      <c r="O1365" s="42"/>
      <c r="R1365" s="42"/>
      <c r="AC1365" s="42"/>
    </row>
    <row r="1366" spans="15:29" x14ac:dyDescent="0.25">
      <c r="O1366" s="42"/>
      <c r="R1366" s="42"/>
      <c r="AC1366" s="42"/>
    </row>
    <row r="1367" spans="15:29" x14ac:dyDescent="0.25">
      <c r="O1367" s="42"/>
      <c r="R1367" s="42"/>
      <c r="AC1367" s="42"/>
    </row>
    <row r="1368" spans="15:29" x14ac:dyDescent="0.25">
      <c r="O1368" s="42"/>
      <c r="R1368" s="42"/>
      <c r="AC1368" s="42"/>
    </row>
    <row r="1369" spans="15:29" x14ac:dyDescent="0.25">
      <c r="O1369" s="42"/>
      <c r="R1369" s="42"/>
      <c r="AC1369" s="42"/>
    </row>
    <row r="1370" spans="15:29" x14ac:dyDescent="0.25">
      <c r="O1370" s="42"/>
      <c r="R1370" s="42"/>
      <c r="AC1370" s="42"/>
    </row>
    <row r="1371" spans="15:29" x14ac:dyDescent="0.25">
      <c r="O1371" s="42"/>
      <c r="R1371" s="42"/>
      <c r="AC1371" s="42"/>
    </row>
    <row r="1372" spans="15:29" x14ac:dyDescent="0.25">
      <c r="O1372" s="42"/>
      <c r="R1372" s="42"/>
      <c r="AC1372" s="42"/>
    </row>
    <row r="1373" spans="15:29" x14ac:dyDescent="0.25">
      <c r="O1373" s="42"/>
      <c r="R1373" s="42"/>
      <c r="AC1373" s="42"/>
    </row>
    <row r="1374" spans="15:29" x14ac:dyDescent="0.25">
      <c r="O1374" s="42"/>
      <c r="R1374" s="42"/>
      <c r="AC1374" s="42"/>
    </row>
    <row r="1375" spans="15:29" x14ac:dyDescent="0.25">
      <c r="O1375" s="42"/>
      <c r="R1375" s="42"/>
      <c r="AC1375" s="42"/>
    </row>
    <row r="1376" spans="15:29" x14ac:dyDescent="0.25">
      <c r="O1376" s="42"/>
      <c r="R1376" s="42"/>
      <c r="AC1376" s="42"/>
    </row>
    <row r="1377" spans="15:29" x14ac:dyDescent="0.25">
      <c r="O1377" s="42"/>
      <c r="R1377" s="42"/>
      <c r="AC1377" s="42"/>
    </row>
    <row r="1378" spans="15:29" x14ac:dyDescent="0.25">
      <c r="O1378" s="42"/>
      <c r="R1378" s="42"/>
      <c r="AC1378" s="42"/>
    </row>
    <row r="1379" spans="15:29" x14ac:dyDescent="0.25">
      <c r="O1379" s="42"/>
      <c r="R1379" s="42"/>
      <c r="AC1379" s="42"/>
    </row>
    <row r="1380" spans="15:29" x14ac:dyDescent="0.25">
      <c r="O1380" s="42"/>
      <c r="R1380" s="42"/>
      <c r="AC1380" s="42"/>
    </row>
    <row r="1381" spans="15:29" x14ac:dyDescent="0.25">
      <c r="O1381" s="42"/>
      <c r="R1381" s="42"/>
      <c r="AC1381" s="42"/>
    </row>
    <row r="1382" spans="15:29" x14ac:dyDescent="0.25">
      <c r="O1382" s="42"/>
      <c r="R1382" s="42"/>
      <c r="AC1382" s="42"/>
    </row>
    <row r="1383" spans="15:29" x14ac:dyDescent="0.25">
      <c r="O1383" s="42"/>
      <c r="R1383" s="42"/>
      <c r="AC1383" s="42"/>
    </row>
    <row r="1384" spans="15:29" x14ac:dyDescent="0.25">
      <c r="O1384" s="42"/>
      <c r="R1384" s="42"/>
      <c r="AC1384" s="42"/>
    </row>
    <row r="1385" spans="15:29" x14ac:dyDescent="0.25">
      <c r="O1385" s="42"/>
      <c r="R1385" s="42"/>
      <c r="AC1385" s="42"/>
    </row>
    <row r="1386" spans="15:29" x14ac:dyDescent="0.25">
      <c r="O1386" s="42"/>
      <c r="R1386" s="42"/>
      <c r="AC1386" s="42"/>
    </row>
    <row r="1387" spans="15:29" x14ac:dyDescent="0.25">
      <c r="O1387" s="42"/>
      <c r="R1387" s="42"/>
      <c r="AC1387" s="42"/>
    </row>
    <row r="1388" spans="15:29" x14ac:dyDescent="0.25">
      <c r="O1388" s="42"/>
      <c r="R1388" s="42"/>
      <c r="AC1388" s="42"/>
    </row>
    <row r="1389" spans="15:29" x14ac:dyDescent="0.25">
      <c r="O1389" s="42"/>
      <c r="R1389" s="42"/>
      <c r="AC1389" s="42"/>
    </row>
    <row r="1390" spans="15:29" x14ac:dyDescent="0.25">
      <c r="O1390" s="42"/>
      <c r="R1390" s="42"/>
      <c r="AC1390" s="42"/>
    </row>
    <row r="1391" spans="15:29" x14ac:dyDescent="0.25">
      <c r="O1391" s="42"/>
      <c r="R1391" s="42"/>
      <c r="AC1391" s="42"/>
    </row>
    <row r="1392" spans="15:29" x14ac:dyDescent="0.25">
      <c r="O1392" s="42"/>
      <c r="R1392" s="42"/>
      <c r="AC1392" s="42"/>
    </row>
    <row r="1393" spans="15:29" x14ac:dyDescent="0.25">
      <c r="O1393" s="42"/>
      <c r="R1393" s="42"/>
      <c r="AC1393" s="42"/>
    </row>
    <row r="1394" spans="15:29" x14ac:dyDescent="0.25">
      <c r="O1394" s="42"/>
      <c r="R1394" s="42"/>
      <c r="AC1394" s="42"/>
    </row>
    <row r="1395" spans="15:29" x14ac:dyDescent="0.25">
      <c r="O1395" s="42"/>
      <c r="R1395" s="42"/>
      <c r="AC1395" s="42"/>
    </row>
    <row r="1396" spans="15:29" x14ac:dyDescent="0.25">
      <c r="O1396" s="42"/>
      <c r="R1396" s="42"/>
      <c r="AC1396" s="42"/>
    </row>
    <row r="1397" spans="15:29" x14ac:dyDescent="0.25">
      <c r="O1397" s="42"/>
      <c r="R1397" s="42"/>
      <c r="AC1397" s="42"/>
    </row>
    <row r="1398" spans="15:29" x14ac:dyDescent="0.25">
      <c r="O1398" s="42"/>
      <c r="R1398" s="42"/>
      <c r="AC1398" s="42"/>
    </row>
    <row r="1399" spans="15:29" x14ac:dyDescent="0.25">
      <c r="O1399" s="42"/>
      <c r="R1399" s="42"/>
      <c r="AC1399" s="42"/>
    </row>
    <row r="1400" spans="15:29" x14ac:dyDescent="0.25">
      <c r="O1400" s="42"/>
      <c r="R1400" s="42"/>
      <c r="AC1400" s="42"/>
    </row>
    <row r="1401" spans="15:29" x14ac:dyDescent="0.25">
      <c r="O1401" s="42"/>
      <c r="R1401" s="42"/>
      <c r="AC1401" s="42"/>
    </row>
    <row r="1402" spans="15:29" x14ac:dyDescent="0.25">
      <c r="O1402" s="42"/>
      <c r="R1402" s="42"/>
      <c r="AC1402" s="42"/>
    </row>
    <row r="1403" spans="15:29" x14ac:dyDescent="0.25">
      <c r="O1403" s="42"/>
      <c r="R1403" s="42"/>
      <c r="AC1403" s="42"/>
    </row>
    <row r="1404" spans="15:29" x14ac:dyDescent="0.25">
      <c r="O1404" s="42"/>
      <c r="R1404" s="42"/>
      <c r="AC1404" s="42"/>
    </row>
    <row r="1405" spans="15:29" x14ac:dyDescent="0.25">
      <c r="O1405" s="42"/>
      <c r="R1405" s="42"/>
      <c r="AC1405" s="42"/>
    </row>
    <row r="1406" spans="15:29" x14ac:dyDescent="0.25">
      <c r="O1406" s="42"/>
      <c r="R1406" s="42"/>
      <c r="AC1406" s="42"/>
    </row>
    <row r="1407" spans="15:29" x14ac:dyDescent="0.25">
      <c r="O1407" s="42"/>
      <c r="R1407" s="42"/>
      <c r="AC1407" s="42"/>
    </row>
    <row r="1408" spans="15:29" x14ac:dyDescent="0.25">
      <c r="O1408" s="42"/>
      <c r="R1408" s="42"/>
      <c r="AC1408" s="42"/>
    </row>
    <row r="1409" spans="15:29" x14ac:dyDescent="0.25">
      <c r="O1409" s="42"/>
      <c r="R1409" s="42"/>
      <c r="AC1409" s="42"/>
    </row>
    <row r="1410" spans="15:29" x14ac:dyDescent="0.25">
      <c r="O1410" s="42"/>
      <c r="R1410" s="42"/>
      <c r="AC1410" s="42"/>
    </row>
    <row r="1411" spans="15:29" x14ac:dyDescent="0.25">
      <c r="O1411" s="42"/>
      <c r="R1411" s="42"/>
      <c r="AC1411" s="42"/>
    </row>
    <row r="1412" spans="15:29" x14ac:dyDescent="0.25">
      <c r="O1412" s="42"/>
      <c r="R1412" s="42"/>
      <c r="AC1412" s="42"/>
    </row>
    <row r="1413" spans="15:29" x14ac:dyDescent="0.25">
      <c r="O1413" s="42"/>
      <c r="R1413" s="42"/>
      <c r="AC1413" s="42"/>
    </row>
    <row r="1414" spans="15:29" x14ac:dyDescent="0.25">
      <c r="O1414" s="42"/>
      <c r="R1414" s="42"/>
      <c r="AC1414" s="42"/>
    </row>
    <row r="1415" spans="15:29" x14ac:dyDescent="0.25">
      <c r="O1415" s="42"/>
      <c r="R1415" s="42"/>
      <c r="AC1415" s="42"/>
    </row>
    <row r="1416" spans="15:29" x14ac:dyDescent="0.25">
      <c r="O1416" s="42"/>
      <c r="R1416" s="42"/>
      <c r="AC1416" s="42"/>
    </row>
    <row r="1417" spans="15:29" x14ac:dyDescent="0.25">
      <c r="O1417" s="42"/>
      <c r="R1417" s="42"/>
      <c r="AC1417" s="42"/>
    </row>
    <row r="1418" spans="15:29" x14ac:dyDescent="0.25">
      <c r="O1418" s="42"/>
      <c r="R1418" s="42"/>
      <c r="AC1418" s="42"/>
    </row>
    <row r="1419" spans="15:29" x14ac:dyDescent="0.25">
      <c r="O1419" s="42"/>
      <c r="R1419" s="42"/>
      <c r="AC1419" s="42"/>
    </row>
    <row r="1420" spans="15:29" x14ac:dyDescent="0.25">
      <c r="O1420" s="42"/>
      <c r="R1420" s="42"/>
      <c r="AC1420" s="42"/>
    </row>
    <row r="1421" spans="15:29" x14ac:dyDescent="0.25">
      <c r="O1421" s="42"/>
      <c r="R1421" s="42"/>
      <c r="AC1421" s="42"/>
    </row>
    <row r="1422" spans="15:29" x14ac:dyDescent="0.25">
      <c r="O1422" s="42"/>
      <c r="R1422" s="42"/>
      <c r="AC1422" s="42"/>
    </row>
    <row r="1423" spans="15:29" x14ac:dyDescent="0.25">
      <c r="O1423" s="42"/>
      <c r="R1423" s="42"/>
      <c r="AC1423" s="42"/>
    </row>
    <row r="1424" spans="15:29" x14ac:dyDescent="0.25">
      <c r="O1424" s="42"/>
      <c r="R1424" s="42"/>
      <c r="AC1424" s="42"/>
    </row>
    <row r="1425" spans="15:29" x14ac:dyDescent="0.25">
      <c r="O1425" s="42"/>
      <c r="R1425" s="42"/>
      <c r="AC1425" s="42"/>
    </row>
    <row r="1426" spans="15:29" x14ac:dyDescent="0.25">
      <c r="O1426" s="42"/>
      <c r="R1426" s="42"/>
      <c r="AC1426" s="42"/>
    </row>
    <row r="1427" spans="15:29" x14ac:dyDescent="0.25">
      <c r="O1427" s="42"/>
      <c r="R1427" s="42"/>
      <c r="AC1427" s="42"/>
    </row>
    <row r="1428" spans="15:29" x14ac:dyDescent="0.25">
      <c r="O1428" s="42"/>
      <c r="R1428" s="42"/>
      <c r="AC1428" s="42"/>
    </row>
    <row r="1429" spans="15:29" x14ac:dyDescent="0.25">
      <c r="O1429" s="42"/>
      <c r="R1429" s="42"/>
      <c r="AC1429" s="42"/>
    </row>
    <row r="1430" spans="15:29" x14ac:dyDescent="0.25">
      <c r="O1430" s="42"/>
      <c r="R1430" s="42"/>
      <c r="AC1430" s="42"/>
    </row>
    <row r="1431" spans="15:29" x14ac:dyDescent="0.25">
      <c r="O1431" s="42"/>
      <c r="R1431" s="42"/>
      <c r="AC1431" s="42"/>
    </row>
    <row r="1432" spans="15:29" x14ac:dyDescent="0.25">
      <c r="O1432" s="42"/>
      <c r="R1432" s="42"/>
      <c r="AC1432" s="42"/>
    </row>
    <row r="1433" spans="15:29" x14ac:dyDescent="0.25">
      <c r="O1433" s="42"/>
      <c r="R1433" s="42"/>
      <c r="AC1433" s="42"/>
    </row>
    <row r="1434" spans="15:29" x14ac:dyDescent="0.25">
      <c r="O1434" s="42"/>
      <c r="R1434" s="42"/>
      <c r="AC1434" s="42"/>
    </row>
    <row r="1435" spans="15:29" x14ac:dyDescent="0.25">
      <c r="O1435" s="42"/>
      <c r="R1435" s="42"/>
      <c r="AC1435" s="42"/>
    </row>
    <row r="1436" spans="15:29" x14ac:dyDescent="0.25">
      <c r="O1436" s="42"/>
      <c r="R1436" s="42"/>
      <c r="AC1436" s="42"/>
    </row>
    <row r="1437" spans="15:29" x14ac:dyDescent="0.25">
      <c r="O1437" s="42"/>
      <c r="R1437" s="42"/>
      <c r="AC1437" s="42"/>
    </row>
    <row r="1438" spans="15:29" x14ac:dyDescent="0.25">
      <c r="O1438" s="42"/>
      <c r="R1438" s="42"/>
      <c r="AC1438" s="42"/>
    </row>
    <row r="1439" spans="15:29" x14ac:dyDescent="0.25">
      <c r="O1439" s="42"/>
      <c r="R1439" s="42"/>
      <c r="AC1439" s="42"/>
    </row>
    <row r="1440" spans="15:29" x14ac:dyDescent="0.25">
      <c r="O1440" s="42"/>
      <c r="R1440" s="42"/>
      <c r="AC1440" s="42"/>
    </row>
    <row r="1441" spans="15:29" x14ac:dyDescent="0.25">
      <c r="O1441" s="42"/>
      <c r="R1441" s="42"/>
      <c r="AC1441" s="42"/>
    </row>
    <row r="1442" spans="15:29" x14ac:dyDescent="0.25">
      <c r="O1442" s="42"/>
      <c r="R1442" s="42"/>
      <c r="AC1442" s="42"/>
    </row>
    <row r="1443" spans="15:29" x14ac:dyDescent="0.25">
      <c r="O1443" s="42"/>
      <c r="R1443" s="42"/>
      <c r="AC1443" s="42"/>
    </row>
    <row r="1444" spans="15:29" x14ac:dyDescent="0.25">
      <c r="O1444" s="42"/>
      <c r="R1444" s="42"/>
      <c r="AC1444" s="42"/>
    </row>
    <row r="1445" spans="15:29" x14ac:dyDescent="0.25">
      <c r="O1445" s="42"/>
      <c r="R1445" s="42"/>
      <c r="AC1445" s="42"/>
    </row>
    <row r="1446" spans="15:29" x14ac:dyDescent="0.25">
      <c r="O1446" s="42"/>
      <c r="R1446" s="42"/>
      <c r="AC1446" s="42"/>
    </row>
    <row r="1447" spans="15:29" x14ac:dyDescent="0.25">
      <c r="O1447" s="42"/>
      <c r="R1447" s="42"/>
      <c r="AC1447" s="42"/>
    </row>
    <row r="1448" spans="15:29" x14ac:dyDescent="0.25">
      <c r="O1448" s="42"/>
      <c r="R1448" s="42"/>
      <c r="AC1448" s="42"/>
    </row>
    <row r="1449" spans="15:29" x14ac:dyDescent="0.25">
      <c r="O1449" s="42"/>
      <c r="R1449" s="42"/>
      <c r="AC1449" s="42"/>
    </row>
    <row r="1450" spans="15:29" x14ac:dyDescent="0.25">
      <c r="O1450" s="42"/>
      <c r="R1450" s="42"/>
      <c r="AC1450" s="42"/>
    </row>
    <row r="1451" spans="15:29" x14ac:dyDescent="0.25">
      <c r="O1451" s="42"/>
      <c r="R1451" s="42"/>
      <c r="AC1451" s="42"/>
    </row>
    <row r="1452" spans="15:29" x14ac:dyDescent="0.25">
      <c r="O1452" s="42"/>
      <c r="R1452" s="42"/>
      <c r="AC1452" s="42"/>
    </row>
    <row r="1453" spans="15:29" x14ac:dyDescent="0.25">
      <c r="O1453" s="42"/>
      <c r="R1453" s="42"/>
      <c r="AC1453" s="42"/>
    </row>
    <row r="1454" spans="15:29" x14ac:dyDescent="0.25">
      <c r="O1454" s="42"/>
      <c r="R1454" s="42"/>
      <c r="AC1454" s="42"/>
    </row>
    <row r="1455" spans="15:29" x14ac:dyDescent="0.25">
      <c r="O1455" s="42"/>
      <c r="R1455" s="42"/>
      <c r="AC1455" s="42"/>
    </row>
    <row r="1456" spans="15:29" x14ac:dyDescent="0.25">
      <c r="O1456" s="42"/>
      <c r="R1456" s="42"/>
      <c r="AC1456" s="42"/>
    </row>
    <row r="1457" spans="15:29" x14ac:dyDescent="0.25">
      <c r="O1457" s="42"/>
      <c r="R1457" s="42"/>
      <c r="AC1457" s="42"/>
    </row>
    <row r="1458" spans="15:29" x14ac:dyDescent="0.25">
      <c r="O1458" s="42"/>
      <c r="R1458" s="42"/>
      <c r="AC1458" s="42"/>
    </row>
    <row r="1459" spans="15:29" x14ac:dyDescent="0.25">
      <c r="O1459" s="42"/>
      <c r="R1459" s="42"/>
      <c r="AC1459" s="42"/>
    </row>
    <row r="1460" spans="15:29" x14ac:dyDescent="0.25">
      <c r="O1460" s="42"/>
      <c r="R1460" s="42"/>
      <c r="AC1460" s="42"/>
    </row>
    <row r="1461" spans="15:29" x14ac:dyDescent="0.25">
      <c r="O1461" s="42"/>
      <c r="R1461" s="42"/>
      <c r="AC1461" s="42"/>
    </row>
    <row r="1462" spans="15:29" x14ac:dyDescent="0.25">
      <c r="O1462" s="42"/>
      <c r="R1462" s="42"/>
      <c r="AC1462" s="42"/>
    </row>
    <row r="1463" spans="15:29" x14ac:dyDescent="0.25">
      <c r="O1463" s="42"/>
      <c r="R1463" s="42"/>
      <c r="AC1463" s="42"/>
    </row>
    <row r="1464" spans="15:29" x14ac:dyDescent="0.25">
      <c r="O1464" s="42"/>
      <c r="R1464" s="42"/>
      <c r="AC1464" s="42"/>
    </row>
    <row r="1465" spans="15:29" x14ac:dyDescent="0.25">
      <c r="O1465" s="42"/>
      <c r="R1465" s="42"/>
      <c r="AC1465" s="42"/>
    </row>
    <row r="1466" spans="15:29" x14ac:dyDescent="0.25">
      <c r="O1466" s="42"/>
      <c r="R1466" s="42"/>
      <c r="AC1466" s="42"/>
    </row>
    <row r="1467" spans="15:29" x14ac:dyDescent="0.25">
      <c r="O1467" s="42"/>
      <c r="R1467" s="42"/>
      <c r="AC1467" s="42"/>
    </row>
    <row r="1468" spans="15:29" x14ac:dyDescent="0.25">
      <c r="O1468" s="42"/>
      <c r="R1468" s="42"/>
      <c r="AC1468" s="42"/>
    </row>
    <row r="1469" spans="15:29" x14ac:dyDescent="0.25">
      <c r="O1469" s="42"/>
      <c r="R1469" s="42"/>
      <c r="AC1469" s="42"/>
    </row>
    <row r="1470" spans="15:29" x14ac:dyDescent="0.25">
      <c r="O1470" s="42"/>
      <c r="R1470" s="42"/>
      <c r="AC1470" s="42"/>
    </row>
    <row r="1471" spans="15:29" x14ac:dyDescent="0.25">
      <c r="O1471" s="42"/>
      <c r="R1471" s="42"/>
      <c r="AC1471" s="42"/>
    </row>
    <row r="1472" spans="15:29" x14ac:dyDescent="0.25">
      <c r="O1472" s="42"/>
      <c r="R1472" s="42"/>
      <c r="AC1472" s="42"/>
    </row>
    <row r="1473" spans="15:29" x14ac:dyDescent="0.25">
      <c r="O1473" s="42"/>
      <c r="R1473" s="42"/>
      <c r="AC1473" s="42"/>
    </row>
    <row r="1474" spans="15:29" x14ac:dyDescent="0.25">
      <c r="O1474" s="42"/>
      <c r="R1474" s="42"/>
      <c r="AC1474" s="42"/>
    </row>
    <row r="1475" spans="15:29" x14ac:dyDescent="0.25">
      <c r="O1475" s="42"/>
      <c r="R1475" s="42"/>
      <c r="AC1475" s="42"/>
    </row>
    <row r="1476" spans="15:29" x14ac:dyDescent="0.25">
      <c r="O1476" s="42"/>
      <c r="R1476" s="42"/>
      <c r="AC1476" s="42"/>
    </row>
    <row r="1477" spans="15:29" x14ac:dyDescent="0.25">
      <c r="O1477" s="42"/>
      <c r="R1477" s="42"/>
      <c r="AC1477" s="42"/>
    </row>
    <row r="1478" spans="15:29" x14ac:dyDescent="0.25">
      <c r="O1478" s="42"/>
      <c r="R1478" s="42"/>
      <c r="AC1478" s="42"/>
    </row>
    <row r="1479" spans="15:29" x14ac:dyDescent="0.25">
      <c r="O1479" s="42"/>
      <c r="R1479" s="42"/>
      <c r="AC1479" s="42"/>
    </row>
    <row r="1480" spans="15:29" x14ac:dyDescent="0.25">
      <c r="O1480" s="42"/>
      <c r="R1480" s="42"/>
      <c r="AC1480" s="42"/>
    </row>
    <row r="1481" spans="15:29" x14ac:dyDescent="0.25">
      <c r="O1481" s="42"/>
      <c r="R1481" s="42"/>
      <c r="AC1481" s="42"/>
    </row>
    <row r="1482" spans="15:29" x14ac:dyDescent="0.25">
      <c r="O1482" s="42"/>
      <c r="R1482" s="42"/>
      <c r="AC1482" s="42"/>
    </row>
    <row r="1483" spans="15:29" x14ac:dyDescent="0.25">
      <c r="O1483" s="42"/>
      <c r="R1483" s="42"/>
      <c r="AC1483" s="42"/>
    </row>
    <row r="1484" spans="15:29" x14ac:dyDescent="0.25">
      <c r="O1484" s="42"/>
      <c r="R1484" s="42"/>
      <c r="AC1484" s="42"/>
    </row>
    <row r="1485" spans="15:29" x14ac:dyDescent="0.25">
      <c r="O1485" s="42"/>
      <c r="R1485" s="42"/>
      <c r="AC1485" s="42"/>
    </row>
    <row r="1486" spans="15:29" x14ac:dyDescent="0.25">
      <c r="O1486" s="42"/>
      <c r="R1486" s="42"/>
      <c r="AC1486" s="42"/>
    </row>
    <row r="1487" spans="15:29" x14ac:dyDescent="0.25">
      <c r="O1487" s="42"/>
      <c r="R1487" s="42"/>
      <c r="AC1487" s="42"/>
    </row>
    <row r="1488" spans="15:29" x14ac:dyDescent="0.25">
      <c r="O1488" s="42"/>
      <c r="R1488" s="42"/>
      <c r="AC1488" s="42"/>
    </row>
    <row r="1489" spans="15:29" x14ac:dyDescent="0.25">
      <c r="O1489" s="42"/>
      <c r="R1489" s="42"/>
      <c r="AC1489" s="42"/>
    </row>
    <row r="1490" spans="15:29" x14ac:dyDescent="0.25">
      <c r="O1490" s="42"/>
      <c r="R1490" s="42"/>
      <c r="AC1490" s="42"/>
    </row>
    <row r="1491" spans="15:29" x14ac:dyDescent="0.25">
      <c r="O1491" s="42"/>
      <c r="R1491" s="42"/>
      <c r="AC1491" s="42"/>
    </row>
    <row r="1492" spans="15:29" x14ac:dyDescent="0.25">
      <c r="O1492" s="42"/>
      <c r="R1492" s="42"/>
      <c r="AC1492" s="42"/>
    </row>
    <row r="1493" spans="15:29" x14ac:dyDescent="0.25">
      <c r="O1493" s="42"/>
      <c r="R1493" s="42"/>
      <c r="AC1493" s="42"/>
    </row>
    <row r="1494" spans="15:29" x14ac:dyDescent="0.25">
      <c r="O1494" s="42"/>
      <c r="R1494" s="42"/>
      <c r="AC1494" s="42"/>
    </row>
    <row r="1495" spans="15:29" x14ac:dyDescent="0.25">
      <c r="O1495" s="42"/>
      <c r="R1495" s="42"/>
      <c r="AC1495" s="42"/>
    </row>
    <row r="1496" spans="15:29" x14ac:dyDescent="0.25">
      <c r="O1496" s="42"/>
      <c r="R1496" s="42"/>
      <c r="AC1496" s="42"/>
    </row>
    <row r="1497" spans="15:29" x14ac:dyDescent="0.25">
      <c r="O1497" s="42"/>
      <c r="R1497" s="42"/>
      <c r="AC1497" s="42"/>
    </row>
    <row r="1498" spans="15:29" x14ac:dyDescent="0.25">
      <c r="O1498" s="42"/>
      <c r="R1498" s="42"/>
      <c r="AC1498" s="42"/>
    </row>
    <row r="1499" spans="15:29" x14ac:dyDescent="0.25">
      <c r="O1499" s="42"/>
      <c r="R1499" s="42"/>
      <c r="AC1499" s="42"/>
    </row>
    <row r="1500" spans="15:29" x14ac:dyDescent="0.25">
      <c r="O1500" s="42"/>
      <c r="R1500" s="42"/>
      <c r="AC1500" s="42"/>
    </row>
    <row r="1501" spans="15:29" x14ac:dyDescent="0.25">
      <c r="O1501" s="42"/>
      <c r="R1501" s="42"/>
      <c r="AC1501" s="42"/>
    </row>
    <row r="1502" spans="15:29" x14ac:dyDescent="0.25">
      <c r="O1502" s="42"/>
      <c r="R1502" s="42"/>
      <c r="AC1502" s="42"/>
    </row>
    <row r="1503" spans="15:29" x14ac:dyDescent="0.25">
      <c r="O1503" s="42"/>
      <c r="R1503" s="42"/>
      <c r="AC1503" s="42"/>
    </row>
    <row r="1504" spans="15:29" x14ac:dyDescent="0.25">
      <c r="O1504" s="42"/>
      <c r="R1504" s="42"/>
      <c r="AC1504" s="42"/>
    </row>
    <row r="1505" spans="15:29" x14ac:dyDescent="0.25">
      <c r="O1505" s="42"/>
      <c r="R1505" s="42"/>
      <c r="AC1505" s="42"/>
    </row>
    <row r="1506" spans="15:29" x14ac:dyDescent="0.25">
      <c r="O1506" s="42"/>
      <c r="R1506" s="42"/>
      <c r="AC1506" s="42"/>
    </row>
    <row r="1507" spans="15:29" x14ac:dyDescent="0.25">
      <c r="O1507" s="42"/>
      <c r="R1507" s="42"/>
      <c r="AC1507" s="42"/>
    </row>
    <row r="1508" spans="15:29" x14ac:dyDescent="0.25">
      <c r="O1508" s="42"/>
      <c r="R1508" s="42"/>
      <c r="AC1508" s="42"/>
    </row>
    <row r="1509" spans="15:29" x14ac:dyDescent="0.25">
      <c r="O1509" s="42"/>
      <c r="R1509" s="42"/>
      <c r="AC1509" s="42"/>
    </row>
    <row r="1510" spans="15:29" x14ac:dyDescent="0.25">
      <c r="O1510" s="42"/>
      <c r="R1510" s="42"/>
      <c r="AC1510" s="42"/>
    </row>
    <row r="1511" spans="15:29" x14ac:dyDescent="0.25">
      <c r="O1511" s="42"/>
      <c r="R1511" s="42"/>
      <c r="AC1511" s="42"/>
    </row>
    <row r="1512" spans="15:29" x14ac:dyDescent="0.25">
      <c r="O1512" s="42"/>
      <c r="R1512" s="42"/>
      <c r="AC1512" s="42"/>
    </row>
    <row r="1513" spans="15:29" x14ac:dyDescent="0.25">
      <c r="O1513" s="42"/>
      <c r="R1513" s="42"/>
      <c r="AC1513" s="42"/>
    </row>
    <row r="1514" spans="15:29" x14ac:dyDescent="0.25">
      <c r="O1514" s="42"/>
      <c r="R1514" s="42"/>
      <c r="AC1514" s="42"/>
    </row>
    <row r="1515" spans="15:29" x14ac:dyDescent="0.25">
      <c r="O1515" s="42"/>
      <c r="R1515" s="42"/>
      <c r="AC1515" s="42"/>
    </row>
    <row r="1516" spans="15:29" x14ac:dyDescent="0.25">
      <c r="O1516" s="42"/>
      <c r="R1516" s="42"/>
      <c r="AC1516" s="42"/>
    </row>
    <row r="1517" spans="15:29" x14ac:dyDescent="0.25">
      <c r="O1517" s="42"/>
      <c r="R1517" s="42"/>
      <c r="AC1517" s="42"/>
    </row>
    <row r="1518" spans="15:29" x14ac:dyDescent="0.25">
      <c r="O1518" s="42"/>
      <c r="R1518" s="42"/>
      <c r="AC1518" s="42"/>
    </row>
    <row r="1519" spans="15:29" x14ac:dyDescent="0.25">
      <c r="O1519" s="42"/>
      <c r="R1519" s="42"/>
      <c r="AC1519" s="42"/>
    </row>
    <row r="1520" spans="15:29" x14ac:dyDescent="0.25">
      <c r="O1520" s="42"/>
      <c r="R1520" s="42"/>
      <c r="AC1520" s="42"/>
    </row>
    <row r="1521" spans="15:29" x14ac:dyDescent="0.25">
      <c r="O1521" s="42"/>
      <c r="R1521" s="42"/>
      <c r="AC1521" s="42"/>
    </row>
    <row r="1522" spans="15:29" x14ac:dyDescent="0.25">
      <c r="O1522" s="42"/>
      <c r="R1522" s="42"/>
      <c r="AC1522" s="42"/>
    </row>
    <row r="1523" spans="15:29" x14ac:dyDescent="0.25">
      <c r="O1523" s="42"/>
      <c r="R1523" s="42"/>
      <c r="AC1523" s="42"/>
    </row>
    <row r="1524" spans="15:29" x14ac:dyDescent="0.25">
      <c r="O1524" s="42"/>
      <c r="R1524" s="42"/>
      <c r="AC1524" s="42"/>
    </row>
    <row r="1525" spans="15:29" x14ac:dyDescent="0.25">
      <c r="O1525" s="42"/>
      <c r="R1525" s="42"/>
      <c r="AC1525" s="42"/>
    </row>
    <row r="1526" spans="15:29" x14ac:dyDescent="0.25">
      <c r="O1526" s="42"/>
      <c r="R1526" s="42"/>
      <c r="AC1526" s="42"/>
    </row>
    <row r="1527" spans="15:29" x14ac:dyDescent="0.25">
      <c r="O1527" s="42"/>
      <c r="R1527" s="42"/>
      <c r="AC1527" s="42"/>
    </row>
    <row r="1528" spans="15:29" x14ac:dyDescent="0.25">
      <c r="O1528" s="42"/>
      <c r="R1528" s="42"/>
      <c r="AC1528" s="42"/>
    </row>
    <row r="1529" spans="15:29" x14ac:dyDescent="0.25">
      <c r="O1529" s="42"/>
      <c r="R1529" s="42"/>
      <c r="AC1529" s="42"/>
    </row>
    <row r="1530" spans="15:29" x14ac:dyDescent="0.25">
      <c r="O1530" s="42"/>
      <c r="R1530" s="42"/>
      <c r="AC1530" s="42"/>
    </row>
    <row r="1531" spans="15:29" x14ac:dyDescent="0.25">
      <c r="O1531" s="42"/>
      <c r="R1531" s="42"/>
      <c r="AC1531" s="42"/>
    </row>
    <row r="1532" spans="15:29" x14ac:dyDescent="0.25">
      <c r="O1532" s="42"/>
      <c r="R1532" s="42"/>
      <c r="AC1532" s="42"/>
    </row>
    <row r="1533" spans="15:29" x14ac:dyDescent="0.25">
      <c r="O1533" s="42"/>
      <c r="R1533" s="42"/>
      <c r="AC1533" s="42"/>
    </row>
    <row r="1534" spans="15:29" x14ac:dyDescent="0.25">
      <c r="O1534" s="42"/>
      <c r="R1534" s="42"/>
      <c r="AC1534" s="42"/>
    </row>
    <row r="1535" spans="15:29" x14ac:dyDescent="0.25">
      <c r="O1535" s="42"/>
      <c r="R1535" s="42"/>
      <c r="AC1535" s="42"/>
    </row>
    <row r="1536" spans="15:29" x14ac:dyDescent="0.25">
      <c r="O1536" s="42"/>
      <c r="R1536" s="42"/>
      <c r="AC1536" s="42"/>
    </row>
    <row r="1537" spans="15:29" x14ac:dyDescent="0.25">
      <c r="O1537" s="42"/>
      <c r="R1537" s="42"/>
      <c r="AC1537" s="42"/>
    </row>
    <row r="1538" spans="15:29" x14ac:dyDescent="0.25">
      <c r="O1538" s="42"/>
      <c r="R1538" s="42"/>
      <c r="AC1538" s="42"/>
    </row>
    <row r="1539" spans="15:29" x14ac:dyDescent="0.25">
      <c r="O1539" s="42"/>
      <c r="R1539" s="42"/>
      <c r="AC1539" s="42"/>
    </row>
    <row r="1540" spans="15:29" x14ac:dyDescent="0.25">
      <c r="O1540" s="42"/>
      <c r="R1540" s="42"/>
      <c r="AC1540" s="42"/>
    </row>
    <row r="1541" spans="15:29" x14ac:dyDescent="0.25">
      <c r="O1541" s="42"/>
      <c r="R1541" s="42"/>
      <c r="AC1541" s="42"/>
    </row>
    <row r="1542" spans="15:29" x14ac:dyDescent="0.25">
      <c r="O1542" s="42"/>
      <c r="R1542" s="42"/>
      <c r="AC1542" s="42"/>
    </row>
    <row r="1543" spans="15:29" x14ac:dyDescent="0.25">
      <c r="O1543" s="42"/>
      <c r="R1543" s="42"/>
      <c r="AC1543" s="42"/>
    </row>
    <row r="1544" spans="15:29" x14ac:dyDescent="0.25">
      <c r="O1544" s="42"/>
      <c r="R1544" s="42"/>
      <c r="AC1544" s="42"/>
    </row>
    <row r="1545" spans="15:29" x14ac:dyDescent="0.25">
      <c r="O1545" s="42"/>
      <c r="R1545" s="42"/>
      <c r="AC1545" s="42"/>
    </row>
    <row r="1546" spans="15:29" x14ac:dyDescent="0.25">
      <c r="O1546" s="42"/>
      <c r="R1546" s="42"/>
      <c r="AC1546" s="42"/>
    </row>
    <row r="1547" spans="15:29" x14ac:dyDescent="0.25">
      <c r="O1547" s="42"/>
      <c r="R1547" s="42"/>
      <c r="AC1547" s="42"/>
    </row>
    <row r="1548" spans="15:29" x14ac:dyDescent="0.25">
      <c r="O1548" s="42"/>
      <c r="R1548" s="42"/>
      <c r="AC1548" s="42"/>
    </row>
    <row r="1549" spans="15:29" x14ac:dyDescent="0.25">
      <c r="O1549" s="42"/>
      <c r="R1549" s="42"/>
      <c r="AC1549" s="42"/>
    </row>
    <row r="1550" spans="15:29" x14ac:dyDescent="0.25">
      <c r="O1550" s="42"/>
      <c r="R1550" s="42"/>
      <c r="AC1550" s="42"/>
    </row>
    <row r="1551" spans="15:29" x14ac:dyDescent="0.25">
      <c r="O1551" s="42"/>
      <c r="R1551" s="42"/>
      <c r="AC1551" s="42"/>
    </row>
    <row r="1552" spans="15:29" x14ac:dyDescent="0.25">
      <c r="O1552" s="42"/>
      <c r="R1552" s="42"/>
      <c r="AC1552" s="42"/>
    </row>
    <row r="1553" spans="15:29" x14ac:dyDescent="0.25">
      <c r="O1553" s="42"/>
      <c r="R1553" s="42"/>
      <c r="AC1553" s="42"/>
    </row>
    <row r="1554" spans="15:29" x14ac:dyDescent="0.25">
      <c r="O1554" s="42"/>
      <c r="R1554" s="42"/>
      <c r="AC1554" s="42"/>
    </row>
    <row r="1555" spans="15:29" x14ac:dyDescent="0.25">
      <c r="O1555" s="42"/>
      <c r="R1555" s="42"/>
      <c r="AC1555" s="42"/>
    </row>
    <row r="1556" spans="15:29" x14ac:dyDescent="0.25">
      <c r="O1556" s="42"/>
      <c r="R1556" s="42"/>
      <c r="AC1556" s="42"/>
    </row>
    <row r="1557" spans="15:29" x14ac:dyDescent="0.25">
      <c r="O1557" s="42"/>
      <c r="R1557" s="42"/>
      <c r="AC1557" s="42"/>
    </row>
    <row r="1558" spans="15:29" x14ac:dyDescent="0.25">
      <c r="O1558" s="42"/>
      <c r="R1558" s="42"/>
      <c r="AC1558" s="42"/>
    </row>
    <row r="1559" spans="15:29" x14ac:dyDescent="0.25">
      <c r="O1559" s="42"/>
      <c r="R1559" s="42"/>
      <c r="AC1559" s="42"/>
    </row>
    <row r="1560" spans="15:29" x14ac:dyDescent="0.25">
      <c r="O1560" s="42"/>
      <c r="R1560" s="42"/>
      <c r="AC1560" s="42"/>
    </row>
    <row r="1561" spans="15:29" x14ac:dyDescent="0.25">
      <c r="O1561" s="42"/>
      <c r="R1561" s="42"/>
      <c r="AC1561" s="42"/>
    </row>
    <row r="1562" spans="15:29" x14ac:dyDescent="0.25">
      <c r="O1562" s="42"/>
      <c r="R1562" s="42"/>
      <c r="AC1562" s="42"/>
    </row>
    <row r="1563" spans="15:29" x14ac:dyDescent="0.25">
      <c r="O1563" s="42"/>
      <c r="R1563" s="42"/>
      <c r="AC1563" s="42"/>
    </row>
    <row r="1564" spans="15:29" x14ac:dyDescent="0.25">
      <c r="O1564" s="42"/>
      <c r="R1564" s="42"/>
      <c r="AC1564" s="42"/>
    </row>
    <row r="1565" spans="15:29" x14ac:dyDescent="0.25">
      <c r="O1565" s="42"/>
      <c r="R1565" s="42"/>
      <c r="AC1565" s="42"/>
    </row>
    <row r="1566" spans="15:29" x14ac:dyDescent="0.25">
      <c r="O1566" s="42"/>
      <c r="R1566" s="42"/>
      <c r="AC1566" s="42"/>
    </row>
    <row r="1567" spans="15:29" x14ac:dyDescent="0.25">
      <c r="O1567" s="42"/>
      <c r="R1567" s="42"/>
      <c r="AC1567" s="42"/>
    </row>
    <row r="1568" spans="15:29" x14ac:dyDescent="0.25">
      <c r="O1568" s="42"/>
      <c r="R1568" s="42"/>
      <c r="AC1568" s="42"/>
    </row>
    <row r="1569" spans="15:29" x14ac:dyDescent="0.25">
      <c r="O1569" s="42"/>
      <c r="R1569" s="42"/>
      <c r="AC1569" s="42"/>
    </row>
    <row r="1570" spans="15:29" x14ac:dyDescent="0.25">
      <c r="O1570" s="42"/>
      <c r="R1570" s="42"/>
      <c r="AC1570" s="42"/>
    </row>
    <row r="1571" spans="15:29" x14ac:dyDescent="0.25">
      <c r="O1571" s="42"/>
      <c r="R1571" s="42"/>
      <c r="AC1571" s="42"/>
    </row>
    <row r="1572" spans="15:29" x14ac:dyDescent="0.25">
      <c r="O1572" s="42"/>
      <c r="R1572" s="42"/>
      <c r="AC1572" s="42"/>
    </row>
    <row r="1573" spans="15:29" x14ac:dyDescent="0.25">
      <c r="O1573" s="42"/>
      <c r="R1573" s="42"/>
      <c r="AC1573" s="42"/>
    </row>
    <row r="1574" spans="15:29" x14ac:dyDescent="0.25">
      <c r="O1574" s="42"/>
      <c r="R1574" s="42"/>
      <c r="AC1574" s="42"/>
    </row>
    <row r="1575" spans="15:29" x14ac:dyDescent="0.25">
      <c r="O1575" s="42"/>
      <c r="R1575" s="42"/>
      <c r="AC1575" s="42"/>
    </row>
    <row r="1576" spans="15:29" x14ac:dyDescent="0.25">
      <c r="O1576" s="42"/>
      <c r="R1576" s="42"/>
      <c r="AC1576" s="42"/>
    </row>
    <row r="1577" spans="15:29" x14ac:dyDescent="0.25">
      <c r="O1577" s="42"/>
      <c r="R1577" s="42"/>
      <c r="AC1577" s="42"/>
    </row>
    <row r="1578" spans="15:29" x14ac:dyDescent="0.25">
      <c r="O1578" s="42"/>
      <c r="R1578" s="42"/>
      <c r="AC1578" s="42"/>
    </row>
    <row r="1579" spans="15:29" x14ac:dyDescent="0.25">
      <c r="O1579" s="42"/>
      <c r="R1579" s="42"/>
      <c r="AC1579" s="42"/>
    </row>
    <row r="1580" spans="15:29" x14ac:dyDescent="0.25">
      <c r="O1580" s="42"/>
      <c r="R1580" s="42"/>
      <c r="AC1580" s="42"/>
    </row>
    <row r="1581" spans="15:29" x14ac:dyDescent="0.25">
      <c r="O1581" s="42"/>
      <c r="R1581" s="42"/>
      <c r="AC1581" s="42"/>
    </row>
    <row r="1582" spans="15:29" x14ac:dyDescent="0.25">
      <c r="O1582" s="42"/>
      <c r="R1582" s="42"/>
      <c r="AC1582" s="42"/>
    </row>
    <row r="1583" spans="15:29" x14ac:dyDescent="0.25">
      <c r="O1583" s="42"/>
      <c r="R1583" s="42"/>
      <c r="AC1583" s="42"/>
    </row>
    <row r="1584" spans="15:29" x14ac:dyDescent="0.25">
      <c r="O1584" s="42"/>
      <c r="R1584" s="42"/>
      <c r="AC1584" s="42"/>
    </row>
    <row r="1585" spans="15:29" x14ac:dyDescent="0.25">
      <c r="O1585" s="42"/>
      <c r="R1585" s="42"/>
      <c r="AC1585" s="42"/>
    </row>
    <row r="1586" spans="15:29" x14ac:dyDescent="0.25">
      <c r="O1586" s="42"/>
      <c r="R1586" s="42"/>
      <c r="AC1586" s="42"/>
    </row>
    <row r="1587" spans="15:29" x14ac:dyDescent="0.25">
      <c r="O1587" s="42"/>
      <c r="R1587" s="42"/>
      <c r="AC1587" s="42"/>
    </row>
    <row r="1588" spans="15:29" x14ac:dyDescent="0.25">
      <c r="O1588" s="42"/>
      <c r="R1588" s="42"/>
      <c r="AC1588" s="42"/>
    </row>
    <row r="1589" spans="15:29" x14ac:dyDescent="0.25">
      <c r="O1589" s="42"/>
      <c r="R1589" s="42"/>
      <c r="AC1589" s="42"/>
    </row>
    <row r="1590" spans="15:29" x14ac:dyDescent="0.25">
      <c r="O1590" s="42"/>
      <c r="R1590" s="42"/>
      <c r="AC1590" s="42"/>
    </row>
    <row r="1591" spans="15:29" x14ac:dyDescent="0.25">
      <c r="O1591" s="42"/>
      <c r="R1591" s="42"/>
      <c r="AC1591" s="42"/>
    </row>
    <row r="1592" spans="15:29" x14ac:dyDescent="0.25">
      <c r="O1592" s="42"/>
      <c r="R1592" s="42"/>
      <c r="AC1592" s="42"/>
    </row>
    <row r="1593" spans="15:29" x14ac:dyDescent="0.25">
      <c r="O1593" s="42"/>
      <c r="R1593" s="42"/>
      <c r="AC1593" s="42"/>
    </row>
    <row r="1594" spans="15:29" x14ac:dyDescent="0.25">
      <c r="O1594" s="42"/>
      <c r="R1594" s="42"/>
      <c r="AC1594" s="42"/>
    </row>
    <row r="1595" spans="15:29" x14ac:dyDescent="0.25">
      <c r="O1595" s="42"/>
      <c r="R1595" s="42"/>
      <c r="AC1595" s="42"/>
    </row>
    <row r="1596" spans="15:29" x14ac:dyDescent="0.25">
      <c r="O1596" s="42"/>
      <c r="R1596" s="42"/>
      <c r="AC1596" s="42"/>
    </row>
    <row r="1597" spans="15:29" x14ac:dyDescent="0.25">
      <c r="O1597" s="42"/>
      <c r="R1597" s="42"/>
      <c r="AC1597" s="42"/>
    </row>
    <row r="1598" spans="15:29" x14ac:dyDescent="0.25">
      <c r="O1598" s="42"/>
      <c r="R1598" s="42"/>
      <c r="AC1598" s="42"/>
    </row>
    <row r="1599" spans="15:29" x14ac:dyDescent="0.25">
      <c r="O1599" s="42"/>
      <c r="R1599" s="42"/>
      <c r="AC1599" s="42"/>
    </row>
    <row r="1600" spans="15:29" x14ac:dyDescent="0.25">
      <c r="O1600" s="42"/>
      <c r="R1600" s="42"/>
      <c r="AC1600" s="42"/>
    </row>
    <row r="1601" spans="15:29" x14ac:dyDescent="0.25">
      <c r="O1601" s="42"/>
      <c r="R1601" s="42"/>
      <c r="AC1601" s="42"/>
    </row>
    <row r="1602" spans="15:29" x14ac:dyDescent="0.25">
      <c r="O1602" s="42"/>
      <c r="R1602" s="42"/>
      <c r="AC1602" s="42"/>
    </row>
    <row r="1603" spans="15:29" x14ac:dyDescent="0.25">
      <c r="O1603" s="42"/>
      <c r="R1603" s="42"/>
      <c r="AC1603" s="42"/>
    </row>
    <row r="1604" spans="15:29" x14ac:dyDescent="0.25">
      <c r="O1604" s="42"/>
      <c r="R1604" s="42"/>
      <c r="AC1604" s="42"/>
    </row>
    <row r="1605" spans="15:29" x14ac:dyDescent="0.25">
      <c r="O1605" s="42"/>
      <c r="R1605" s="42"/>
      <c r="AC1605" s="42"/>
    </row>
    <row r="1606" spans="15:29" x14ac:dyDescent="0.25">
      <c r="O1606" s="42"/>
      <c r="R1606" s="42"/>
      <c r="AC1606" s="42"/>
    </row>
    <row r="1607" spans="15:29" x14ac:dyDescent="0.25">
      <c r="O1607" s="42"/>
      <c r="R1607" s="42"/>
      <c r="AC1607" s="42"/>
    </row>
    <row r="1608" spans="15:29" x14ac:dyDescent="0.25">
      <c r="O1608" s="42"/>
      <c r="R1608" s="42"/>
      <c r="AC1608" s="42"/>
    </row>
    <row r="1609" spans="15:29" x14ac:dyDescent="0.25">
      <c r="O1609" s="42"/>
      <c r="R1609" s="42"/>
      <c r="AC1609" s="42"/>
    </row>
    <row r="1610" spans="15:29" x14ac:dyDescent="0.25">
      <c r="O1610" s="42"/>
      <c r="R1610" s="42"/>
      <c r="AC1610" s="42"/>
    </row>
    <row r="1611" spans="15:29" x14ac:dyDescent="0.25">
      <c r="O1611" s="42"/>
      <c r="R1611" s="42"/>
      <c r="AC1611" s="42"/>
    </row>
    <row r="1612" spans="15:29" x14ac:dyDescent="0.25">
      <c r="O1612" s="42"/>
      <c r="R1612" s="42"/>
      <c r="AC1612" s="42"/>
    </row>
    <row r="1613" spans="15:29" x14ac:dyDescent="0.25">
      <c r="O1613" s="42"/>
      <c r="R1613" s="42"/>
      <c r="AC1613" s="42"/>
    </row>
    <row r="1614" spans="15:29" x14ac:dyDescent="0.25">
      <c r="O1614" s="42"/>
      <c r="R1614" s="42"/>
      <c r="AC1614" s="42"/>
    </row>
    <row r="1615" spans="15:29" x14ac:dyDescent="0.25">
      <c r="O1615" s="42"/>
      <c r="R1615" s="42"/>
      <c r="AC1615" s="42"/>
    </row>
    <row r="1616" spans="15:29" x14ac:dyDescent="0.25">
      <c r="O1616" s="42"/>
      <c r="R1616" s="42"/>
      <c r="AC1616" s="42"/>
    </row>
    <row r="1617" spans="15:29" x14ac:dyDescent="0.25">
      <c r="O1617" s="42"/>
      <c r="R1617" s="42"/>
      <c r="AC1617" s="42"/>
    </row>
    <row r="1618" spans="15:29" x14ac:dyDescent="0.25">
      <c r="O1618" s="42"/>
      <c r="R1618" s="42"/>
      <c r="AC1618" s="42"/>
    </row>
    <row r="1619" spans="15:29" x14ac:dyDescent="0.25">
      <c r="O1619" s="42"/>
      <c r="R1619" s="42"/>
      <c r="AC1619" s="42"/>
    </row>
    <row r="1620" spans="15:29" x14ac:dyDescent="0.25">
      <c r="O1620" s="42"/>
      <c r="R1620" s="42"/>
      <c r="AC1620" s="42"/>
    </row>
    <row r="1621" spans="15:29" x14ac:dyDescent="0.25">
      <c r="O1621" s="42"/>
      <c r="R1621" s="42"/>
      <c r="AC1621" s="42"/>
    </row>
    <row r="1622" spans="15:29" x14ac:dyDescent="0.25">
      <c r="O1622" s="42"/>
      <c r="R1622" s="42"/>
      <c r="AC1622" s="42"/>
    </row>
    <row r="1623" spans="15:29" x14ac:dyDescent="0.25">
      <c r="O1623" s="42"/>
      <c r="R1623" s="42"/>
      <c r="AC1623" s="42"/>
    </row>
    <row r="1624" spans="15:29" x14ac:dyDescent="0.25">
      <c r="O1624" s="42"/>
      <c r="R1624" s="42"/>
      <c r="AC1624" s="42"/>
    </row>
    <row r="1625" spans="15:29" x14ac:dyDescent="0.25">
      <c r="O1625" s="42"/>
      <c r="R1625" s="42"/>
      <c r="AC1625" s="42"/>
    </row>
    <row r="1626" spans="15:29" x14ac:dyDescent="0.25">
      <c r="O1626" s="42"/>
      <c r="R1626" s="42"/>
      <c r="AC1626" s="42"/>
    </row>
    <row r="1627" spans="15:29" x14ac:dyDescent="0.25">
      <c r="O1627" s="42"/>
      <c r="R1627" s="42"/>
      <c r="AC1627" s="42"/>
    </row>
    <row r="1628" spans="15:29" x14ac:dyDescent="0.25">
      <c r="O1628" s="42"/>
      <c r="R1628" s="42"/>
      <c r="AC1628" s="42"/>
    </row>
    <row r="1629" spans="15:29" x14ac:dyDescent="0.25">
      <c r="O1629" s="42"/>
      <c r="R1629" s="42"/>
      <c r="AC1629" s="42"/>
    </row>
    <row r="1630" spans="15:29" x14ac:dyDescent="0.25">
      <c r="O1630" s="42"/>
      <c r="R1630" s="42"/>
      <c r="AC1630" s="42"/>
    </row>
    <row r="1631" spans="15:29" x14ac:dyDescent="0.25">
      <c r="O1631" s="42"/>
      <c r="R1631" s="42"/>
      <c r="AC1631" s="42"/>
    </row>
    <row r="1632" spans="15:29" x14ac:dyDescent="0.25">
      <c r="O1632" s="42"/>
      <c r="R1632" s="42"/>
      <c r="AC1632" s="42"/>
    </row>
    <row r="1633" spans="15:29" x14ac:dyDescent="0.25">
      <c r="O1633" s="42"/>
      <c r="R1633" s="42"/>
      <c r="AC1633" s="42"/>
    </row>
    <row r="1634" spans="15:29" x14ac:dyDescent="0.25">
      <c r="O1634" s="42"/>
      <c r="R1634" s="42"/>
      <c r="AC1634" s="42"/>
    </row>
    <row r="1635" spans="15:29" x14ac:dyDescent="0.25">
      <c r="O1635" s="42"/>
      <c r="R1635" s="42"/>
      <c r="AC1635" s="42"/>
    </row>
    <row r="1636" spans="15:29" x14ac:dyDescent="0.25">
      <c r="O1636" s="42"/>
      <c r="R1636" s="42"/>
      <c r="AC1636" s="42"/>
    </row>
    <row r="1637" spans="15:29" x14ac:dyDescent="0.25">
      <c r="O1637" s="42"/>
      <c r="R1637" s="42"/>
      <c r="AC1637" s="42"/>
    </row>
    <row r="1638" spans="15:29" x14ac:dyDescent="0.25">
      <c r="O1638" s="42"/>
      <c r="R1638" s="42"/>
      <c r="AC1638" s="42"/>
    </row>
    <row r="1639" spans="15:29" x14ac:dyDescent="0.25">
      <c r="O1639" s="42"/>
      <c r="R1639" s="42"/>
      <c r="AC1639" s="42"/>
    </row>
    <row r="1640" spans="15:29" x14ac:dyDescent="0.25">
      <c r="O1640" s="42"/>
      <c r="R1640" s="42"/>
      <c r="AC1640" s="42"/>
    </row>
    <row r="1641" spans="15:29" x14ac:dyDescent="0.25">
      <c r="O1641" s="42"/>
      <c r="R1641" s="42"/>
      <c r="AC1641" s="42"/>
    </row>
    <row r="1642" spans="15:29" x14ac:dyDescent="0.25">
      <c r="O1642" s="42"/>
      <c r="R1642" s="42"/>
      <c r="AC1642" s="42"/>
    </row>
    <row r="1643" spans="15:29" x14ac:dyDescent="0.25">
      <c r="O1643" s="42"/>
      <c r="R1643" s="42"/>
      <c r="AC1643" s="42"/>
    </row>
    <row r="1644" spans="15:29" x14ac:dyDescent="0.25">
      <c r="O1644" s="42"/>
      <c r="R1644" s="42"/>
      <c r="AC1644" s="42"/>
    </row>
    <row r="1645" spans="15:29" x14ac:dyDescent="0.25">
      <c r="O1645" s="42"/>
      <c r="R1645" s="42"/>
      <c r="AC1645" s="42"/>
    </row>
    <row r="1646" spans="15:29" x14ac:dyDescent="0.25">
      <c r="O1646" s="42"/>
      <c r="R1646" s="42"/>
      <c r="AC1646" s="42"/>
    </row>
    <row r="1647" spans="15:29" x14ac:dyDescent="0.25">
      <c r="O1647" s="42"/>
      <c r="R1647" s="42"/>
      <c r="AC1647" s="42"/>
    </row>
    <row r="1648" spans="15:29" x14ac:dyDescent="0.25">
      <c r="O1648" s="42"/>
      <c r="R1648" s="42"/>
      <c r="AC1648" s="42"/>
    </row>
    <row r="1649" spans="15:29" x14ac:dyDescent="0.25">
      <c r="O1649" s="42"/>
      <c r="R1649" s="42"/>
      <c r="AC1649" s="42"/>
    </row>
    <row r="1650" spans="15:29" x14ac:dyDescent="0.25">
      <c r="O1650" s="42"/>
      <c r="R1650" s="42"/>
      <c r="AC1650" s="42"/>
    </row>
    <row r="1651" spans="15:29" x14ac:dyDescent="0.25">
      <c r="O1651" s="42"/>
      <c r="R1651" s="42"/>
      <c r="AC1651" s="42"/>
    </row>
    <row r="1652" spans="15:29" x14ac:dyDescent="0.25">
      <c r="O1652" s="42"/>
      <c r="R1652" s="42"/>
      <c r="AC1652" s="42"/>
    </row>
    <row r="1653" spans="15:29" x14ac:dyDescent="0.25">
      <c r="O1653" s="42"/>
      <c r="R1653" s="42"/>
      <c r="AC1653" s="42"/>
    </row>
    <row r="1654" spans="15:29" x14ac:dyDescent="0.25">
      <c r="O1654" s="42"/>
      <c r="R1654" s="42"/>
      <c r="AC1654" s="42"/>
    </row>
    <row r="1655" spans="15:29" x14ac:dyDescent="0.25">
      <c r="O1655" s="42"/>
      <c r="R1655" s="42"/>
      <c r="AC1655" s="42"/>
    </row>
    <row r="1656" spans="15:29" x14ac:dyDescent="0.25">
      <c r="O1656" s="42"/>
      <c r="R1656" s="42"/>
      <c r="AC1656" s="42"/>
    </row>
    <row r="1657" spans="15:29" x14ac:dyDescent="0.25">
      <c r="O1657" s="42"/>
      <c r="R1657" s="42"/>
      <c r="AC1657" s="42"/>
    </row>
    <row r="1658" spans="15:29" x14ac:dyDescent="0.25">
      <c r="O1658" s="42"/>
      <c r="R1658" s="42"/>
      <c r="AC1658" s="42"/>
    </row>
    <row r="1659" spans="15:29" x14ac:dyDescent="0.25">
      <c r="O1659" s="42"/>
      <c r="R1659" s="42"/>
      <c r="AC1659" s="42"/>
    </row>
    <row r="1660" spans="15:29" x14ac:dyDescent="0.25">
      <c r="O1660" s="42"/>
      <c r="R1660" s="42"/>
      <c r="AC1660" s="42"/>
    </row>
    <row r="1661" spans="15:29" x14ac:dyDescent="0.25">
      <c r="O1661" s="42"/>
      <c r="R1661" s="42"/>
      <c r="AC1661" s="42"/>
    </row>
    <row r="1662" spans="15:29" x14ac:dyDescent="0.25">
      <c r="O1662" s="42"/>
      <c r="R1662" s="42"/>
      <c r="AC1662" s="42"/>
    </row>
    <row r="1663" spans="15:29" x14ac:dyDescent="0.25">
      <c r="O1663" s="42"/>
      <c r="R1663" s="42"/>
      <c r="AC1663" s="42"/>
    </row>
    <row r="1664" spans="15:29" x14ac:dyDescent="0.25">
      <c r="O1664" s="42"/>
      <c r="R1664" s="42"/>
      <c r="AC1664" s="42"/>
    </row>
    <row r="1665" spans="15:29" x14ac:dyDescent="0.25">
      <c r="O1665" s="42"/>
      <c r="R1665" s="42"/>
      <c r="AC1665" s="42"/>
    </row>
    <row r="1666" spans="15:29" x14ac:dyDescent="0.25">
      <c r="O1666" s="42"/>
      <c r="R1666" s="42"/>
      <c r="AC1666" s="42"/>
    </row>
    <row r="1667" spans="15:29" x14ac:dyDescent="0.25">
      <c r="O1667" s="42"/>
      <c r="R1667" s="42"/>
      <c r="AC1667" s="42"/>
    </row>
    <row r="1668" spans="15:29" x14ac:dyDescent="0.25">
      <c r="O1668" s="42"/>
      <c r="R1668" s="42"/>
      <c r="AC1668" s="42"/>
    </row>
    <row r="1669" spans="15:29" x14ac:dyDescent="0.25">
      <c r="O1669" s="42"/>
      <c r="R1669" s="42"/>
      <c r="AC1669" s="42"/>
    </row>
    <row r="1670" spans="15:29" x14ac:dyDescent="0.25">
      <c r="O1670" s="42"/>
      <c r="R1670" s="42"/>
      <c r="AC1670" s="42"/>
    </row>
    <row r="1671" spans="15:29" x14ac:dyDescent="0.25">
      <c r="O1671" s="42"/>
      <c r="R1671" s="42"/>
      <c r="AC1671" s="42"/>
    </row>
    <row r="1672" spans="15:29" x14ac:dyDescent="0.25">
      <c r="O1672" s="42"/>
      <c r="R1672" s="42"/>
      <c r="AC1672" s="42"/>
    </row>
    <row r="1673" spans="15:29" x14ac:dyDescent="0.25">
      <c r="O1673" s="42"/>
      <c r="R1673" s="42"/>
      <c r="AC1673" s="42"/>
    </row>
    <row r="1674" spans="15:29" x14ac:dyDescent="0.25">
      <c r="O1674" s="42"/>
      <c r="R1674" s="42"/>
      <c r="AC1674" s="42"/>
    </row>
    <row r="1675" spans="15:29" x14ac:dyDescent="0.25">
      <c r="O1675" s="42"/>
      <c r="R1675" s="42"/>
      <c r="AC1675" s="42"/>
    </row>
    <row r="1676" spans="15:29" x14ac:dyDescent="0.25">
      <c r="O1676" s="42"/>
      <c r="R1676" s="42"/>
      <c r="AC1676" s="42"/>
    </row>
    <row r="1677" spans="15:29" x14ac:dyDescent="0.25">
      <c r="O1677" s="42"/>
      <c r="R1677" s="42"/>
      <c r="AC1677" s="42"/>
    </row>
    <row r="1678" spans="15:29" x14ac:dyDescent="0.25">
      <c r="O1678" s="42"/>
      <c r="R1678" s="42"/>
      <c r="AC1678" s="42"/>
    </row>
    <row r="1679" spans="15:29" x14ac:dyDescent="0.25">
      <c r="O1679" s="42"/>
      <c r="R1679" s="42"/>
      <c r="AC1679" s="42"/>
    </row>
    <row r="1680" spans="15:29" x14ac:dyDescent="0.25">
      <c r="O1680" s="42"/>
      <c r="R1680" s="42"/>
      <c r="AC1680" s="42"/>
    </row>
    <row r="1681" spans="15:29" x14ac:dyDescent="0.25">
      <c r="O1681" s="42"/>
      <c r="R1681" s="42"/>
      <c r="AC1681" s="42"/>
    </row>
    <row r="1682" spans="15:29" x14ac:dyDescent="0.25">
      <c r="O1682" s="42"/>
      <c r="R1682" s="42"/>
      <c r="AC1682" s="42"/>
    </row>
    <row r="1683" spans="15:29" x14ac:dyDescent="0.25">
      <c r="O1683" s="42"/>
      <c r="R1683" s="42"/>
      <c r="AC1683" s="42"/>
    </row>
    <row r="1684" spans="15:29" x14ac:dyDescent="0.25">
      <c r="O1684" s="42"/>
      <c r="R1684" s="42"/>
      <c r="AC1684" s="42"/>
    </row>
    <row r="1685" spans="15:29" x14ac:dyDescent="0.25">
      <c r="O1685" s="42"/>
      <c r="R1685" s="42"/>
      <c r="AC1685" s="42"/>
    </row>
    <row r="1686" spans="15:29" x14ac:dyDescent="0.25">
      <c r="O1686" s="42"/>
      <c r="R1686" s="42"/>
      <c r="AC1686" s="42"/>
    </row>
    <row r="1687" spans="15:29" x14ac:dyDescent="0.25">
      <c r="O1687" s="42"/>
      <c r="R1687" s="42"/>
      <c r="AC1687" s="42"/>
    </row>
    <row r="1688" spans="15:29" x14ac:dyDescent="0.25">
      <c r="O1688" s="42"/>
      <c r="R1688" s="42"/>
      <c r="AC1688" s="42"/>
    </row>
    <row r="1689" spans="15:29" x14ac:dyDescent="0.25">
      <c r="O1689" s="42"/>
      <c r="R1689" s="42"/>
      <c r="AC1689" s="42"/>
    </row>
    <row r="1690" spans="15:29" x14ac:dyDescent="0.25">
      <c r="O1690" s="42"/>
      <c r="R1690" s="42"/>
      <c r="AC1690" s="42"/>
    </row>
    <row r="1691" spans="15:29" x14ac:dyDescent="0.25">
      <c r="O1691" s="42"/>
      <c r="R1691" s="42"/>
      <c r="AC1691" s="42"/>
    </row>
    <row r="1692" spans="15:29" x14ac:dyDescent="0.25">
      <c r="O1692" s="42"/>
      <c r="R1692" s="42"/>
      <c r="AC1692" s="42"/>
    </row>
    <row r="1693" spans="15:29" x14ac:dyDescent="0.25">
      <c r="O1693" s="42"/>
      <c r="R1693" s="42"/>
      <c r="AC1693" s="42"/>
    </row>
    <row r="1694" spans="15:29" x14ac:dyDescent="0.25">
      <c r="O1694" s="42"/>
      <c r="R1694" s="42"/>
      <c r="AC1694" s="42"/>
    </row>
    <row r="1695" spans="15:29" x14ac:dyDescent="0.25">
      <c r="O1695" s="42"/>
      <c r="R1695" s="42"/>
      <c r="AC1695" s="42"/>
    </row>
    <row r="1696" spans="15:29" x14ac:dyDescent="0.25">
      <c r="O1696" s="42"/>
      <c r="R1696" s="42"/>
      <c r="AC1696" s="42"/>
    </row>
    <row r="1697" spans="15:29" x14ac:dyDescent="0.25">
      <c r="O1697" s="42"/>
      <c r="R1697" s="42"/>
      <c r="AC1697" s="42"/>
    </row>
    <row r="1698" spans="15:29" x14ac:dyDescent="0.25">
      <c r="O1698" s="42"/>
      <c r="R1698" s="42"/>
      <c r="AC1698" s="42"/>
    </row>
    <row r="1699" spans="15:29" x14ac:dyDescent="0.25">
      <c r="O1699" s="42"/>
      <c r="R1699" s="42"/>
      <c r="AC1699" s="42"/>
    </row>
    <row r="1700" spans="15:29" x14ac:dyDescent="0.25">
      <c r="O1700" s="42"/>
      <c r="R1700" s="42"/>
      <c r="AC1700" s="42"/>
    </row>
    <row r="1701" spans="15:29" x14ac:dyDescent="0.25">
      <c r="O1701" s="42"/>
      <c r="R1701" s="42"/>
      <c r="AC1701" s="42"/>
    </row>
    <row r="1702" spans="15:29" x14ac:dyDescent="0.25">
      <c r="O1702" s="42"/>
      <c r="R1702" s="42"/>
      <c r="AC1702" s="42"/>
    </row>
    <row r="1703" spans="15:29" x14ac:dyDescent="0.25">
      <c r="O1703" s="42"/>
      <c r="R1703" s="42"/>
      <c r="AC1703" s="42"/>
    </row>
    <row r="1704" spans="15:29" x14ac:dyDescent="0.25">
      <c r="O1704" s="42"/>
      <c r="R1704" s="42"/>
      <c r="AC1704" s="42"/>
    </row>
    <row r="1705" spans="15:29" x14ac:dyDescent="0.25">
      <c r="O1705" s="42"/>
      <c r="R1705" s="42"/>
      <c r="AC1705" s="42"/>
    </row>
    <row r="1706" spans="15:29" x14ac:dyDescent="0.25">
      <c r="O1706" s="42"/>
      <c r="R1706" s="42"/>
      <c r="AC1706" s="42"/>
    </row>
    <row r="1707" spans="15:29" x14ac:dyDescent="0.25">
      <c r="O1707" s="42"/>
      <c r="R1707" s="42"/>
      <c r="AC1707" s="42"/>
    </row>
    <row r="1708" spans="15:29" x14ac:dyDescent="0.25">
      <c r="O1708" s="42"/>
      <c r="R1708" s="42"/>
      <c r="AC1708" s="42"/>
    </row>
    <row r="1709" spans="15:29" x14ac:dyDescent="0.25">
      <c r="O1709" s="42"/>
      <c r="R1709" s="42"/>
      <c r="AC1709" s="42"/>
    </row>
    <row r="1710" spans="15:29" x14ac:dyDescent="0.25">
      <c r="O1710" s="42"/>
      <c r="R1710" s="42"/>
      <c r="AC1710" s="42"/>
    </row>
    <row r="1711" spans="15:29" x14ac:dyDescent="0.25">
      <c r="O1711" s="42"/>
      <c r="R1711" s="42"/>
      <c r="AC1711" s="42"/>
    </row>
    <row r="1712" spans="15:29" x14ac:dyDescent="0.25">
      <c r="O1712" s="42"/>
      <c r="R1712" s="42"/>
      <c r="AC1712" s="42"/>
    </row>
    <row r="1713" spans="15:29" x14ac:dyDescent="0.25">
      <c r="O1713" s="42"/>
      <c r="R1713" s="42"/>
      <c r="AC1713" s="42"/>
    </row>
    <row r="1714" spans="15:29" x14ac:dyDescent="0.25">
      <c r="O1714" s="42"/>
      <c r="R1714" s="42"/>
      <c r="AC1714" s="42"/>
    </row>
    <row r="1715" spans="15:29" x14ac:dyDescent="0.25">
      <c r="O1715" s="42"/>
      <c r="R1715" s="42"/>
      <c r="AC1715" s="42"/>
    </row>
    <row r="1716" spans="15:29" x14ac:dyDescent="0.25">
      <c r="O1716" s="42"/>
      <c r="R1716" s="42"/>
      <c r="AC1716" s="42"/>
    </row>
    <row r="1717" spans="15:29" x14ac:dyDescent="0.25">
      <c r="O1717" s="42"/>
      <c r="R1717" s="42"/>
      <c r="AC1717" s="42"/>
    </row>
    <row r="1718" spans="15:29" x14ac:dyDescent="0.25">
      <c r="O1718" s="42"/>
      <c r="R1718" s="42"/>
      <c r="AC1718" s="42"/>
    </row>
    <row r="1719" spans="15:29" x14ac:dyDescent="0.25">
      <c r="O1719" s="42"/>
      <c r="R1719" s="42"/>
      <c r="AC1719" s="42"/>
    </row>
    <row r="1720" spans="15:29" x14ac:dyDescent="0.25">
      <c r="O1720" s="42"/>
      <c r="R1720" s="42"/>
      <c r="AC1720" s="42"/>
    </row>
    <row r="1721" spans="15:29" x14ac:dyDescent="0.25">
      <c r="O1721" s="42"/>
      <c r="R1721" s="42"/>
      <c r="AC1721" s="42"/>
    </row>
    <row r="1722" spans="15:29" x14ac:dyDescent="0.25">
      <c r="O1722" s="42"/>
      <c r="R1722" s="42"/>
      <c r="AC1722" s="42"/>
    </row>
    <row r="1723" spans="15:29" x14ac:dyDescent="0.25">
      <c r="O1723" s="42"/>
      <c r="R1723" s="42"/>
      <c r="AC1723" s="42"/>
    </row>
    <row r="1724" spans="15:29" x14ac:dyDescent="0.25">
      <c r="O1724" s="42"/>
      <c r="R1724" s="42"/>
      <c r="AC1724" s="42"/>
    </row>
    <row r="1725" spans="15:29" x14ac:dyDescent="0.25">
      <c r="O1725" s="42"/>
      <c r="R1725" s="42"/>
      <c r="AC1725" s="42"/>
    </row>
    <row r="1726" spans="15:29" x14ac:dyDescent="0.25">
      <c r="O1726" s="42"/>
      <c r="R1726" s="42"/>
      <c r="AC1726" s="42"/>
    </row>
    <row r="1727" spans="15:29" x14ac:dyDescent="0.25">
      <c r="O1727" s="42"/>
      <c r="R1727" s="42"/>
      <c r="AC1727" s="42"/>
    </row>
    <row r="1728" spans="15:29" x14ac:dyDescent="0.25">
      <c r="O1728" s="42"/>
      <c r="R1728" s="42"/>
      <c r="AC1728" s="42"/>
    </row>
    <row r="1729" spans="15:29" x14ac:dyDescent="0.25">
      <c r="O1729" s="42"/>
      <c r="R1729" s="42"/>
      <c r="AC1729" s="42"/>
    </row>
    <row r="1730" spans="15:29" x14ac:dyDescent="0.25">
      <c r="O1730" s="42"/>
      <c r="R1730" s="42"/>
      <c r="AC1730" s="42"/>
    </row>
    <row r="1731" spans="15:29" x14ac:dyDescent="0.25">
      <c r="O1731" s="42"/>
      <c r="R1731" s="42"/>
      <c r="AC1731" s="42"/>
    </row>
    <row r="1732" spans="15:29" x14ac:dyDescent="0.25">
      <c r="O1732" s="42"/>
      <c r="R1732" s="42"/>
      <c r="AC1732" s="42"/>
    </row>
    <row r="1733" spans="15:29" x14ac:dyDescent="0.25">
      <c r="O1733" s="42"/>
      <c r="R1733" s="42"/>
      <c r="AC1733" s="42"/>
    </row>
    <row r="1734" spans="15:29" x14ac:dyDescent="0.25">
      <c r="O1734" s="42"/>
      <c r="R1734" s="42"/>
      <c r="AC1734" s="42"/>
    </row>
    <row r="1735" spans="15:29" x14ac:dyDescent="0.25">
      <c r="O1735" s="42"/>
      <c r="R1735" s="42"/>
      <c r="AC1735" s="42"/>
    </row>
    <row r="1736" spans="15:29" x14ac:dyDescent="0.25">
      <c r="O1736" s="42"/>
      <c r="R1736" s="42"/>
      <c r="AC1736" s="42"/>
    </row>
    <row r="1737" spans="15:29" x14ac:dyDescent="0.25">
      <c r="O1737" s="42"/>
      <c r="R1737" s="42"/>
      <c r="AC1737" s="42"/>
    </row>
    <row r="1738" spans="15:29" x14ac:dyDescent="0.25">
      <c r="O1738" s="42"/>
      <c r="R1738" s="42"/>
      <c r="AC1738" s="42"/>
    </row>
    <row r="1739" spans="15:29" x14ac:dyDescent="0.25">
      <c r="O1739" s="42"/>
      <c r="R1739" s="42"/>
      <c r="AC1739" s="42"/>
    </row>
    <row r="1740" spans="15:29" x14ac:dyDescent="0.25">
      <c r="O1740" s="42"/>
      <c r="R1740" s="42"/>
      <c r="AC1740" s="42"/>
    </row>
    <row r="1741" spans="15:29" x14ac:dyDescent="0.25">
      <c r="O1741" s="42"/>
      <c r="R1741" s="42"/>
      <c r="AC1741" s="42"/>
    </row>
    <row r="1742" spans="15:29" x14ac:dyDescent="0.25">
      <c r="O1742" s="42"/>
      <c r="R1742" s="42"/>
      <c r="AC1742" s="42"/>
    </row>
    <row r="1743" spans="15:29" x14ac:dyDescent="0.25">
      <c r="O1743" s="42"/>
      <c r="R1743" s="42"/>
      <c r="AC1743" s="42"/>
    </row>
    <row r="1744" spans="15:29" x14ac:dyDescent="0.25">
      <c r="O1744" s="42"/>
      <c r="R1744" s="42"/>
      <c r="AC1744" s="42"/>
    </row>
    <row r="1745" spans="15:29" x14ac:dyDescent="0.25">
      <c r="O1745" s="42"/>
      <c r="R1745" s="42"/>
      <c r="AC1745" s="42"/>
    </row>
    <row r="1746" spans="15:29" x14ac:dyDescent="0.25">
      <c r="O1746" s="42"/>
      <c r="R1746" s="42"/>
      <c r="AC1746" s="42"/>
    </row>
    <row r="1747" spans="15:29" x14ac:dyDescent="0.25">
      <c r="O1747" s="42"/>
      <c r="R1747" s="42"/>
      <c r="AC1747" s="42"/>
    </row>
    <row r="1748" spans="15:29" x14ac:dyDescent="0.25">
      <c r="O1748" s="42"/>
      <c r="R1748" s="42"/>
      <c r="AC1748" s="42"/>
    </row>
    <row r="1749" spans="15:29" x14ac:dyDescent="0.25">
      <c r="O1749" s="42"/>
      <c r="R1749" s="42"/>
      <c r="AC1749" s="42"/>
    </row>
    <row r="1750" spans="15:29" x14ac:dyDescent="0.25">
      <c r="O1750" s="42"/>
      <c r="R1750" s="42"/>
      <c r="AC1750" s="42"/>
    </row>
    <row r="1751" spans="15:29" x14ac:dyDescent="0.25">
      <c r="O1751" s="42"/>
      <c r="R1751" s="42"/>
      <c r="AC1751" s="42"/>
    </row>
    <row r="1752" spans="15:29" x14ac:dyDescent="0.25">
      <c r="O1752" s="42"/>
      <c r="R1752" s="42"/>
      <c r="AC1752" s="42"/>
    </row>
    <row r="1753" spans="15:29" x14ac:dyDescent="0.25">
      <c r="O1753" s="42"/>
      <c r="R1753" s="42"/>
      <c r="AC1753" s="42"/>
    </row>
    <row r="1754" spans="15:29" x14ac:dyDescent="0.25">
      <c r="O1754" s="42"/>
      <c r="R1754" s="42"/>
      <c r="AC1754" s="42"/>
    </row>
    <row r="1755" spans="15:29" x14ac:dyDescent="0.25">
      <c r="O1755" s="42"/>
      <c r="R1755" s="42"/>
      <c r="AC1755" s="42"/>
    </row>
    <row r="1756" spans="15:29" x14ac:dyDescent="0.25">
      <c r="O1756" s="42"/>
      <c r="R1756" s="42"/>
      <c r="AC1756" s="42"/>
    </row>
    <row r="1757" spans="15:29" x14ac:dyDescent="0.25">
      <c r="O1757" s="42"/>
      <c r="R1757" s="42"/>
      <c r="AC1757" s="42"/>
    </row>
    <row r="1758" spans="15:29" x14ac:dyDescent="0.25">
      <c r="O1758" s="42"/>
      <c r="R1758" s="42"/>
      <c r="AC1758" s="42"/>
    </row>
    <row r="1759" spans="15:29" x14ac:dyDescent="0.25">
      <c r="O1759" s="42"/>
      <c r="R1759" s="42"/>
      <c r="AC1759" s="42"/>
    </row>
    <row r="1760" spans="15:29" x14ac:dyDescent="0.25">
      <c r="O1760" s="42"/>
      <c r="R1760" s="42"/>
      <c r="AC1760" s="42"/>
    </row>
    <row r="1761" spans="15:29" x14ac:dyDescent="0.25">
      <c r="O1761" s="42"/>
      <c r="R1761" s="42"/>
      <c r="AC1761" s="42"/>
    </row>
    <row r="1762" spans="15:29" x14ac:dyDescent="0.25">
      <c r="O1762" s="42"/>
      <c r="R1762" s="42"/>
      <c r="AC1762" s="42"/>
    </row>
    <row r="1763" spans="15:29" x14ac:dyDescent="0.25">
      <c r="O1763" s="42"/>
      <c r="R1763" s="42"/>
      <c r="AC1763" s="42"/>
    </row>
    <row r="1764" spans="15:29" x14ac:dyDescent="0.25">
      <c r="O1764" s="42"/>
      <c r="R1764" s="42"/>
      <c r="AC1764" s="42"/>
    </row>
    <row r="1765" spans="15:29" x14ac:dyDescent="0.25">
      <c r="O1765" s="42"/>
      <c r="R1765" s="42"/>
      <c r="AC1765" s="42"/>
    </row>
    <row r="1766" spans="15:29" x14ac:dyDescent="0.25">
      <c r="O1766" s="42"/>
      <c r="R1766" s="42"/>
      <c r="AC1766" s="42"/>
    </row>
    <row r="1767" spans="15:29" x14ac:dyDescent="0.25">
      <c r="O1767" s="42"/>
      <c r="R1767" s="42"/>
      <c r="AC1767" s="42"/>
    </row>
    <row r="1768" spans="15:29" x14ac:dyDescent="0.25">
      <c r="O1768" s="42"/>
      <c r="R1768" s="42"/>
      <c r="AC1768" s="42"/>
    </row>
    <row r="1769" spans="15:29" x14ac:dyDescent="0.25">
      <c r="O1769" s="42"/>
      <c r="R1769" s="42"/>
      <c r="AC1769" s="42"/>
    </row>
    <row r="1770" spans="15:29" x14ac:dyDescent="0.25">
      <c r="O1770" s="42"/>
      <c r="R1770" s="42"/>
      <c r="AC1770" s="42"/>
    </row>
    <row r="1771" spans="15:29" x14ac:dyDescent="0.25">
      <c r="O1771" s="42"/>
      <c r="R1771" s="42"/>
      <c r="AC1771" s="42"/>
    </row>
    <row r="1772" spans="15:29" x14ac:dyDescent="0.25">
      <c r="O1772" s="42"/>
      <c r="R1772" s="42"/>
      <c r="AC1772" s="42"/>
    </row>
    <row r="1773" spans="15:29" x14ac:dyDescent="0.25">
      <c r="O1773" s="42"/>
      <c r="R1773" s="42"/>
      <c r="AC1773" s="42"/>
    </row>
    <row r="1774" spans="15:29" x14ac:dyDescent="0.25">
      <c r="O1774" s="42"/>
      <c r="R1774" s="42"/>
      <c r="AC1774" s="42"/>
    </row>
    <row r="1775" spans="15:29" x14ac:dyDescent="0.25">
      <c r="O1775" s="42"/>
      <c r="R1775" s="42"/>
      <c r="AC1775" s="42"/>
    </row>
    <row r="1776" spans="15:29" x14ac:dyDescent="0.25">
      <c r="O1776" s="42"/>
      <c r="R1776" s="42"/>
      <c r="AC1776" s="42"/>
    </row>
    <row r="1777" spans="15:29" x14ac:dyDescent="0.25">
      <c r="O1777" s="42"/>
      <c r="R1777" s="42"/>
      <c r="AC1777" s="42"/>
    </row>
    <row r="1778" spans="15:29" x14ac:dyDescent="0.25">
      <c r="O1778" s="42"/>
      <c r="R1778" s="42"/>
      <c r="AC1778" s="42"/>
    </row>
    <row r="1779" spans="15:29" x14ac:dyDescent="0.25">
      <c r="O1779" s="42"/>
      <c r="R1779" s="42"/>
      <c r="AC1779" s="42"/>
    </row>
    <row r="1780" spans="15:29" x14ac:dyDescent="0.25">
      <c r="O1780" s="42"/>
      <c r="R1780" s="42"/>
      <c r="AC1780" s="42"/>
    </row>
    <row r="1781" spans="15:29" x14ac:dyDescent="0.25">
      <c r="O1781" s="42"/>
      <c r="R1781" s="42"/>
      <c r="AC1781" s="42"/>
    </row>
    <row r="1782" spans="15:29" x14ac:dyDescent="0.25">
      <c r="O1782" s="42"/>
      <c r="R1782" s="42"/>
      <c r="AC1782" s="42"/>
    </row>
    <row r="1783" spans="15:29" x14ac:dyDescent="0.25">
      <c r="O1783" s="42"/>
      <c r="R1783" s="42"/>
      <c r="AC1783" s="42"/>
    </row>
    <row r="1784" spans="15:29" x14ac:dyDescent="0.25">
      <c r="O1784" s="42"/>
      <c r="R1784" s="42"/>
      <c r="AC1784" s="42"/>
    </row>
    <row r="1785" spans="15:29" x14ac:dyDescent="0.25">
      <c r="O1785" s="42"/>
      <c r="R1785" s="42"/>
      <c r="AC1785" s="42"/>
    </row>
    <row r="1786" spans="15:29" x14ac:dyDescent="0.25">
      <c r="O1786" s="42"/>
      <c r="R1786" s="42"/>
      <c r="AC1786" s="42"/>
    </row>
    <row r="1787" spans="15:29" x14ac:dyDescent="0.25">
      <c r="O1787" s="42"/>
      <c r="R1787" s="42"/>
      <c r="AC1787" s="42"/>
    </row>
    <row r="1788" spans="15:29" x14ac:dyDescent="0.25">
      <c r="O1788" s="42"/>
      <c r="R1788" s="42"/>
      <c r="AC1788" s="42"/>
    </row>
    <row r="1789" spans="15:29" x14ac:dyDescent="0.25">
      <c r="O1789" s="42"/>
      <c r="R1789" s="42"/>
      <c r="AC1789" s="42"/>
    </row>
    <row r="1790" spans="15:29" x14ac:dyDescent="0.25">
      <c r="O1790" s="42"/>
      <c r="R1790" s="42"/>
      <c r="AC1790" s="42"/>
    </row>
    <row r="1791" spans="15:29" x14ac:dyDescent="0.25">
      <c r="O1791" s="42"/>
      <c r="R1791" s="42"/>
      <c r="AC1791" s="42"/>
    </row>
    <row r="1792" spans="15:29" x14ac:dyDescent="0.25">
      <c r="O1792" s="42"/>
      <c r="R1792" s="42"/>
      <c r="AC1792" s="42"/>
    </row>
    <row r="1793" spans="15:29" x14ac:dyDescent="0.25">
      <c r="O1793" s="42"/>
      <c r="R1793" s="42"/>
      <c r="AC1793" s="42"/>
    </row>
    <row r="1794" spans="15:29" x14ac:dyDescent="0.25">
      <c r="O1794" s="42"/>
      <c r="R1794" s="42"/>
      <c r="AC1794" s="42"/>
    </row>
    <row r="1795" spans="15:29" x14ac:dyDescent="0.25">
      <c r="O1795" s="42"/>
      <c r="R1795" s="42"/>
      <c r="AC1795" s="42"/>
    </row>
    <row r="1796" spans="15:29" x14ac:dyDescent="0.25">
      <c r="O1796" s="42"/>
      <c r="R1796" s="42"/>
      <c r="AC1796" s="42"/>
    </row>
    <row r="1797" spans="15:29" x14ac:dyDescent="0.25">
      <c r="O1797" s="42"/>
      <c r="R1797" s="42"/>
      <c r="AC1797" s="42"/>
    </row>
    <row r="1798" spans="15:29" x14ac:dyDescent="0.25">
      <c r="O1798" s="42"/>
      <c r="R1798" s="42"/>
      <c r="AC1798" s="42"/>
    </row>
    <row r="1799" spans="15:29" x14ac:dyDescent="0.25">
      <c r="O1799" s="42"/>
      <c r="R1799" s="42"/>
      <c r="AC1799" s="42"/>
    </row>
    <row r="1800" spans="15:29" x14ac:dyDescent="0.25">
      <c r="O1800" s="42"/>
      <c r="R1800" s="42"/>
      <c r="AC1800" s="42"/>
    </row>
    <row r="1801" spans="15:29" x14ac:dyDescent="0.25">
      <c r="O1801" s="42"/>
      <c r="R1801" s="42"/>
      <c r="AC1801" s="42"/>
    </row>
    <row r="1802" spans="15:29" x14ac:dyDescent="0.25">
      <c r="O1802" s="42"/>
      <c r="R1802" s="42"/>
      <c r="AC1802" s="42"/>
    </row>
    <row r="1803" spans="15:29" x14ac:dyDescent="0.25">
      <c r="O1803" s="42"/>
      <c r="R1803" s="42"/>
      <c r="AC1803" s="42"/>
    </row>
    <row r="1804" spans="15:29" x14ac:dyDescent="0.25">
      <c r="O1804" s="42"/>
      <c r="R1804" s="42"/>
      <c r="AC1804" s="42"/>
    </row>
    <row r="1805" spans="15:29" x14ac:dyDescent="0.25">
      <c r="O1805" s="42"/>
      <c r="R1805" s="42"/>
      <c r="AC1805" s="42"/>
    </row>
    <row r="1806" spans="15:29" x14ac:dyDescent="0.25">
      <c r="O1806" s="42"/>
      <c r="R1806" s="42"/>
      <c r="AC1806" s="42"/>
    </row>
    <row r="1807" spans="15:29" x14ac:dyDescent="0.25">
      <c r="O1807" s="42"/>
      <c r="R1807" s="42"/>
      <c r="AC1807" s="42"/>
    </row>
    <row r="1808" spans="15:29" x14ac:dyDescent="0.25">
      <c r="O1808" s="42"/>
      <c r="R1808" s="42"/>
      <c r="AC1808" s="42"/>
    </row>
    <row r="1809" spans="15:29" x14ac:dyDescent="0.25">
      <c r="O1809" s="42"/>
      <c r="R1809" s="42"/>
      <c r="AC1809" s="42"/>
    </row>
    <row r="1810" spans="15:29" x14ac:dyDescent="0.25">
      <c r="O1810" s="42"/>
      <c r="R1810" s="42"/>
      <c r="AC1810" s="42"/>
    </row>
    <row r="1811" spans="15:29" x14ac:dyDescent="0.25">
      <c r="O1811" s="42"/>
      <c r="R1811" s="42"/>
      <c r="AC1811" s="42"/>
    </row>
    <row r="1812" spans="15:29" x14ac:dyDescent="0.25">
      <c r="O1812" s="42"/>
      <c r="R1812" s="42"/>
      <c r="AC1812" s="42"/>
    </row>
    <row r="1813" spans="15:29" x14ac:dyDescent="0.25">
      <c r="O1813" s="42"/>
      <c r="R1813" s="42"/>
      <c r="AC1813" s="42"/>
    </row>
    <row r="1814" spans="15:29" x14ac:dyDescent="0.25">
      <c r="O1814" s="42"/>
      <c r="R1814" s="42"/>
      <c r="AC1814" s="42"/>
    </row>
    <row r="1815" spans="15:29" x14ac:dyDescent="0.25">
      <c r="O1815" s="42"/>
      <c r="R1815" s="42"/>
      <c r="AC1815" s="42"/>
    </row>
    <row r="1816" spans="15:29" x14ac:dyDescent="0.25">
      <c r="O1816" s="42"/>
      <c r="R1816" s="42"/>
      <c r="AC1816" s="42"/>
    </row>
    <row r="1817" spans="15:29" x14ac:dyDescent="0.25">
      <c r="O1817" s="42"/>
      <c r="R1817" s="42"/>
      <c r="AC1817" s="42"/>
    </row>
    <row r="1818" spans="15:29" x14ac:dyDescent="0.25">
      <c r="O1818" s="42"/>
      <c r="R1818" s="42"/>
      <c r="AC1818" s="42"/>
    </row>
    <row r="1819" spans="15:29" x14ac:dyDescent="0.25">
      <c r="O1819" s="42"/>
      <c r="R1819" s="42"/>
      <c r="AC1819" s="42"/>
    </row>
    <row r="1820" spans="15:29" x14ac:dyDescent="0.25">
      <c r="O1820" s="42"/>
      <c r="R1820" s="42"/>
      <c r="AC1820" s="42"/>
    </row>
    <row r="1821" spans="15:29" x14ac:dyDescent="0.25">
      <c r="O1821" s="42"/>
      <c r="R1821" s="42"/>
      <c r="AC1821" s="42"/>
    </row>
    <row r="1822" spans="15:29" x14ac:dyDescent="0.25">
      <c r="O1822" s="42"/>
      <c r="R1822" s="42"/>
      <c r="AC1822" s="42"/>
    </row>
    <row r="1823" spans="15:29" x14ac:dyDescent="0.25">
      <c r="O1823" s="42"/>
      <c r="R1823" s="42"/>
      <c r="AC1823" s="42"/>
    </row>
    <row r="1824" spans="15:29" x14ac:dyDescent="0.25">
      <c r="O1824" s="42"/>
      <c r="R1824" s="42"/>
      <c r="AC1824" s="42"/>
    </row>
    <row r="1825" spans="15:29" x14ac:dyDescent="0.25">
      <c r="O1825" s="42"/>
      <c r="R1825" s="42"/>
      <c r="AC1825" s="42"/>
    </row>
    <row r="1826" spans="15:29" x14ac:dyDescent="0.25">
      <c r="O1826" s="42"/>
      <c r="R1826" s="42"/>
      <c r="AC1826" s="42"/>
    </row>
    <row r="1827" spans="15:29" x14ac:dyDescent="0.25">
      <c r="O1827" s="42"/>
      <c r="R1827" s="42"/>
      <c r="AC1827" s="42"/>
    </row>
    <row r="1828" spans="15:29" x14ac:dyDescent="0.25">
      <c r="O1828" s="42"/>
      <c r="R1828" s="42"/>
      <c r="AC1828" s="42"/>
    </row>
    <row r="1829" spans="15:29" x14ac:dyDescent="0.25">
      <c r="O1829" s="42"/>
      <c r="R1829" s="42"/>
      <c r="AC1829" s="42"/>
    </row>
    <row r="1830" spans="15:29" x14ac:dyDescent="0.25">
      <c r="O1830" s="42"/>
      <c r="R1830" s="42"/>
      <c r="AC1830" s="42"/>
    </row>
    <row r="1831" spans="15:29" x14ac:dyDescent="0.25">
      <c r="O1831" s="42"/>
      <c r="R1831" s="42"/>
      <c r="AC1831" s="42"/>
    </row>
    <row r="1832" spans="15:29" x14ac:dyDescent="0.25">
      <c r="O1832" s="42"/>
      <c r="R1832" s="42"/>
      <c r="AC1832" s="42"/>
    </row>
    <row r="1833" spans="15:29" x14ac:dyDescent="0.25">
      <c r="O1833" s="42"/>
      <c r="R1833" s="42"/>
      <c r="AC1833" s="42"/>
    </row>
    <row r="1834" spans="15:29" x14ac:dyDescent="0.25">
      <c r="O1834" s="42"/>
      <c r="R1834" s="42"/>
      <c r="AC1834" s="42"/>
    </row>
    <row r="1835" spans="15:29" x14ac:dyDescent="0.25">
      <c r="O1835" s="42"/>
      <c r="R1835" s="42"/>
      <c r="AC1835" s="42"/>
    </row>
    <row r="1836" spans="15:29" x14ac:dyDescent="0.25">
      <c r="O1836" s="42"/>
      <c r="R1836" s="42"/>
      <c r="AC1836" s="42"/>
    </row>
    <row r="1837" spans="15:29" x14ac:dyDescent="0.25">
      <c r="O1837" s="42"/>
      <c r="R1837" s="42"/>
      <c r="AC1837" s="42"/>
    </row>
    <row r="1838" spans="15:29" x14ac:dyDescent="0.25">
      <c r="O1838" s="42"/>
      <c r="R1838" s="42"/>
      <c r="AC1838" s="42"/>
    </row>
    <row r="1839" spans="15:29" x14ac:dyDescent="0.25">
      <c r="O1839" s="42"/>
      <c r="R1839" s="42"/>
      <c r="AC1839" s="42"/>
    </row>
    <row r="1840" spans="15:29" x14ac:dyDescent="0.25">
      <c r="O1840" s="42"/>
      <c r="R1840" s="42"/>
      <c r="AC1840" s="42"/>
    </row>
    <row r="1841" spans="15:29" x14ac:dyDescent="0.25">
      <c r="O1841" s="42"/>
      <c r="R1841" s="42"/>
      <c r="AC1841" s="42"/>
    </row>
    <row r="1842" spans="15:29" x14ac:dyDescent="0.25">
      <c r="O1842" s="42"/>
      <c r="R1842" s="42"/>
      <c r="AC1842" s="42"/>
    </row>
    <row r="1843" spans="15:29" x14ac:dyDescent="0.25">
      <c r="O1843" s="42"/>
      <c r="R1843" s="42"/>
      <c r="AC1843" s="42"/>
    </row>
    <row r="1844" spans="15:29" x14ac:dyDescent="0.25">
      <c r="O1844" s="42"/>
      <c r="R1844" s="42"/>
      <c r="AC1844" s="42"/>
    </row>
    <row r="1845" spans="15:29" x14ac:dyDescent="0.25">
      <c r="O1845" s="42"/>
      <c r="R1845" s="42"/>
      <c r="AC1845" s="42"/>
    </row>
    <row r="1846" spans="15:29" x14ac:dyDescent="0.25">
      <c r="O1846" s="42"/>
      <c r="R1846" s="42"/>
      <c r="AC1846" s="42"/>
    </row>
    <row r="1847" spans="15:29" x14ac:dyDescent="0.25">
      <c r="O1847" s="42"/>
      <c r="R1847" s="42"/>
      <c r="AC1847" s="42"/>
    </row>
    <row r="1848" spans="15:29" x14ac:dyDescent="0.25">
      <c r="O1848" s="42"/>
      <c r="R1848" s="42"/>
      <c r="AC1848" s="42"/>
    </row>
    <row r="1849" spans="15:29" x14ac:dyDescent="0.25">
      <c r="O1849" s="42"/>
      <c r="R1849" s="42"/>
      <c r="AC1849" s="42"/>
    </row>
    <row r="1850" spans="15:29" x14ac:dyDescent="0.25">
      <c r="O1850" s="42"/>
      <c r="R1850" s="42"/>
      <c r="AC1850" s="42"/>
    </row>
    <row r="1851" spans="15:29" x14ac:dyDescent="0.25">
      <c r="O1851" s="42"/>
      <c r="R1851" s="42"/>
      <c r="AC1851" s="42"/>
    </row>
    <row r="1852" spans="15:29" x14ac:dyDescent="0.25">
      <c r="O1852" s="42"/>
      <c r="R1852" s="42"/>
      <c r="AC1852" s="42"/>
    </row>
    <row r="1853" spans="15:29" x14ac:dyDescent="0.25">
      <c r="O1853" s="42"/>
      <c r="R1853" s="42"/>
      <c r="AC1853" s="42"/>
    </row>
    <row r="1854" spans="15:29" x14ac:dyDescent="0.25">
      <c r="O1854" s="42"/>
      <c r="R1854" s="42"/>
      <c r="AC1854" s="42"/>
    </row>
    <row r="1855" spans="15:29" x14ac:dyDescent="0.25">
      <c r="O1855" s="42"/>
      <c r="R1855" s="42"/>
      <c r="AC1855" s="42"/>
    </row>
    <row r="1856" spans="15:29" x14ac:dyDescent="0.25">
      <c r="O1856" s="42"/>
      <c r="R1856" s="42"/>
      <c r="AC1856" s="42"/>
    </row>
    <row r="1857" spans="15:29" x14ac:dyDescent="0.25">
      <c r="O1857" s="42"/>
      <c r="R1857" s="42"/>
      <c r="AC1857" s="42"/>
    </row>
    <row r="1858" spans="15:29" x14ac:dyDescent="0.25">
      <c r="O1858" s="42"/>
      <c r="R1858" s="42"/>
      <c r="AC1858" s="42"/>
    </row>
    <row r="1859" spans="15:29" x14ac:dyDescent="0.25">
      <c r="O1859" s="42"/>
      <c r="R1859" s="42"/>
      <c r="AC1859" s="42"/>
    </row>
    <row r="1860" spans="15:29" x14ac:dyDescent="0.25">
      <c r="O1860" s="42"/>
      <c r="R1860" s="42"/>
      <c r="AC1860" s="42"/>
    </row>
    <row r="1861" spans="15:29" x14ac:dyDescent="0.25">
      <c r="O1861" s="42"/>
      <c r="R1861" s="42"/>
      <c r="AC1861" s="42"/>
    </row>
    <row r="1862" spans="15:29" x14ac:dyDescent="0.25">
      <c r="O1862" s="42"/>
      <c r="R1862" s="42"/>
      <c r="AC1862" s="42"/>
    </row>
    <row r="1863" spans="15:29" x14ac:dyDescent="0.25">
      <c r="O1863" s="42"/>
      <c r="R1863" s="42"/>
      <c r="AC1863" s="42"/>
    </row>
    <row r="1864" spans="15:29" x14ac:dyDescent="0.25">
      <c r="O1864" s="42"/>
      <c r="R1864" s="42"/>
      <c r="AC1864" s="42"/>
    </row>
    <row r="1865" spans="15:29" x14ac:dyDescent="0.25">
      <c r="O1865" s="42"/>
      <c r="R1865" s="42"/>
      <c r="AC1865" s="42"/>
    </row>
    <row r="1866" spans="15:29" x14ac:dyDescent="0.25">
      <c r="O1866" s="42"/>
      <c r="R1866" s="42"/>
      <c r="AC1866" s="42"/>
    </row>
    <row r="1867" spans="15:29" x14ac:dyDescent="0.25">
      <c r="O1867" s="42"/>
      <c r="R1867" s="42"/>
      <c r="AC1867" s="42"/>
    </row>
    <row r="1868" spans="15:29" x14ac:dyDescent="0.25">
      <c r="O1868" s="42"/>
      <c r="R1868" s="42"/>
      <c r="AC1868" s="42"/>
    </row>
    <row r="1869" spans="15:29" x14ac:dyDescent="0.25">
      <c r="O1869" s="42"/>
      <c r="R1869" s="42"/>
      <c r="AC1869" s="42"/>
    </row>
    <row r="1870" spans="15:29" x14ac:dyDescent="0.25">
      <c r="O1870" s="42"/>
      <c r="R1870" s="42"/>
      <c r="AC1870" s="42"/>
    </row>
    <row r="1871" spans="15:29" x14ac:dyDescent="0.25">
      <c r="O1871" s="42"/>
      <c r="R1871" s="42"/>
      <c r="AC1871" s="42"/>
    </row>
    <row r="1872" spans="15:29" x14ac:dyDescent="0.25">
      <c r="O1872" s="42"/>
      <c r="R1872" s="42"/>
      <c r="AC1872" s="42"/>
    </row>
    <row r="1873" spans="15:29" x14ac:dyDescent="0.25">
      <c r="O1873" s="42"/>
      <c r="R1873" s="42"/>
      <c r="AC1873" s="42"/>
    </row>
    <row r="1874" spans="15:29" x14ac:dyDescent="0.25">
      <c r="O1874" s="42"/>
      <c r="R1874" s="42"/>
      <c r="AC1874" s="42"/>
    </row>
    <row r="1875" spans="15:29" x14ac:dyDescent="0.25">
      <c r="O1875" s="42"/>
      <c r="R1875" s="42"/>
      <c r="AC1875" s="42"/>
    </row>
    <row r="1876" spans="15:29" x14ac:dyDescent="0.25">
      <c r="O1876" s="42"/>
      <c r="R1876" s="42"/>
      <c r="AC1876" s="42"/>
    </row>
    <row r="1877" spans="15:29" x14ac:dyDescent="0.25">
      <c r="O1877" s="42"/>
      <c r="R1877" s="42"/>
      <c r="AC1877" s="42"/>
    </row>
    <row r="1878" spans="15:29" x14ac:dyDescent="0.25">
      <c r="O1878" s="42"/>
      <c r="R1878" s="42"/>
      <c r="AC1878" s="42"/>
    </row>
    <row r="1879" spans="15:29" x14ac:dyDescent="0.25">
      <c r="O1879" s="42"/>
      <c r="R1879" s="42"/>
      <c r="AC1879" s="42"/>
    </row>
    <row r="1880" spans="15:29" x14ac:dyDescent="0.25">
      <c r="O1880" s="42"/>
      <c r="R1880" s="42"/>
      <c r="AC1880" s="42"/>
    </row>
    <row r="1881" spans="15:29" x14ac:dyDescent="0.25">
      <c r="O1881" s="42"/>
      <c r="R1881" s="42"/>
      <c r="AC1881" s="42"/>
    </row>
    <row r="1882" spans="15:29" x14ac:dyDescent="0.25">
      <c r="O1882" s="42"/>
      <c r="R1882" s="42"/>
      <c r="AC1882" s="42"/>
    </row>
    <row r="1883" spans="15:29" x14ac:dyDescent="0.25">
      <c r="O1883" s="42"/>
      <c r="R1883" s="42"/>
      <c r="AC1883" s="42"/>
    </row>
    <row r="1884" spans="15:29" x14ac:dyDescent="0.25">
      <c r="O1884" s="42"/>
      <c r="R1884" s="42"/>
      <c r="AC1884" s="42"/>
    </row>
    <row r="1885" spans="15:29" x14ac:dyDescent="0.25">
      <c r="O1885" s="42"/>
      <c r="R1885" s="42"/>
      <c r="AC1885" s="42"/>
    </row>
    <row r="1886" spans="15:29" x14ac:dyDescent="0.25">
      <c r="O1886" s="42"/>
      <c r="R1886" s="42"/>
      <c r="AC1886" s="42"/>
    </row>
    <row r="1887" spans="15:29" x14ac:dyDescent="0.25">
      <c r="O1887" s="42"/>
      <c r="R1887" s="42"/>
      <c r="AC1887" s="42"/>
    </row>
    <row r="1888" spans="15:29" x14ac:dyDescent="0.25">
      <c r="O1888" s="42"/>
      <c r="R1888" s="42"/>
      <c r="AC1888" s="42"/>
    </row>
    <row r="1889" spans="15:29" x14ac:dyDescent="0.25">
      <c r="O1889" s="42"/>
      <c r="R1889" s="42"/>
      <c r="AC1889" s="42"/>
    </row>
    <row r="1890" spans="15:29" x14ac:dyDescent="0.25">
      <c r="O1890" s="42"/>
      <c r="R1890" s="42"/>
      <c r="AC1890" s="42"/>
    </row>
    <row r="1891" spans="15:29" x14ac:dyDescent="0.25">
      <c r="O1891" s="42"/>
      <c r="R1891" s="42"/>
      <c r="AC1891" s="42"/>
    </row>
    <row r="1892" spans="15:29" x14ac:dyDescent="0.25">
      <c r="O1892" s="42"/>
      <c r="R1892" s="42"/>
      <c r="AC1892" s="42"/>
    </row>
    <row r="1893" spans="15:29" x14ac:dyDescent="0.25">
      <c r="O1893" s="42"/>
      <c r="R1893" s="42"/>
      <c r="AC1893" s="42"/>
    </row>
    <row r="1894" spans="15:29" x14ac:dyDescent="0.25">
      <c r="O1894" s="42"/>
      <c r="R1894" s="42"/>
      <c r="AC1894" s="42"/>
    </row>
    <row r="1895" spans="15:29" x14ac:dyDescent="0.25">
      <c r="O1895" s="42"/>
      <c r="R1895" s="42"/>
      <c r="AC1895" s="42"/>
    </row>
    <row r="1896" spans="15:29" x14ac:dyDescent="0.25">
      <c r="O1896" s="42"/>
      <c r="R1896" s="42"/>
      <c r="AC1896" s="42"/>
    </row>
    <row r="1897" spans="15:29" x14ac:dyDescent="0.25">
      <c r="O1897" s="42"/>
      <c r="R1897" s="42"/>
      <c r="AC1897" s="42"/>
    </row>
    <row r="1898" spans="15:29" x14ac:dyDescent="0.25">
      <c r="O1898" s="42"/>
      <c r="R1898" s="42"/>
      <c r="AC1898" s="42"/>
    </row>
    <row r="1899" spans="15:29" x14ac:dyDescent="0.25">
      <c r="O1899" s="42"/>
      <c r="R1899" s="42"/>
      <c r="AC1899" s="42"/>
    </row>
    <row r="1900" spans="15:29" x14ac:dyDescent="0.25">
      <c r="O1900" s="42"/>
      <c r="R1900" s="42"/>
      <c r="AC1900" s="42"/>
    </row>
    <row r="1901" spans="15:29" x14ac:dyDescent="0.25">
      <c r="O1901" s="42"/>
      <c r="R1901" s="42"/>
      <c r="AC1901" s="42"/>
    </row>
    <row r="1902" spans="15:29" x14ac:dyDescent="0.25">
      <c r="O1902" s="42"/>
      <c r="R1902" s="42"/>
      <c r="AC1902" s="42"/>
    </row>
    <row r="1903" spans="15:29" x14ac:dyDescent="0.25">
      <c r="O1903" s="42"/>
      <c r="R1903" s="42"/>
      <c r="AC1903" s="42"/>
    </row>
    <row r="1904" spans="15:29" x14ac:dyDescent="0.25">
      <c r="O1904" s="42"/>
      <c r="R1904" s="42"/>
      <c r="AC1904" s="42"/>
    </row>
    <row r="1905" spans="15:29" x14ac:dyDescent="0.25">
      <c r="O1905" s="42"/>
      <c r="R1905" s="42"/>
      <c r="AC1905" s="42"/>
    </row>
    <row r="1906" spans="15:29" x14ac:dyDescent="0.25">
      <c r="O1906" s="42"/>
      <c r="R1906" s="42"/>
      <c r="AC1906" s="42"/>
    </row>
    <row r="1907" spans="15:29" x14ac:dyDescent="0.25">
      <c r="O1907" s="42"/>
      <c r="R1907" s="42"/>
      <c r="AC1907" s="42"/>
    </row>
    <row r="1908" spans="15:29" x14ac:dyDescent="0.25">
      <c r="O1908" s="42"/>
      <c r="R1908" s="42"/>
      <c r="AC1908" s="42"/>
    </row>
    <row r="1909" spans="15:29" x14ac:dyDescent="0.25">
      <c r="O1909" s="42"/>
      <c r="R1909" s="42"/>
      <c r="AC1909" s="42"/>
    </row>
    <row r="1910" spans="15:29" x14ac:dyDescent="0.25">
      <c r="O1910" s="42"/>
      <c r="R1910" s="42"/>
      <c r="AC1910" s="42"/>
    </row>
    <row r="1911" spans="15:29" x14ac:dyDescent="0.25">
      <c r="O1911" s="42"/>
      <c r="R1911" s="42"/>
      <c r="AC1911" s="42"/>
    </row>
    <row r="1912" spans="15:29" x14ac:dyDescent="0.25">
      <c r="O1912" s="42"/>
      <c r="R1912" s="42"/>
      <c r="AC1912" s="42"/>
    </row>
    <row r="1913" spans="15:29" x14ac:dyDescent="0.25">
      <c r="O1913" s="42"/>
      <c r="R1913" s="42"/>
      <c r="AC1913" s="42"/>
    </row>
    <row r="1914" spans="15:29" x14ac:dyDescent="0.25">
      <c r="O1914" s="42"/>
      <c r="R1914" s="42"/>
      <c r="AC1914" s="42"/>
    </row>
    <row r="1915" spans="15:29" x14ac:dyDescent="0.25">
      <c r="O1915" s="42"/>
      <c r="R1915" s="42"/>
      <c r="AC1915" s="42"/>
    </row>
    <row r="1916" spans="15:29" x14ac:dyDescent="0.25">
      <c r="O1916" s="42"/>
      <c r="R1916" s="42"/>
      <c r="AC1916" s="42"/>
    </row>
    <row r="1917" spans="15:29" x14ac:dyDescent="0.25">
      <c r="O1917" s="42"/>
      <c r="R1917" s="42"/>
      <c r="AC1917" s="42"/>
    </row>
    <row r="1918" spans="15:29" x14ac:dyDescent="0.25">
      <c r="O1918" s="42"/>
      <c r="R1918" s="42"/>
      <c r="AC1918" s="42"/>
    </row>
    <row r="1919" spans="15:29" x14ac:dyDescent="0.25">
      <c r="O1919" s="42"/>
      <c r="R1919" s="42"/>
      <c r="AC1919" s="42"/>
    </row>
    <row r="1920" spans="15:29" x14ac:dyDescent="0.25">
      <c r="O1920" s="42"/>
      <c r="R1920" s="42"/>
      <c r="AC1920" s="42"/>
    </row>
    <row r="1921" spans="15:29" x14ac:dyDescent="0.25">
      <c r="O1921" s="42"/>
      <c r="R1921" s="42"/>
      <c r="AC1921" s="42"/>
    </row>
    <row r="1922" spans="15:29" x14ac:dyDescent="0.25">
      <c r="O1922" s="42"/>
      <c r="R1922" s="42"/>
      <c r="AC1922" s="42"/>
    </row>
    <row r="1923" spans="15:29" x14ac:dyDescent="0.25">
      <c r="O1923" s="42"/>
      <c r="R1923" s="42"/>
      <c r="AC1923" s="42"/>
    </row>
    <row r="1924" spans="15:29" x14ac:dyDescent="0.25">
      <c r="O1924" s="42"/>
      <c r="R1924" s="42"/>
      <c r="AC1924" s="42"/>
    </row>
    <row r="1925" spans="15:29" x14ac:dyDescent="0.25">
      <c r="O1925" s="42"/>
      <c r="R1925" s="42"/>
      <c r="AC1925" s="42"/>
    </row>
    <row r="1926" spans="15:29" x14ac:dyDescent="0.25">
      <c r="O1926" s="42"/>
      <c r="R1926" s="42"/>
      <c r="AC1926" s="42"/>
    </row>
    <row r="1927" spans="15:29" x14ac:dyDescent="0.25">
      <c r="O1927" s="42"/>
      <c r="R1927" s="42"/>
      <c r="AC1927" s="42"/>
    </row>
    <row r="1928" spans="15:29" x14ac:dyDescent="0.25">
      <c r="O1928" s="42"/>
      <c r="R1928" s="42"/>
      <c r="AC1928" s="42"/>
    </row>
    <row r="1929" spans="15:29" x14ac:dyDescent="0.25">
      <c r="O1929" s="42"/>
      <c r="R1929" s="42"/>
      <c r="AC1929" s="42"/>
    </row>
    <row r="1930" spans="15:29" x14ac:dyDescent="0.25">
      <c r="O1930" s="42"/>
      <c r="R1930" s="42"/>
      <c r="AC1930" s="42"/>
    </row>
    <row r="1931" spans="15:29" x14ac:dyDescent="0.25">
      <c r="O1931" s="42"/>
      <c r="R1931" s="42"/>
      <c r="AC1931" s="42"/>
    </row>
    <row r="1932" spans="15:29" x14ac:dyDescent="0.25">
      <c r="O1932" s="42"/>
      <c r="R1932" s="42"/>
      <c r="AC1932" s="42"/>
    </row>
    <row r="1933" spans="15:29" x14ac:dyDescent="0.25">
      <c r="O1933" s="42"/>
      <c r="R1933" s="42"/>
      <c r="AC1933" s="42"/>
    </row>
    <row r="1934" spans="15:29" x14ac:dyDescent="0.25">
      <c r="O1934" s="42"/>
      <c r="R1934" s="42"/>
      <c r="AC1934" s="42"/>
    </row>
    <row r="1935" spans="15:29" x14ac:dyDescent="0.25">
      <c r="O1935" s="42"/>
      <c r="R1935" s="42"/>
      <c r="AC1935" s="42"/>
    </row>
    <row r="1936" spans="15:29" x14ac:dyDescent="0.25">
      <c r="O1936" s="42"/>
      <c r="R1936" s="42"/>
      <c r="AC1936" s="42"/>
    </row>
    <row r="1937" spans="15:29" x14ac:dyDescent="0.25">
      <c r="O1937" s="42"/>
      <c r="R1937" s="42"/>
      <c r="AC1937" s="42"/>
    </row>
    <row r="1938" spans="15:29" x14ac:dyDescent="0.25">
      <c r="O1938" s="42"/>
      <c r="R1938" s="42"/>
      <c r="AC1938" s="42"/>
    </row>
    <row r="1939" spans="15:29" x14ac:dyDescent="0.25">
      <c r="O1939" s="42"/>
      <c r="R1939" s="42"/>
      <c r="AC1939" s="42"/>
    </row>
    <row r="1940" spans="15:29" x14ac:dyDescent="0.25">
      <c r="O1940" s="42"/>
      <c r="R1940" s="42"/>
      <c r="AC1940" s="42"/>
    </row>
    <row r="1941" spans="15:29" x14ac:dyDescent="0.25">
      <c r="O1941" s="42"/>
      <c r="R1941" s="42"/>
      <c r="AC1941" s="42"/>
    </row>
    <row r="1942" spans="15:29" x14ac:dyDescent="0.25">
      <c r="O1942" s="42"/>
      <c r="R1942" s="42"/>
      <c r="AC1942" s="42"/>
    </row>
    <row r="1943" spans="15:29" x14ac:dyDescent="0.25">
      <c r="O1943" s="42"/>
      <c r="R1943" s="42"/>
      <c r="AC1943" s="42"/>
    </row>
    <row r="1944" spans="15:29" x14ac:dyDescent="0.25">
      <c r="O1944" s="42"/>
      <c r="R1944" s="42"/>
      <c r="AC1944" s="42"/>
    </row>
    <row r="1945" spans="15:29" x14ac:dyDescent="0.25">
      <c r="O1945" s="42"/>
      <c r="R1945" s="42"/>
      <c r="AC1945" s="42"/>
    </row>
    <row r="1946" spans="15:29" x14ac:dyDescent="0.25">
      <c r="O1946" s="42"/>
      <c r="R1946" s="42"/>
      <c r="AC1946" s="42"/>
    </row>
    <row r="1947" spans="15:29" x14ac:dyDescent="0.25">
      <c r="O1947" s="42"/>
      <c r="R1947" s="42"/>
      <c r="AC1947" s="42"/>
    </row>
    <row r="1948" spans="15:29" x14ac:dyDescent="0.25">
      <c r="O1948" s="42"/>
      <c r="R1948" s="42"/>
      <c r="AC1948" s="42"/>
    </row>
    <row r="1949" spans="15:29" x14ac:dyDescent="0.25">
      <c r="O1949" s="42"/>
      <c r="R1949" s="42"/>
      <c r="AC1949" s="42"/>
    </row>
    <row r="1950" spans="15:29" x14ac:dyDescent="0.25">
      <c r="O1950" s="42"/>
      <c r="R1950" s="42"/>
      <c r="AC1950" s="42"/>
    </row>
    <row r="1951" spans="15:29" x14ac:dyDescent="0.25">
      <c r="O1951" s="42"/>
      <c r="R1951" s="42"/>
      <c r="AC1951" s="42"/>
    </row>
    <row r="1952" spans="15:29" x14ac:dyDescent="0.25">
      <c r="O1952" s="42"/>
      <c r="R1952" s="42"/>
      <c r="AC1952" s="42"/>
    </row>
    <row r="1953" spans="15:29" x14ac:dyDescent="0.25">
      <c r="O1953" s="42"/>
      <c r="R1953" s="42"/>
      <c r="AC1953" s="42"/>
    </row>
    <row r="1954" spans="15:29" x14ac:dyDescent="0.25">
      <c r="O1954" s="42"/>
      <c r="R1954" s="42"/>
      <c r="AC1954" s="42"/>
    </row>
    <row r="1955" spans="15:29" x14ac:dyDescent="0.25">
      <c r="O1955" s="42"/>
      <c r="R1955" s="42"/>
      <c r="AC1955" s="42"/>
    </row>
    <row r="1956" spans="15:29" x14ac:dyDescent="0.25">
      <c r="O1956" s="42"/>
      <c r="R1956" s="42"/>
      <c r="AC1956" s="42"/>
    </row>
    <row r="1957" spans="15:29" x14ac:dyDescent="0.25">
      <c r="O1957" s="42"/>
      <c r="R1957" s="42"/>
      <c r="AC1957" s="42"/>
    </row>
    <row r="1958" spans="15:29" x14ac:dyDescent="0.25">
      <c r="O1958" s="42"/>
      <c r="R1958" s="42"/>
      <c r="AC1958" s="42"/>
    </row>
    <row r="1959" spans="15:29" x14ac:dyDescent="0.25">
      <c r="O1959" s="42"/>
      <c r="R1959" s="42"/>
      <c r="AC1959" s="42"/>
    </row>
    <row r="1960" spans="15:29" x14ac:dyDescent="0.25">
      <c r="O1960" s="42"/>
      <c r="R1960" s="42"/>
      <c r="AC1960" s="42"/>
    </row>
    <row r="1961" spans="15:29" x14ac:dyDescent="0.25">
      <c r="O1961" s="42"/>
      <c r="R1961" s="42"/>
      <c r="AC1961" s="42"/>
    </row>
    <row r="1962" spans="15:29" x14ac:dyDescent="0.25">
      <c r="O1962" s="42"/>
      <c r="R1962" s="42"/>
      <c r="AC1962" s="42"/>
    </row>
    <row r="1963" spans="15:29" x14ac:dyDescent="0.25">
      <c r="O1963" s="42"/>
      <c r="R1963" s="42"/>
      <c r="AC1963" s="42"/>
    </row>
    <row r="1964" spans="15:29" x14ac:dyDescent="0.25">
      <c r="O1964" s="42"/>
      <c r="R1964" s="42"/>
      <c r="AC1964" s="42"/>
    </row>
    <row r="1965" spans="15:29" x14ac:dyDescent="0.25">
      <c r="O1965" s="42"/>
      <c r="R1965" s="42"/>
      <c r="AC1965" s="42"/>
    </row>
    <row r="1966" spans="15:29" x14ac:dyDescent="0.25">
      <c r="O1966" s="42"/>
      <c r="R1966" s="42"/>
      <c r="AC1966" s="42"/>
    </row>
    <row r="1967" spans="15:29" x14ac:dyDescent="0.25">
      <c r="O1967" s="42"/>
      <c r="R1967" s="42"/>
      <c r="AC1967" s="42"/>
    </row>
    <row r="1968" spans="15:29" x14ac:dyDescent="0.25">
      <c r="O1968" s="42"/>
      <c r="R1968" s="42"/>
      <c r="AC1968" s="42"/>
    </row>
    <row r="1969" spans="15:29" x14ac:dyDescent="0.25">
      <c r="O1969" s="42"/>
      <c r="R1969" s="42"/>
      <c r="AC1969" s="42"/>
    </row>
    <row r="1970" spans="15:29" x14ac:dyDescent="0.25">
      <c r="O1970" s="42"/>
      <c r="R1970" s="42"/>
      <c r="AC1970" s="42"/>
    </row>
    <row r="1971" spans="15:29" x14ac:dyDescent="0.25">
      <c r="O1971" s="42"/>
      <c r="R1971" s="42"/>
      <c r="AC1971" s="42"/>
    </row>
    <row r="1972" spans="15:29" x14ac:dyDescent="0.25">
      <c r="O1972" s="42"/>
      <c r="R1972" s="42"/>
      <c r="AC1972" s="42"/>
    </row>
    <row r="1973" spans="15:29" x14ac:dyDescent="0.25">
      <c r="O1973" s="42"/>
      <c r="R1973" s="42"/>
      <c r="AC1973" s="42"/>
    </row>
    <row r="1974" spans="15:29" x14ac:dyDescent="0.25">
      <c r="O1974" s="42"/>
      <c r="R1974" s="42"/>
      <c r="AC1974" s="42"/>
    </row>
    <row r="1975" spans="15:29" x14ac:dyDescent="0.25">
      <c r="O1975" s="42"/>
      <c r="R1975" s="42"/>
      <c r="AC1975" s="42"/>
    </row>
    <row r="1976" spans="15:29" x14ac:dyDescent="0.25">
      <c r="O1976" s="42"/>
      <c r="R1976" s="42"/>
      <c r="AC1976" s="42"/>
    </row>
    <row r="1977" spans="15:29" x14ac:dyDescent="0.25">
      <c r="O1977" s="42"/>
      <c r="R1977" s="42"/>
      <c r="AC1977" s="42"/>
    </row>
    <row r="1978" spans="15:29" x14ac:dyDescent="0.25">
      <c r="O1978" s="42"/>
      <c r="R1978" s="42"/>
      <c r="AC1978" s="42"/>
    </row>
    <row r="1979" spans="15:29" x14ac:dyDescent="0.25">
      <c r="O1979" s="42"/>
      <c r="R1979" s="42"/>
      <c r="AC1979" s="42"/>
    </row>
    <row r="1980" spans="15:29" x14ac:dyDescent="0.25">
      <c r="O1980" s="42"/>
      <c r="R1980" s="42"/>
      <c r="AC1980" s="42"/>
    </row>
    <row r="1981" spans="15:29" x14ac:dyDescent="0.25">
      <c r="O1981" s="42"/>
      <c r="R1981" s="42"/>
      <c r="AC1981" s="42"/>
    </row>
    <row r="1982" spans="15:29" x14ac:dyDescent="0.25">
      <c r="O1982" s="42"/>
      <c r="R1982" s="42"/>
      <c r="AC1982" s="42"/>
    </row>
    <row r="1983" spans="15:29" x14ac:dyDescent="0.25">
      <c r="O1983" s="42"/>
      <c r="R1983" s="42"/>
      <c r="AC1983" s="42"/>
    </row>
    <row r="1984" spans="15:29" x14ac:dyDescent="0.25">
      <c r="O1984" s="42"/>
      <c r="R1984" s="42"/>
      <c r="AC1984" s="42"/>
    </row>
    <row r="1985" spans="15:29" x14ac:dyDescent="0.25">
      <c r="O1985" s="42"/>
      <c r="R1985" s="42"/>
      <c r="AC1985" s="42"/>
    </row>
    <row r="1986" spans="15:29" x14ac:dyDescent="0.25">
      <c r="O1986" s="42"/>
      <c r="R1986" s="42"/>
      <c r="AC1986" s="42"/>
    </row>
    <row r="1987" spans="15:29" x14ac:dyDescent="0.25">
      <c r="O1987" s="42"/>
      <c r="R1987" s="42"/>
      <c r="AC1987" s="42"/>
    </row>
    <row r="1988" spans="15:29" x14ac:dyDescent="0.25">
      <c r="O1988" s="42"/>
      <c r="R1988" s="42"/>
      <c r="AC1988" s="42"/>
    </row>
    <row r="1989" spans="15:29" x14ac:dyDescent="0.25">
      <c r="O1989" s="42"/>
      <c r="R1989" s="42"/>
      <c r="AC1989" s="42"/>
    </row>
    <row r="1990" spans="15:29" x14ac:dyDescent="0.25">
      <c r="O1990" s="42"/>
      <c r="R1990" s="42"/>
      <c r="AC1990" s="42"/>
    </row>
    <row r="1991" spans="15:29" x14ac:dyDescent="0.25">
      <c r="O1991" s="42"/>
      <c r="R1991" s="42"/>
      <c r="AC1991" s="42"/>
    </row>
    <row r="1992" spans="15:29" x14ac:dyDescent="0.25">
      <c r="O1992" s="42"/>
      <c r="R1992" s="42"/>
      <c r="AC1992" s="42"/>
    </row>
    <row r="1993" spans="15:29" x14ac:dyDescent="0.25">
      <c r="O1993" s="42"/>
      <c r="R1993" s="42"/>
      <c r="AC1993" s="42"/>
    </row>
    <row r="1994" spans="15:29" x14ac:dyDescent="0.25">
      <c r="O1994" s="42"/>
      <c r="R1994" s="42"/>
      <c r="AC1994" s="42"/>
    </row>
    <row r="1995" spans="15:29" x14ac:dyDescent="0.25">
      <c r="O1995" s="42"/>
      <c r="R1995" s="42"/>
      <c r="AC1995" s="42"/>
    </row>
    <row r="1996" spans="15:29" x14ac:dyDescent="0.25">
      <c r="O1996" s="42"/>
      <c r="R1996" s="42"/>
      <c r="AC1996" s="42"/>
    </row>
    <row r="1997" spans="15:29" x14ac:dyDescent="0.25">
      <c r="O1997" s="42"/>
      <c r="R1997" s="42"/>
      <c r="AC1997" s="42"/>
    </row>
    <row r="1998" spans="15:29" x14ac:dyDescent="0.25">
      <c r="O1998" s="42"/>
      <c r="R1998" s="42"/>
      <c r="AC1998" s="42"/>
    </row>
    <row r="1999" spans="15:29" x14ac:dyDescent="0.25">
      <c r="O1999" s="42"/>
      <c r="R1999" s="42"/>
      <c r="AC1999" s="42"/>
    </row>
    <row r="2000" spans="15:29" x14ac:dyDescent="0.25">
      <c r="O2000" s="42"/>
      <c r="R2000" s="42"/>
      <c r="AC2000" s="42"/>
    </row>
    <row r="2001" spans="15:29" x14ac:dyDescent="0.25">
      <c r="O2001" s="42"/>
      <c r="R2001" s="42"/>
      <c r="AC2001" s="42"/>
    </row>
    <row r="2002" spans="15:29" x14ac:dyDescent="0.25">
      <c r="O2002" s="42"/>
      <c r="R2002" s="42"/>
      <c r="AC2002" s="42"/>
    </row>
    <row r="2003" spans="15:29" x14ac:dyDescent="0.25">
      <c r="O2003" s="42"/>
      <c r="R2003" s="42"/>
      <c r="AC2003" s="42"/>
    </row>
    <row r="2004" spans="15:29" x14ac:dyDescent="0.25">
      <c r="O2004" s="42"/>
      <c r="R2004" s="42"/>
      <c r="AC2004" s="42"/>
    </row>
    <row r="2005" spans="15:29" x14ac:dyDescent="0.25">
      <c r="O2005" s="42"/>
      <c r="R2005" s="42"/>
      <c r="AC2005" s="42"/>
    </row>
    <row r="2006" spans="15:29" x14ac:dyDescent="0.25">
      <c r="O2006" s="42"/>
      <c r="R2006" s="42"/>
      <c r="AC2006" s="42"/>
    </row>
    <row r="2007" spans="15:29" x14ac:dyDescent="0.25">
      <c r="O2007" s="42"/>
      <c r="R2007" s="42"/>
      <c r="AC2007" s="42"/>
    </row>
    <row r="2008" spans="15:29" x14ac:dyDescent="0.25">
      <c r="O2008" s="42"/>
      <c r="R2008" s="42"/>
      <c r="AC2008" s="42"/>
    </row>
    <row r="2009" spans="15:29" x14ac:dyDescent="0.25">
      <c r="O2009" s="42"/>
      <c r="R2009" s="42"/>
      <c r="AC2009" s="42"/>
    </row>
    <row r="2010" spans="15:29" x14ac:dyDescent="0.25">
      <c r="O2010" s="42"/>
      <c r="R2010" s="42"/>
      <c r="AC2010" s="42"/>
    </row>
    <row r="2011" spans="15:29" x14ac:dyDescent="0.25">
      <c r="O2011" s="42"/>
      <c r="R2011" s="42"/>
      <c r="AC2011" s="42"/>
    </row>
    <row r="2012" spans="15:29" x14ac:dyDescent="0.25">
      <c r="O2012" s="42"/>
      <c r="R2012" s="42"/>
      <c r="AC2012" s="42"/>
    </row>
    <row r="2013" spans="15:29" x14ac:dyDescent="0.25">
      <c r="O2013" s="42"/>
      <c r="R2013" s="42"/>
      <c r="AC2013" s="42"/>
    </row>
    <row r="2014" spans="15:29" x14ac:dyDescent="0.25">
      <c r="O2014" s="42"/>
      <c r="R2014" s="42"/>
      <c r="AC2014" s="42"/>
    </row>
    <row r="2015" spans="15:29" x14ac:dyDescent="0.25">
      <c r="O2015" s="42"/>
      <c r="R2015" s="42"/>
      <c r="AC2015" s="42"/>
    </row>
    <row r="2016" spans="15:29" x14ac:dyDescent="0.25">
      <c r="O2016" s="42"/>
      <c r="R2016" s="42"/>
      <c r="AC2016" s="42"/>
    </row>
    <row r="2017" spans="15:29" x14ac:dyDescent="0.25">
      <c r="O2017" s="42"/>
      <c r="R2017" s="42"/>
      <c r="AC2017" s="42"/>
    </row>
    <row r="2018" spans="15:29" x14ac:dyDescent="0.25">
      <c r="O2018" s="42"/>
      <c r="R2018" s="42"/>
      <c r="AC2018" s="42"/>
    </row>
    <row r="2019" spans="15:29" x14ac:dyDescent="0.25">
      <c r="O2019" s="42"/>
      <c r="R2019" s="42"/>
      <c r="AC2019" s="42"/>
    </row>
    <row r="2020" spans="15:29" x14ac:dyDescent="0.25">
      <c r="O2020" s="42"/>
      <c r="R2020" s="42"/>
      <c r="AC2020" s="42"/>
    </row>
    <row r="2021" spans="15:29" x14ac:dyDescent="0.25">
      <c r="O2021" s="42"/>
      <c r="R2021" s="42"/>
      <c r="AC2021" s="42"/>
    </row>
    <row r="2022" spans="15:29" x14ac:dyDescent="0.25">
      <c r="O2022" s="42"/>
      <c r="R2022" s="42"/>
      <c r="AC2022" s="42"/>
    </row>
    <row r="2023" spans="15:29" x14ac:dyDescent="0.25">
      <c r="O2023" s="42"/>
      <c r="R2023" s="42"/>
      <c r="AC2023" s="42"/>
    </row>
    <row r="2024" spans="15:29" x14ac:dyDescent="0.25">
      <c r="O2024" s="42"/>
      <c r="R2024" s="42"/>
      <c r="AC2024" s="42"/>
    </row>
    <row r="2025" spans="15:29" x14ac:dyDescent="0.25">
      <c r="O2025" s="42"/>
      <c r="R2025" s="42"/>
      <c r="AC2025" s="42"/>
    </row>
    <row r="2026" spans="15:29" x14ac:dyDescent="0.25">
      <c r="O2026" s="42"/>
      <c r="R2026" s="42"/>
      <c r="AC2026" s="42"/>
    </row>
    <row r="2027" spans="15:29" x14ac:dyDescent="0.25">
      <c r="O2027" s="42"/>
      <c r="R2027" s="42"/>
      <c r="AC2027" s="42"/>
    </row>
    <row r="2028" spans="15:29" x14ac:dyDescent="0.25">
      <c r="O2028" s="42"/>
      <c r="R2028" s="42"/>
      <c r="AC2028" s="42"/>
    </row>
    <row r="2029" spans="15:29" x14ac:dyDescent="0.25">
      <c r="O2029" s="42"/>
      <c r="R2029" s="42"/>
      <c r="AC2029" s="42"/>
    </row>
    <row r="2030" spans="15:29" x14ac:dyDescent="0.25">
      <c r="O2030" s="42"/>
      <c r="R2030" s="42"/>
      <c r="AC2030" s="42"/>
    </row>
    <row r="2031" spans="15:29" x14ac:dyDescent="0.25">
      <c r="O2031" s="42"/>
      <c r="R2031" s="42"/>
      <c r="AC2031" s="42"/>
    </row>
    <row r="2032" spans="15:29" x14ac:dyDescent="0.25">
      <c r="O2032" s="42"/>
      <c r="R2032" s="42"/>
      <c r="AC2032" s="42"/>
    </row>
    <row r="2033" spans="15:29" x14ac:dyDescent="0.25">
      <c r="O2033" s="42"/>
      <c r="R2033" s="42"/>
      <c r="AC2033" s="42"/>
    </row>
    <row r="2034" spans="15:29" x14ac:dyDescent="0.25">
      <c r="O2034" s="42"/>
      <c r="R2034" s="42"/>
      <c r="AC2034" s="42"/>
    </row>
    <row r="2035" spans="15:29" x14ac:dyDescent="0.25">
      <c r="O2035" s="42"/>
      <c r="R2035" s="42"/>
      <c r="AC2035" s="42"/>
    </row>
    <row r="2036" spans="15:29" x14ac:dyDescent="0.25">
      <c r="O2036" s="42"/>
      <c r="R2036" s="42"/>
      <c r="AC2036" s="42"/>
    </row>
    <row r="2037" spans="15:29" x14ac:dyDescent="0.25">
      <c r="O2037" s="42"/>
      <c r="R2037" s="42"/>
      <c r="AC2037" s="42"/>
    </row>
    <row r="2038" spans="15:29" x14ac:dyDescent="0.25">
      <c r="O2038" s="42"/>
      <c r="R2038" s="42"/>
      <c r="AC2038" s="42"/>
    </row>
    <row r="2039" spans="15:29" x14ac:dyDescent="0.25">
      <c r="O2039" s="42"/>
      <c r="R2039" s="42"/>
      <c r="AC2039" s="42"/>
    </row>
    <row r="2040" spans="15:29" x14ac:dyDescent="0.25">
      <c r="O2040" s="42"/>
      <c r="R2040" s="42"/>
      <c r="AC2040" s="42"/>
    </row>
    <row r="2041" spans="15:29" x14ac:dyDescent="0.25">
      <c r="O2041" s="42"/>
      <c r="R2041" s="42"/>
      <c r="AC2041" s="42"/>
    </row>
    <row r="2042" spans="15:29" x14ac:dyDescent="0.25">
      <c r="O2042" s="42"/>
      <c r="R2042" s="42"/>
      <c r="AC2042" s="42"/>
    </row>
    <row r="2043" spans="15:29" x14ac:dyDescent="0.25">
      <c r="O2043" s="42"/>
      <c r="R2043" s="42"/>
      <c r="AC2043" s="42"/>
    </row>
    <row r="2044" spans="15:29" x14ac:dyDescent="0.25">
      <c r="O2044" s="42"/>
      <c r="R2044" s="42"/>
      <c r="AC2044" s="42"/>
    </row>
    <row r="2045" spans="15:29" x14ac:dyDescent="0.25">
      <c r="O2045" s="42"/>
      <c r="R2045" s="42"/>
      <c r="AC2045" s="42"/>
    </row>
    <row r="2046" spans="15:29" x14ac:dyDescent="0.25">
      <c r="O2046" s="42"/>
      <c r="R2046" s="42"/>
      <c r="AC2046" s="42"/>
    </row>
    <row r="2047" spans="15:29" x14ac:dyDescent="0.25">
      <c r="O2047" s="42"/>
      <c r="R2047" s="42"/>
      <c r="AC2047" s="42"/>
    </row>
    <row r="2048" spans="15:29" x14ac:dyDescent="0.25">
      <c r="O2048" s="42"/>
      <c r="R2048" s="42"/>
      <c r="AC2048" s="42"/>
    </row>
    <row r="2049" spans="15:29" x14ac:dyDescent="0.25">
      <c r="O2049" s="42"/>
      <c r="R2049" s="42"/>
      <c r="AC2049" s="42"/>
    </row>
    <row r="2050" spans="15:29" x14ac:dyDescent="0.25">
      <c r="O2050" s="42"/>
      <c r="R2050" s="42"/>
      <c r="AC2050" s="42"/>
    </row>
    <row r="2051" spans="15:29" x14ac:dyDescent="0.25">
      <c r="O2051" s="42"/>
      <c r="R2051" s="42"/>
      <c r="AC2051" s="42"/>
    </row>
    <row r="2052" spans="15:29" x14ac:dyDescent="0.25">
      <c r="O2052" s="42"/>
      <c r="R2052" s="42"/>
      <c r="AC2052" s="42"/>
    </row>
    <row r="2053" spans="15:29" x14ac:dyDescent="0.25">
      <c r="O2053" s="42"/>
      <c r="R2053" s="42"/>
      <c r="AC2053" s="42"/>
    </row>
    <row r="2054" spans="15:29" x14ac:dyDescent="0.25">
      <c r="O2054" s="42"/>
      <c r="R2054" s="42"/>
      <c r="AC2054" s="42"/>
    </row>
    <row r="2055" spans="15:29" x14ac:dyDescent="0.25">
      <c r="O2055" s="42"/>
      <c r="R2055" s="42"/>
      <c r="AC2055" s="42"/>
    </row>
    <row r="2056" spans="15:29" x14ac:dyDescent="0.25">
      <c r="O2056" s="42"/>
      <c r="R2056" s="42"/>
      <c r="AC2056" s="42"/>
    </row>
    <row r="2057" spans="15:29" x14ac:dyDescent="0.25">
      <c r="O2057" s="42"/>
      <c r="R2057" s="42"/>
      <c r="AC2057" s="42"/>
    </row>
    <row r="2058" spans="15:29" x14ac:dyDescent="0.25">
      <c r="O2058" s="42"/>
      <c r="R2058" s="42"/>
      <c r="AC2058" s="42"/>
    </row>
    <row r="2059" spans="15:29" x14ac:dyDescent="0.25">
      <c r="O2059" s="42"/>
      <c r="R2059" s="42"/>
      <c r="AC2059" s="42"/>
    </row>
    <row r="2060" spans="15:29" x14ac:dyDescent="0.25">
      <c r="O2060" s="42"/>
      <c r="R2060" s="42"/>
      <c r="AC2060" s="42"/>
    </row>
    <row r="2061" spans="15:29" x14ac:dyDescent="0.25">
      <c r="O2061" s="42"/>
      <c r="R2061" s="42"/>
      <c r="AC2061" s="42"/>
    </row>
    <row r="2062" spans="15:29" x14ac:dyDescent="0.25">
      <c r="O2062" s="42"/>
      <c r="R2062" s="42"/>
      <c r="AC2062" s="42"/>
    </row>
    <row r="2063" spans="15:29" x14ac:dyDescent="0.25">
      <c r="O2063" s="42"/>
      <c r="R2063" s="42"/>
      <c r="AC2063" s="42"/>
    </row>
    <row r="2064" spans="15:29" x14ac:dyDescent="0.25">
      <c r="O2064" s="42"/>
      <c r="R2064" s="42"/>
      <c r="AC2064" s="42"/>
    </row>
    <row r="2065" spans="15:29" x14ac:dyDescent="0.25">
      <c r="O2065" s="42"/>
      <c r="R2065" s="42"/>
      <c r="AC2065" s="42"/>
    </row>
    <row r="2066" spans="15:29" x14ac:dyDescent="0.25">
      <c r="O2066" s="42"/>
      <c r="R2066" s="42"/>
      <c r="AC2066" s="42"/>
    </row>
    <row r="2067" spans="15:29" x14ac:dyDescent="0.25">
      <c r="O2067" s="42"/>
      <c r="R2067" s="42"/>
      <c r="AC2067" s="42"/>
    </row>
    <row r="2068" spans="15:29" x14ac:dyDescent="0.25">
      <c r="O2068" s="42"/>
      <c r="R2068" s="42"/>
      <c r="AC2068" s="42"/>
    </row>
    <row r="2069" spans="15:29" x14ac:dyDescent="0.25">
      <c r="O2069" s="42"/>
      <c r="R2069" s="42"/>
      <c r="AC2069" s="42"/>
    </row>
    <row r="2070" spans="15:29" x14ac:dyDescent="0.25">
      <c r="O2070" s="42"/>
      <c r="R2070" s="42"/>
      <c r="AC2070" s="42"/>
    </row>
    <row r="2071" spans="15:29" x14ac:dyDescent="0.25">
      <c r="O2071" s="42"/>
      <c r="R2071" s="42"/>
      <c r="AC2071" s="42"/>
    </row>
    <row r="2072" spans="15:29" x14ac:dyDescent="0.25">
      <c r="O2072" s="42"/>
      <c r="R2072" s="42"/>
      <c r="AC2072" s="42"/>
    </row>
    <row r="2073" spans="15:29" x14ac:dyDescent="0.25">
      <c r="O2073" s="42"/>
      <c r="R2073" s="42"/>
      <c r="AC2073" s="42"/>
    </row>
    <row r="2074" spans="15:29" x14ac:dyDescent="0.25">
      <c r="O2074" s="42"/>
      <c r="R2074" s="42"/>
      <c r="AC2074" s="42"/>
    </row>
    <row r="2075" spans="15:29" x14ac:dyDescent="0.25">
      <c r="O2075" s="42"/>
      <c r="R2075" s="42"/>
      <c r="AC2075" s="42"/>
    </row>
    <row r="2076" spans="15:29" x14ac:dyDescent="0.25">
      <c r="O2076" s="42"/>
      <c r="R2076" s="42"/>
      <c r="AC2076" s="42"/>
    </row>
    <row r="2077" spans="15:29" x14ac:dyDescent="0.25">
      <c r="O2077" s="42"/>
      <c r="R2077" s="42"/>
      <c r="AC2077" s="42"/>
    </row>
    <row r="2078" spans="15:29" x14ac:dyDescent="0.25">
      <c r="O2078" s="42"/>
      <c r="R2078" s="42"/>
      <c r="AC2078" s="42"/>
    </row>
    <row r="2079" spans="15:29" x14ac:dyDescent="0.25">
      <c r="O2079" s="42"/>
      <c r="R2079" s="42"/>
      <c r="AC2079" s="42"/>
    </row>
    <row r="2080" spans="15:29" x14ac:dyDescent="0.25">
      <c r="O2080" s="42"/>
      <c r="R2080" s="42"/>
      <c r="AC2080" s="42"/>
    </row>
    <row r="2081" spans="15:29" x14ac:dyDescent="0.25">
      <c r="O2081" s="42"/>
      <c r="R2081" s="42"/>
      <c r="AC2081" s="42"/>
    </row>
    <row r="2082" spans="15:29" x14ac:dyDescent="0.25">
      <c r="O2082" s="42"/>
      <c r="R2082" s="42"/>
      <c r="AC2082" s="42"/>
    </row>
    <row r="2083" spans="15:29" x14ac:dyDescent="0.25">
      <c r="O2083" s="42"/>
      <c r="R2083" s="42"/>
      <c r="AC2083" s="42"/>
    </row>
    <row r="2084" spans="15:29" x14ac:dyDescent="0.25">
      <c r="O2084" s="42"/>
      <c r="R2084" s="42"/>
      <c r="AC2084" s="42"/>
    </row>
    <row r="2085" spans="15:29" x14ac:dyDescent="0.25">
      <c r="O2085" s="42"/>
      <c r="R2085" s="42"/>
      <c r="AC2085" s="42"/>
    </row>
    <row r="2086" spans="15:29" x14ac:dyDescent="0.25">
      <c r="O2086" s="42"/>
      <c r="R2086" s="42"/>
      <c r="AC2086" s="42"/>
    </row>
    <row r="2087" spans="15:29" x14ac:dyDescent="0.25">
      <c r="O2087" s="42"/>
      <c r="R2087" s="42"/>
      <c r="AC2087" s="42"/>
    </row>
    <row r="2088" spans="15:29" x14ac:dyDescent="0.25">
      <c r="O2088" s="42"/>
      <c r="R2088" s="42"/>
      <c r="AC2088" s="42"/>
    </row>
    <row r="2089" spans="15:29" x14ac:dyDescent="0.25">
      <c r="O2089" s="42"/>
      <c r="R2089" s="42"/>
      <c r="AC2089" s="42"/>
    </row>
    <row r="2090" spans="15:29" x14ac:dyDescent="0.25">
      <c r="O2090" s="42"/>
      <c r="R2090" s="42"/>
      <c r="AC2090" s="42"/>
    </row>
    <row r="2091" spans="15:29" x14ac:dyDescent="0.25">
      <c r="O2091" s="42"/>
      <c r="R2091" s="42"/>
      <c r="AC2091" s="42"/>
    </row>
    <row r="2092" spans="15:29" x14ac:dyDescent="0.25">
      <c r="O2092" s="42"/>
      <c r="R2092" s="42"/>
      <c r="AC2092" s="42"/>
    </row>
    <row r="2093" spans="15:29" x14ac:dyDescent="0.25">
      <c r="O2093" s="42"/>
      <c r="R2093" s="42"/>
      <c r="AC2093" s="42"/>
    </row>
    <row r="2094" spans="15:29" x14ac:dyDescent="0.25">
      <c r="O2094" s="42"/>
      <c r="R2094" s="42"/>
      <c r="AC2094" s="42"/>
    </row>
    <row r="2095" spans="15:29" x14ac:dyDescent="0.25">
      <c r="O2095" s="42"/>
      <c r="R2095" s="42"/>
      <c r="AC2095" s="42"/>
    </row>
    <row r="2096" spans="15:29" x14ac:dyDescent="0.25">
      <c r="O2096" s="42"/>
      <c r="R2096" s="42"/>
      <c r="AC2096" s="42"/>
    </row>
    <row r="2097" spans="15:29" x14ac:dyDescent="0.25">
      <c r="O2097" s="42"/>
      <c r="R2097" s="42"/>
      <c r="AC2097" s="42"/>
    </row>
    <row r="2098" spans="15:29" x14ac:dyDescent="0.25">
      <c r="O2098" s="42"/>
      <c r="R2098" s="42"/>
      <c r="AC2098" s="42"/>
    </row>
    <row r="2099" spans="15:29" x14ac:dyDescent="0.25">
      <c r="O2099" s="42"/>
      <c r="R2099" s="42"/>
      <c r="AC2099" s="42"/>
    </row>
    <row r="2100" spans="15:29" x14ac:dyDescent="0.25">
      <c r="O2100" s="42"/>
      <c r="R2100" s="42"/>
      <c r="AC2100" s="42"/>
    </row>
    <row r="2101" spans="15:29" x14ac:dyDescent="0.25">
      <c r="O2101" s="42"/>
      <c r="R2101" s="42"/>
      <c r="AC2101" s="42"/>
    </row>
    <row r="2102" spans="15:29" x14ac:dyDescent="0.25">
      <c r="O2102" s="42"/>
      <c r="R2102" s="42"/>
      <c r="AC2102" s="42"/>
    </row>
    <row r="2103" spans="15:29" x14ac:dyDescent="0.25">
      <c r="O2103" s="42"/>
      <c r="R2103" s="42"/>
      <c r="AC2103" s="42"/>
    </row>
    <row r="2104" spans="15:29" x14ac:dyDescent="0.25">
      <c r="O2104" s="42"/>
      <c r="R2104" s="42"/>
      <c r="AC2104" s="42"/>
    </row>
    <row r="2105" spans="15:29" x14ac:dyDescent="0.25">
      <c r="O2105" s="42"/>
      <c r="R2105" s="42"/>
      <c r="AC2105" s="42"/>
    </row>
    <row r="2106" spans="15:29" x14ac:dyDescent="0.25">
      <c r="O2106" s="42"/>
      <c r="R2106" s="42"/>
      <c r="AC2106" s="42"/>
    </row>
    <row r="2107" spans="15:29" x14ac:dyDescent="0.25">
      <c r="O2107" s="42"/>
      <c r="R2107" s="42"/>
      <c r="AC2107" s="42"/>
    </row>
    <row r="2108" spans="15:29" x14ac:dyDescent="0.25">
      <c r="O2108" s="42"/>
      <c r="R2108" s="42"/>
      <c r="AC2108" s="42"/>
    </row>
    <row r="2109" spans="15:29" x14ac:dyDescent="0.25">
      <c r="O2109" s="42"/>
      <c r="R2109" s="42"/>
      <c r="AC2109" s="42"/>
    </row>
    <row r="2110" spans="15:29" x14ac:dyDescent="0.25">
      <c r="O2110" s="42"/>
      <c r="R2110" s="42"/>
      <c r="AC2110" s="42"/>
    </row>
    <row r="2111" spans="15:29" x14ac:dyDescent="0.25">
      <c r="O2111" s="42"/>
      <c r="R2111" s="42"/>
      <c r="AC2111" s="42"/>
    </row>
    <row r="2112" spans="15:29" x14ac:dyDescent="0.25">
      <c r="O2112" s="42"/>
      <c r="R2112" s="42"/>
      <c r="AC2112" s="42"/>
    </row>
    <row r="2113" spans="15:29" x14ac:dyDescent="0.25">
      <c r="O2113" s="42"/>
      <c r="R2113" s="42"/>
      <c r="AC2113" s="42"/>
    </row>
    <row r="2114" spans="15:29" x14ac:dyDescent="0.25">
      <c r="O2114" s="42"/>
      <c r="R2114" s="42"/>
      <c r="AC2114" s="42"/>
    </row>
    <row r="2115" spans="15:29" x14ac:dyDescent="0.25">
      <c r="O2115" s="42"/>
      <c r="R2115" s="42"/>
      <c r="AC2115" s="42"/>
    </row>
    <row r="2116" spans="15:29" x14ac:dyDescent="0.25">
      <c r="O2116" s="42"/>
      <c r="R2116" s="42"/>
      <c r="AC2116" s="42"/>
    </row>
    <row r="2117" spans="15:29" x14ac:dyDescent="0.25">
      <c r="O2117" s="42"/>
      <c r="R2117" s="42"/>
      <c r="AC2117" s="42"/>
    </row>
    <row r="2118" spans="15:29" x14ac:dyDescent="0.25">
      <c r="O2118" s="42"/>
      <c r="R2118" s="42"/>
      <c r="AC2118" s="42"/>
    </row>
    <row r="2119" spans="15:29" x14ac:dyDescent="0.25">
      <c r="O2119" s="42"/>
      <c r="R2119" s="42"/>
      <c r="AC2119" s="42"/>
    </row>
    <row r="2120" spans="15:29" x14ac:dyDescent="0.25">
      <c r="O2120" s="42"/>
      <c r="R2120" s="42"/>
      <c r="AC2120" s="42"/>
    </row>
    <row r="2121" spans="15:29" x14ac:dyDescent="0.25">
      <c r="O2121" s="42"/>
      <c r="R2121" s="42"/>
      <c r="AC2121" s="42"/>
    </row>
    <row r="2122" spans="15:29" x14ac:dyDescent="0.25">
      <c r="O2122" s="42"/>
      <c r="R2122" s="42"/>
      <c r="AC2122" s="42"/>
    </row>
    <row r="2123" spans="15:29" x14ac:dyDescent="0.25">
      <c r="O2123" s="42"/>
      <c r="R2123" s="42"/>
      <c r="AC2123" s="42"/>
    </row>
    <row r="2124" spans="15:29" x14ac:dyDescent="0.25">
      <c r="O2124" s="42"/>
      <c r="R2124" s="42"/>
      <c r="AC2124" s="42"/>
    </row>
    <row r="2125" spans="15:29" x14ac:dyDescent="0.25">
      <c r="O2125" s="42"/>
      <c r="R2125" s="42"/>
      <c r="AC2125" s="42"/>
    </row>
    <row r="2126" spans="15:29" x14ac:dyDescent="0.25">
      <c r="O2126" s="42"/>
      <c r="R2126" s="42"/>
      <c r="AC2126" s="42"/>
    </row>
    <row r="2127" spans="15:29" x14ac:dyDescent="0.25">
      <c r="O2127" s="42"/>
      <c r="R2127" s="42"/>
      <c r="AC2127" s="42"/>
    </row>
    <row r="2128" spans="15:29" x14ac:dyDescent="0.25">
      <c r="O2128" s="42"/>
      <c r="R2128" s="42"/>
      <c r="AC2128" s="42"/>
    </row>
    <row r="2129" spans="15:29" x14ac:dyDescent="0.25">
      <c r="O2129" s="42"/>
      <c r="R2129" s="42"/>
      <c r="AC2129" s="42"/>
    </row>
    <row r="2130" spans="15:29" x14ac:dyDescent="0.25">
      <c r="O2130" s="42"/>
      <c r="R2130" s="42"/>
      <c r="AC2130" s="42"/>
    </row>
    <row r="2131" spans="15:29" x14ac:dyDescent="0.25">
      <c r="O2131" s="42"/>
      <c r="R2131" s="42"/>
      <c r="AC2131" s="42"/>
    </row>
    <row r="2132" spans="15:29" x14ac:dyDescent="0.25">
      <c r="O2132" s="42"/>
      <c r="R2132" s="42"/>
      <c r="AC2132" s="42"/>
    </row>
    <row r="2133" spans="15:29" x14ac:dyDescent="0.25">
      <c r="O2133" s="42"/>
      <c r="R2133" s="42"/>
      <c r="AC2133" s="42"/>
    </row>
    <row r="2134" spans="15:29" x14ac:dyDescent="0.25">
      <c r="O2134" s="42"/>
      <c r="R2134" s="42"/>
      <c r="AC2134" s="42"/>
    </row>
    <row r="2135" spans="15:29" x14ac:dyDescent="0.25">
      <c r="O2135" s="42"/>
      <c r="R2135" s="42"/>
      <c r="AC2135" s="42"/>
    </row>
    <row r="2136" spans="15:29" x14ac:dyDescent="0.25">
      <c r="O2136" s="42"/>
      <c r="R2136" s="42"/>
      <c r="AC2136" s="42"/>
    </row>
    <row r="2137" spans="15:29" x14ac:dyDescent="0.25">
      <c r="O2137" s="42"/>
      <c r="R2137" s="42"/>
      <c r="AC2137" s="42"/>
    </row>
    <row r="2138" spans="15:29" x14ac:dyDescent="0.25">
      <c r="O2138" s="42"/>
      <c r="R2138" s="42"/>
      <c r="AC2138" s="42"/>
    </row>
    <row r="2139" spans="15:29" x14ac:dyDescent="0.25">
      <c r="O2139" s="42"/>
      <c r="R2139" s="42"/>
      <c r="AC2139" s="42"/>
    </row>
    <row r="2140" spans="15:29" x14ac:dyDescent="0.25">
      <c r="O2140" s="42"/>
      <c r="R2140" s="42"/>
      <c r="AC2140" s="42"/>
    </row>
    <row r="2141" spans="15:29" x14ac:dyDescent="0.25">
      <c r="O2141" s="42"/>
      <c r="R2141" s="42"/>
      <c r="AC2141" s="42"/>
    </row>
    <row r="2142" spans="15:29" x14ac:dyDescent="0.25">
      <c r="O2142" s="42"/>
      <c r="R2142" s="42"/>
      <c r="AC2142" s="42"/>
    </row>
    <row r="2143" spans="15:29" x14ac:dyDescent="0.25">
      <c r="O2143" s="42"/>
      <c r="R2143" s="42"/>
      <c r="AC2143" s="42"/>
    </row>
    <row r="2144" spans="15:29" x14ac:dyDescent="0.25">
      <c r="O2144" s="42"/>
      <c r="R2144" s="42"/>
      <c r="AC2144" s="42"/>
    </row>
    <row r="2145" spans="15:29" x14ac:dyDescent="0.25">
      <c r="O2145" s="42"/>
      <c r="R2145" s="42"/>
      <c r="AC2145" s="42"/>
    </row>
    <row r="2146" spans="15:29" x14ac:dyDescent="0.25">
      <c r="O2146" s="42"/>
      <c r="R2146" s="42"/>
      <c r="AC2146" s="42"/>
    </row>
    <row r="2147" spans="15:29" x14ac:dyDescent="0.25">
      <c r="O2147" s="42"/>
      <c r="R2147" s="42"/>
      <c r="AC2147" s="42"/>
    </row>
    <row r="2148" spans="15:29" x14ac:dyDescent="0.25">
      <c r="O2148" s="42"/>
      <c r="R2148" s="42"/>
      <c r="AC2148" s="42"/>
    </row>
    <row r="2149" spans="15:29" x14ac:dyDescent="0.25">
      <c r="O2149" s="42"/>
      <c r="R2149" s="42"/>
      <c r="AC2149" s="42"/>
    </row>
    <row r="2150" spans="15:29" x14ac:dyDescent="0.25">
      <c r="O2150" s="42"/>
      <c r="R2150" s="42"/>
      <c r="AC2150" s="42"/>
    </row>
    <row r="2151" spans="15:29" x14ac:dyDescent="0.25">
      <c r="O2151" s="42"/>
      <c r="R2151" s="42"/>
      <c r="AC2151" s="42"/>
    </row>
    <row r="2152" spans="15:29" x14ac:dyDescent="0.25">
      <c r="O2152" s="42"/>
      <c r="R2152" s="42"/>
      <c r="AC2152" s="42"/>
    </row>
    <row r="2153" spans="15:29" x14ac:dyDescent="0.25">
      <c r="O2153" s="42"/>
      <c r="R2153" s="42"/>
      <c r="AC2153" s="42"/>
    </row>
    <row r="2154" spans="15:29" x14ac:dyDescent="0.25">
      <c r="O2154" s="42"/>
      <c r="R2154" s="42"/>
      <c r="AC2154" s="42"/>
    </row>
    <row r="2155" spans="15:29" x14ac:dyDescent="0.25">
      <c r="O2155" s="42"/>
      <c r="R2155" s="42"/>
      <c r="AC2155" s="42"/>
    </row>
    <row r="2156" spans="15:29" x14ac:dyDescent="0.25">
      <c r="O2156" s="42"/>
      <c r="R2156" s="42"/>
      <c r="AC2156" s="42"/>
    </row>
    <row r="2157" spans="15:29" x14ac:dyDescent="0.25">
      <c r="O2157" s="42"/>
      <c r="R2157" s="42"/>
      <c r="AC2157" s="42"/>
    </row>
    <row r="2158" spans="15:29" x14ac:dyDescent="0.25">
      <c r="O2158" s="42"/>
      <c r="R2158" s="42"/>
      <c r="AC2158" s="42"/>
    </row>
    <row r="2159" spans="15:29" x14ac:dyDescent="0.25">
      <c r="O2159" s="42"/>
      <c r="R2159" s="42"/>
      <c r="AC2159" s="42"/>
    </row>
    <row r="2160" spans="15:29" x14ac:dyDescent="0.25">
      <c r="O2160" s="42"/>
      <c r="R2160" s="42"/>
      <c r="AC2160" s="42"/>
    </row>
    <row r="2161" spans="15:29" x14ac:dyDescent="0.25">
      <c r="O2161" s="42"/>
      <c r="R2161" s="42"/>
      <c r="AC2161" s="42"/>
    </row>
    <row r="2162" spans="15:29" x14ac:dyDescent="0.25">
      <c r="O2162" s="42"/>
      <c r="R2162" s="42"/>
      <c r="AC2162" s="42"/>
    </row>
    <row r="2163" spans="15:29" x14ac:dyDescent="0.25">
      <c r="O2163" s="42"/>
      <c r="R2163" s="42"/>
      <c r="AC2163" s="42"/>
    </row>
    <row r="2164" spans="15:29" x14ac:dyDescent="0.25">
      <c r="O2164" s="42"/>
      <c r="R2164" s="42"/>
      <c r="AC2164" s="42"/>
    </row>
    <row r="2165" spans="15:29" x14ac:dyDescent="0.25">
      <c r="O2165" s="42"/>
      <c r="R2165" s="42"/>
      <c r="AC2165" s="42"/>
    </row>
    <row r="2166" spans="15:29" x14ac:dyDescent="0.25">
      <c r="O2166" s="42"/>
      <c r="R2166" s="42"/>
      <c r="AC2166" s="42"/>
    </row>
    <row r="2167" spans="15:29" x14ac:dyDescent="0.25">
      <c r="O2167" s="42"/>
      <c r="R2167" s="42"/>
      <c r="AC2167" s="42"/>
    </row>
    <row r="2168" spans="15:29" x14ac:dyDescent="0.25">
      <c r="O2168" s="42"/>
      <c r="R2168" s="42"/>
      <c r="AC2168" s="42"/>
    </row>
    <row r="2169" spans="15:29" x14ac:dyDescent="0.25">
      <c r="O2169" s="42"/>
      <c r="R2169" s="42"/>
      <c r="AC2169" s="42"/>
    </row>
    <row r="2170" spans="15:29" x14ac:dyDescent="0.25">
      <c r="O2170" s="42"/>
      <c r="R2170" s="42"/>
      <c r="AC2170" s="42"/>
    </row>
    <row r="2171" spans="15:29" x14ac:dyDescent="0.25">
      <c r="O2171" s="42"/>
      <c r="R2171" s="42"/>
      <c r="AC2171" s="42"/>
    </row>
    <row r="2172" spans="15:29" x14ac:dyDescent="0.25">
      <c r="O2172" s="42"/>
      <c r="R2172" s="42"/>
      <c r="AC2172" s="42"/>
    </row>
    <row r="2173" spans="15:29" x14ac:dyDescent="0.25">
      <c r="O2173" s="42"/>
      <c r="R2173" s="42"/>
      <c r="AC2173" s="42"/>
    </row>
    <row r="2174" spans="15:29" x14ac:dyDescent="0.25">
      <c r="O2174" s="42"/>
      <c r="R2174" s="42"/>
      <c r="AC2174" s="42"/>
    </row>
    <row r="2175" spans="15:29" x14ac:dyDescent="0.25">
      <c r="O2175" s="42"/>
      <c r="R2175" s="42"/>
      <c r="AC2175" s="42"/>
    </row>
    <row r="2176" spans="15:29" x14ac:dyDescent="0.25">
      <c r="O2176" s="42"/>
      <c r="R2176" s="42"/>
      <c r="AC2176" s="42"/>
    </row>
    <row r="2177" spans="15:29" x14ac:dyDescent="0.25">
      <c r="O2177" s="42"/>
      <c r="R2177" s="42"/>
      <c r="AC2177" s="42"/>
    </row>
    <row r="2178" spans="15:29" x14ac:dyDescent="0.25">
      <c r="O2178" s="42"/>
      <c r="R2178" s="42"/>
      <c r="AC2178" s="42"/>
    </row>
    <row r="2179" spans="15:29" x14ac:dyDescent="0.25">
      <c r="O2179" s="42"/>
      <c r="R2179" s="42"/>
      <c r="AC2179" s="42"/>
    </row>
    <row r="2180" spans="15:29" x14ac:dyDescent="0.25">
      <c r="O2180" s="42"/>
      <c r="R2180" s="42"/>
      <c r="AC2180" s="42"/>
    </row>
    <row r="2181" spans="15:29" x14ac:dyDescent="0.25">
      <c r="O2181" s="42"/>
      <c r="R2181" s="42"/>
      <c r="AC2181" s="42"/>
    </row>
    <row r="2182" spans="15:29" x14ac:dyDescent="0.25">
      <c r="O2182" s="42"/>
      <c r="R2182" s="42"/>
      <c r="AC2182" s="42"/>
    </row>
    <row r="2183" spans="15:29" x14ac:dyDescent="0.25">
      <c r="O2183" s="42"/>
      <c r="R2183" s="42"/>
      <c r="AC2183" s="42"/>
    </row>
    <row r="2184" spans="15:29" x14ac:dyDescent="0.25">
      <c r="O2184" s="42"/>
      <c r="R2184" s="42"/>
      <c r="AC2184" s="42"/>
    </row>
    <row r="2185" spans="15:29" x14ac:dyDescent="0.25">
      <c r="O2185" s="42"/>
      <c r="R2185" s="42"/>
      <c r="AC2185" s="42"/>
    </row>
    <row r="2186" spans="15:29" x14ac:dyDescent="0.25">
      <c r="O2186" s="42"/>
      <c r="R2186" s="42"/>
      <c r="AC2186" s="42"/>
    </row>
    <row r="2187" spans="15:29" x14ac:dyDescent="0.25">
      <c r="O2187" s="42"/>
      <c r="R2187" s="42"/>
      <c r="AC2187" s="42"/>
    </row>
    <row r="2188" spans="15:29" x14ac:dyDescent="0.25">
      <c r="O2188" s="42"/>
      <c r="R2188" s="42"/>
      <c r="AC2188" s="42"/>
    </row>
    <row r="2189" spans="15:29" x14ac:dyDescent="0.25">
      <c r="O2189" s="42"/>
      <c r="R2189" s="42"/>
      <c r="AC2189" s="42"/>
    </row>
    <row r="2190" spans="15:29" x14ac:dyDescent="0.25">
      <c r="O2190" s="42"/>
      <c r="R2190" s="42"/>
      <c r="AC2190" s="42"/>
    </row>
    <row r="2191" spans="15:29" x14ac:dyDescent="0.25">
      <c r="O2191" s="42"/>
      <c r="R2191" s="42"/>
      <c r="AC2191" s="42"/>
    </row>
    <row r="2192" spans="15:29" x14ac:dyDescent="0.25">
      <c r="O2192" s="42"/>
      <c r="R2192" s="42"/>
      <c r="AC2192" s="42"/>
    </row>
    <row r="2193" spans="15:29" x14ac:dyDescent="0.25">
      <c r="O2193" s="42"/>
      <c r="R2193" s="42"/>
      <c r="AC2193" s="42"/>
    </row>
    <row r="2194" spans="15:29" x14ac:dyDescent="0.25">
      <c r="O2194" s="42"/>
      <c r="R2194" s="42"/>
      <c r="AC2194" s="42"/>
    </row>
    <row r="2195" spans="15:29" x14ac:dyDescent="0.25">
      <c r="O2195" s="42"/>
      <c r="R2195" s="42"/>
      <c r="AC2195" s="42"/>
    </row>
    <row r="2196" spans="15:29" x14ac:dyDescent="0.25">
      <c r="O2196" s="42"/>
      <c r="R2196" s="42"/>
      <c r="AC2196" s="42"/>
    </row>
    <row r="2197" spans="15:29" x14ac:dyDescent="0.25">
      <c r="O2197" s="42"/>
      <c r="R2197" s="42"/>
      <c r="AC2197" s="42"/>
    </row>
    <row r="2198" spans="15:29" x14ac:dyDescent="0.25">
      <c r="O2198" s="42"/>
      <c r="R2198" s="42"/>
      <c r="AC2198" s="42"/>
    </row>
    <row r="2199" spans="15:29" x14ac:dyDescent="0.25">
      <c r="O2199" s="42"/>
      <c r="R2199" s="42"/>
      <c r="AC2199" s="42"/>
    </row>
    <row r="2200" spans="15:29" x14ac:dyDescent="0.25">
      <c r="O2200" s="42"/>
      <c r="R2200" s="42"/>
      <c r="AC2200" s="42"/>
    </row>
    <row r="2201" spans="15:29" x14ac:dyDescent="0.25">
      <c r="O2201" s="42"/>
      <c r="R2201" s="42"/>
      <c r="AC2201" s="42"/>
    </row>
    <row r="2202" spans="15:29" x14ac:dyDescent="0.25">
      <c r="O2202" s="42"/>
      <c r="R2202" s="42"/>
      <c r="AC2202" s="42"/>
    </row>
    <row r="2203" spans="15:29" x14ac:dyDescent="0.25">
      <c r="O2203" s="42"/>
      <c r="R2203" s="42"/>
      <c r="AC2203" s="42"/>
    </row>
    <row r="2204" spans="15:29" x14ac:dyDescent="0.25">
      <c r="O2204" s="42"/>
      <c r="R2204" s="42"/>
      <c r="AC2204" s="42"/>
    </row>
    <row r="2205" spans="15:29" x14ac:dyDescent="0.25">
      <c r="O2205" s="42"/>
      <c r="R2205" s="42"/>
      <c r="AC2205" s="42"/>
    </row>
    <row r="2206" spans="15:29" x14ac:dyDescent="0.25">
      <c r="O2206" s="42"/>
      <c r="R2206" s="42"/>
      <c r="AC2206" s="42"/>
    </row>
    <row r="2207" spans="15:29" x14ac:dyDescent="0.25">
      <c r="O2207" s="42"/>
      <c r="R2207" s="42"/>
      <c r="AC2207" s="42"/>
    </row>
    <row r="2208" spans="15:29" x14ac:dyDescent="0.25">
      <c r="O2208" s="42"/>
      <c r="R2208" s="42"/>
      <c r="AC2208" s="42"/>
    </row>
    <row r="2209" spans="15:29" x14ac:dyDescent="0.25">
      <c r="O2209" s="42"/>
      <c r="R2209" s="42"/>
      <c r="AC2209" s="42"/>
    </row>
    <row r="2210" spans="15:29" x14ac:dyDescent="0.25">
      <c r="O2210" s="42"/>
      <c r="R2210" s="42"/>
      <c r="AC2210" s="42"/>
    </row>
    <row r="2211" spans="15:29" x14ac:dyDescent="0.25">
      <c r="O2211" s="42"/>
      <c r="R2211" s="42"/>
      <c r="AC2211" s="42"/>
    </row>
    <row r="2212" spans="15:29" x14ac:dyDescent="0.25">
      <c r="O2212" s="42"/>
      <c r="R2212" s="42"/>
      <c r="AC2212" s="42"/>
    </row>
    <row r="2213" spans="15:29" x14ac:dyDescent="0.25">
      <c r="O2213" s="42"/>
      <c r="R2213" s="42"/>
      <c r="AC2213" s="42"/>
    </row>
    <row r="2214" spans="15:29" x14ac:dyDescent="0.25">
      <c r="O2214" s="42"/>
      <c r="R2214" s="42"/>
      <c r="AC2214" s="42"/>
    </row>
    <row r="2215" spans="15:29" x14ac:dyDescent="0.25">
      <c r="O2215" s="42"/>
      <c r="R2215" s="42"/>
      <c r="AC2215" s="42"/>
    </row>
    <row r="2216" spans="15:29" x14ac:dyDescent="0.25">
      <c r="O2216" s="42"/>
      <c r="R2216" s="42"/>
      <c r="AC2216" s="42"/>
    </row>
    <row r="2217" spans="15:29" x14ac:dyDescent="0.25">
      <c r="O2217" s="42"/>
      <c r="R2217" s="42"/>
      <c r="AC2217" s="42"/>
    </row>
    <row r="2218" spans="15:29" x14ac:dyDescent="0.25">
      <c r="O2218" s="42"/>
      <c r="R2218" s="42"/>
      <c r="AC2218" s="42"/>
    </row>
    <row r="2219" spans="15:29" x14ac:dyDescent="0.25">
      <c r="O2219" s="42"/>
      <c r="R2219" s="42"/>
      <c r="AC2219" s="42"/>
    </row>
    <row r="2220" spans="15:29" x14ac:dyDescent="0.25">
      <c r="O2220" s="42"/>
      <c r="R2220" s="42"/>
      <c r="AC2220" s="42"/>
    </row>
    <row r="2221" spans="15:29" x14ac:dyDescent="0.25">
      <c r="O2221" s="42"/>
      <c r="R2221" s="42"/>
      <c r="AC2221" s="42"/>
    </row>
    <row r="2222" spans="15:29" x14ac:dyDescent="0.25">
      <c r="O2222" s="42"/>
      <c r="R2222" s="42"/>
      <c r="AC2222" s="42"/>
    </row>
    <row r="2223" spans="15:29" x14ac:dyDescent="0.25">
      <c r="O2223" s="42"/>
      <c r="R2223" s="42"/>
      <c r="AC2223" s="42"/>
    </row>
    <row r="2224" spans="15:29" x14ac:dyDescent="0.25">
      <c r="O2224" s="42"/>
      <c r="R2224" s="42"/>
      <c r="AC2224" s="42"/>
    </row>
    <row r="2225" spans="15:29" x14ac:dyDescent="0.25">
      <c r="O2225" s="42"/>
      <c r="R2225" s="42"/>
      <c r="AC2225" s="42"/>
    </row>
    <row r="2226" spans="15:29" x14ac:dyDescent="0.25">
      <c r="O2226" s="42"/>
      <c r="R2226" s="42"/>
      <c r="AC2226" s="42"/>
    </row>
    <row r="2227" spans="15:29" x14ac:dyDescent="0.25">
      <c r="O2227" s="42"/>
      <c r="R2227" s="42"/>
      <c r="AC2227" s="42"/>
    </row>
    <row r="2228" spans="15:29" x14ac:dyDescent="0.25">
      <c r="O2228" s="42"/>
      <c r="R2228" s="42"/>
      <c r="AC2228" s="42"/>
    </row>
    <row r="2229" spans="15:29" x14ac:dyDescent="0.25">
      <c r="O2229" s="42"/>
      <c r="R2229" s="42"/>
      <c r="AC2229" s="42"/>
    </row>
    <row r="2230" spans="15:29" x14ac:dyDescent="0.25">
      <c r="O2230" s="42"/>
      <c r="R2230" s="42"/>
      <c r="AC2230" s="42"/>
    </row>
    <row r="2231" spans="15:29" x14ac:dyDescent="0.25">
      <c r="O2231" s="42"/>
      <c r="R2231" s="42"/>
      <c r="AC2231" s="42"/>
    </row>
    <row r="2232" spans="15:29" x14ac:dyDescent="0.25">
      <c r="O2232" s="42"/>
      <c r="R2232" s="42"/>
      <c r="AC2232" s="42"/>
    </row>
    <row r="2233" spans="15:29" x14ac:dyDescent="0.25">
      <c r="O2233" s="42"/>
      <c r="R2233" s="42"/>
      <c r="AC2233" s="42"/>
    </row>
    <row r="2234" spans="15:29" x14ac:dyDescent="0.25">
      <c r="O2234" s="42"/>
      <c r="R2234" s="42"/>
      <c r="AC2234" s="42"/>
    </row>
    <row r="2235" spans="15:29" x14ac:dyDescent="0.25">
      <c r="O2235" s="42"/>
      <c r="R2235" s="42"/>
      <c r="AC2235" s="42"/>
    </row>
    <row r="2236" spans="15:29" x14ac:dyDescent="0.25">
      <c r="O2236" s="42"/>
      <c r="R2236" s="42"/>
      <c r="AC2236" s="42"/>
    </row>
    <row r="2237" spans="15:29" x14ac:dyDescent="0.25">
      <c r="O2237" s="42"/>
      <c r="R2237" s="42"/>
      <c r="AC2237" s="42"/>
    </row>
    <row r="2238" spans="15:29" x14ac:dyDescent="0.25">
      <c r="O2238" s="42"/>
      <c r="R2238" s="42"/>
      <c r="AC2238" s="42"/>
    </row>
    <row r="2239" spans="15:29" x14ac:dyDescent="0.25">
      <c r="O2239" s="42"/>
      <c r="R2239" s="42"/>
      <c r="AC2239" s="42"/>
    </row>
    <row r="2240" spans="15:29" x14ac:dyDescent="0.25">
      <c r="O2240" s="42"/>
      <c r="R2240" s="42"/>
      <c r="AC2240" s="42"/>
    </row>
    <row r="2241" spans="15:29" x14ac:dyDescent="0.25">
      <c r="O2241" s="42"/>
      <c r="R2241" s="42"/>
      <c r="AC2241" s="42"/>
    </row>
    <row r="2242" spans="15:29" x14ac:dyDescent="0.25">
      <c r="O2242" s="42"/>
      <c r="R2242" s="42"/>
      <c r="AC2242" s="42"/>
    </row>
    <row r="2243" spans="15:29" x14ac:dyDescent="0.25">
      <c r="O2243" s="42"/>
      <c r="R2243" s="42"/>
      <c r="AC2243" s="42"/>
    </row>
    <row r="2244" spans="15:29" x14ac:dyDescent="0.25">
      <c r="O2244" s="42"/>
      <c r="R2244" s="42"/>
      <c r="AC2244" s="42"/>
    </row>
    <row r="2245" spans="15:29" x14ac:dyDescent="0.25">
      <c r="O2245" s="42"/>
      <c r="R2245" s="42"/>
      <c r="AC2245" s="42"/>
    </row>
    <row r="2246" spans="15:29" x14ac:dyDescent="0.25">
      <c r="O2246" s="42"/>
      <c r="R2246" s="42"/>
      <c r="AC2246" s="42"/>
    </row>
    <row r="2247" spans="15:29" x14ac:dyDescent="0.25">
      <c r="O2247" s="42"/>
      <c r="R2247" s="42"/>
      <c r="AC2247" s="42"/>
    </row>
    <row r="2248" spans="15:29" x14ac:dyDescent="0.25">
      <c r="O2248" s="42"/>
      <c r="R2248" s="42"/>
      <c r="AC2248" s="42"/>
    </row>
    <row r="2249" spans="15:29" x14ac:dyDescent="0.25">
      <c r="O2249" s="42"/>
      <c r="R2249" s="42"/>
      <c r="AC2249" s="42"/>
    </row>
    <row r="2250" spans="15:29" x14ac:dyDescent="0.25">
      <c r="O2250" s="42"/>
      <c r="R2250" s="42"/>
      <c r="AC2250" s="42"/>
    </row>
    <row r="2251" spans="15:29" x14ac:dyDescent="0.25">
      <c r="O2251" s="42"/>
      <c r="R2251" s="42"/>
      <c r="AC2251" s="42"/>
    </row>
    <row r="2252" spans="15:29" x14ac:dyDescent="0.25">
      <c r="O2252" s="42"/>
      <c r="R2252" s="42"/>
      <c r="AC2252" s="42"/>
    </row>
    <row r="2253" spans="15:29" x14ac:dyDescent="0.25">
      <c r="O2253" s="42"/>
      <c r="R2253" s="42"/>
      <c r="AC2253" s="42"/>
    </row>
    <row r="2254" spans="15:29" x14ac:dyDescent="0.25">
      <c r="O2254" s="42"/>
      <c r="R2254" s="42"/>
      <c r="AC2254" s="42"/>
    </row>
    <row r="2255" spans="15:29" x14ac:dyDescent="0.25">
      <c r="O2255" s="42"/>
      <c r="R2255" s="42"/>
      <c r="AC2255" s="42"/>
    </row>
    <row r="2256" spans="15:29" x14ac:dyDescent="0.25">
      <c r="O2256" s="42"/>
      <c r="R2256" s="42"/>
      <c r="AC2256" s="42"/>
    </row>
    <row r="2257" spans="15:29" x14ac:dyDescent="0.25">
      <c r="O2257" s="42"/>
      <c r="R2257" s="42"/>
      <c r="AC2257" s="42"/>
    </row>
    <row r="2258" spans="15:29" x14ac:dyDescent="0.25">
      <c r="O2258" s="42"/>
      <c r="R2258" s="42"/>
      <c r="AC2258" s="42"/>
    </row>
    <row r="2259" spans="15:29" x14ac:dyDescent="0.25">
      <c r="O2259" s="42"/>
      <c r="R2259" s="42"/>
      <c r="AC2259" s="42"/>
    </row>
    <row r="2260" spans="15:29" x14ac:dyDescent="0.25">
      <c r="O2260" s="42"/>
      <c r="R2260" s="42"/>
      <c r="AC2260" s="42"/>
    </row>
    <row r="2261" spans="15:29" x14ac:dyDescent="0.25">
      <c r="O2261" s="42"/>
      <c r="R2261" s="42"/>
      <c r="AC2261" s="42"/>
    </row>
    <row r="2262" spans="15:29" x14ac:dyDescent="0.25">
      <c r="O2262" s="42"/>
      <c r="R2262" s="42"/>
      <c r="AC2262" s="42"/>
    </row>
    <row r="2263" spans="15:29" x14ac:dyDescent="0.25">
      <c r="O2263" s="42"/>
      <c r="R2263" s="42"/>
      <c r="AC2263" s="42"/>
    </row>
    <row r="2264" spans="15:29" x14ac:dyDescent="0.25">
      <c r="O2264" s="42"/>
      <c r="R2264" s="42"/>
      <c r="AC2264" s="42"/>
    </row>
    <row r="2265" spans="15:29" x14ac:dyDescent="0.25">
      <c r="O2265" s="42"/>
      <c r="R2265" s="42"/>
      <c r="AC2265" s="42"/>
    </row>
    <row r="2266" spans="15:29" x14ac:dyDescent="0.25">
      <c r="O2266" s="42"/>
      <c r="R2266" s="42"/>
      <c r="AC2266" s="42"/>
    </row>
    <row r="2267" spans="15:29" x14ac:dyDescent="0.25">
      <c r="O2267" s="42"/>
      <c r="R2267" s="42"/>
      <c r="AC2267" s="42"/>
    </row>
    <row r="2268" spans="15:29" x14ac:dyDescent="0.25">
      <c r="O2268" s="42"/>
      <c r="R2268" s="42"/>
      <c r="AC2268" s="42"/>
    </row>
    <row r="2269" spans="15:29" x14ac:dyDescent="0.25">
      <c r="O2269" s="42"/>
      <c r="R2269" s="42"/>
      <c r="AC2269" s="42"/>
    </row>
    <row r="2270" spans="15:29" x14ac:dyDescent="0.25">
      <c r="O2270" s="42"/>
      <c r="R2270" s="42"/>
      <c r="AC2270" s="42"/>
    </row>
    <row r="2271" spans="15:29" x14ac:dyDescent="0.25">
      <c r="O2271" s="42"/>
      <c r="R2271" s="42"/>
      <c r="AC2271" s="42"/>
    </row>
    <row r="2272" spans="15:29" x14ac:dyDescent="0.25">
      <c r="O2272" s="42"/>
      <c r="R2272" s="42"/>
      <c r="AC2272" s="42"/>
    </row>
    <row r="2273" spans="15:29" x14ac:dyDescent="0.25">
      <c r="O2273" s="42"/>
      <c r="R2273" s="42"/>
      <c r="AC2273" s="42"/>
    </row>
    <row r="2274" spans="15:29" x14ac:dyDescent="0.25">
      <c r="O2274" s="42"/>
      <c r="R2274" s="42"/>
      <c r="AC2274" s="42"/>
    </row>
    <row r="2275" spans="15:29" x14ac:dyDescent="0.25">
      <c r="O2275" s="42"/>
      <c r="R2275" s="42"/>
      <c r="AC2275" s="42"/>
    </row>
    <row r="2276" spans="15:29" x14ac:dyDescent="0.25">
      <c r="O2276" s="42"/>
      <c r="R2276" s="42"/>
      <c r="AC2276" s="42"/>
    </row>
    <row r="2277" spans="15:29" x14ac:dyDescent="0.25">
      <c r="O2277" s="42"/>
      <c r="R2277" s="42"/>
      <c r="AC2277" s="42"/>
    </row>
    <row r="2278" spans="15:29" x14ac:dyDescent="0.25">
      <c r="O2278" s="42"/>
      <c r="R2278" s="42"/>
      <c r="AC2278" s="42"/>
    </row>
    <row r="2279" spans="15:29" x14ac:dyDescent="0.25">
      <c r="O2279" s="42"/>
      <c r="R2279" s="42"/>
      <c r="AC2279" s="42"/>
    </row>
    <row r="2280" spans="15:29" x14ac:dyDescent="0.25">
      <c r="O2280" s="42"/>
      <c r="R2280" s="42"/>
      <c r="AC2280" s="42"/>
    </row>
    <row r="2281" spans="15:29" x14ac:dyDescent="0.25">
      <c r="O2281" s="42"/>
      <c r="R2281" s="42"/>
      <c r="AC2281" s="42"/>
    </row>
    <row r="2282" spans="15:29" x14ac:dyDescent="0.25">
      <c r="O2282" s="42"/>
      <c r="R2282" s="42"/>
      <c r="AC2282" s="42"/>
    </row>
    <row r="2283" spans="15:29" x14ac:dyDescent="0.25">
      <c r="O2283" s="42"/>
      <c r="R2283" s="42"/>
      <c r="AC2283" s="42"/>
    </row>
    <row r="2284" spans="15:29" x14ac:dyDescent="0.25">
      <c r="O2284" s="42"/>
      <c r="R2284" s="42"/>
      <c r="AC2284" s="42"/>
    </row>
    <row r="2285" spans="15:29" x14ac:dyDescent="0.25">
      <c r="O2285" s="42"/>
      <c r="R2285" s="42"/>
      <c r="AC2285" s="42"/>
    </row>
    <row r="2286" spans="15:29" x14ac:dyDescent="0.25">
      <c r="O2286" s="42"/>
      <c r="R2286" s="42"/>
      <c r="AC2286" s="42"/>
    </row>
    <row r="2287" spans="15:29" x14ac:dyDescent="0.25">
      <c r="O2287" s="42"/>
      <c r="R2287" s="42"/>
      <c r="AC2287" s="42"/>
    </row>
    <row r="2288" spans="15:29" x14ac:dyDescent="0.25">
      <c r="O2288" s="42"/>
      <c r="R2288" s="42"/>
      <c r="AC2288" s="42"/>
    </row>
    <row r="2289" spans="15:29" x14ac:dyDescent="0.25">
      <c r="O2289" s="42"/>
      <c r="R2289" s="42"/>
      <c r="AC2289" s="42"/>
    </row>
    <row r="2290" spans="15:29" x14ac:dyDescent="0.25">
      <c r="O2290" s="42"/>
      <c r="R2290" s="42"/>
      <c r="AC2290" s="42"/>
    </row>
    <row r="2291" spans="15:29" x14ac:dyDescent="0.25">
      <c r="O2291" s="42"/>
      <c r="R2291" s="42"/>
      <c r="AC2291" s="42"/>
    </row>
    <row r="2292" spans="15:29" x14ac:dyDescent="0.25">
      <c r="O2292" s="42"/>
      <c r="R2292" s="42"/>
      <c r="AC2292" s="42"/>
    </row>
    <row r="2293" spans="15:29" x14ac:dyDescent="0.25">
      <c r="O2293" s="42"/>
      <c r="R2293" s="42"/>
      <c r="AC2293" s="42"/>
    </row>
    <row r="2294" spans="15:29" x14ac:dyDescent="0.25">
      <c r="O2294" s="42"/>
      <c r="R2294" s="42"/>
      <c r="AC2294" s="42"/>
    </row>
    <row r="2295" spans="15:29" x14ac:dyDescent="0.25">
      <c r="O2295" s="42"/>
      <c r="R2295" s="42"/>
      <c r="AC2295" s="42"/>
    </row>
    <row r="2296" spans="15:29" x14ac:dyDescent="0.25">
      <c r="O2296" s="42"/>
      <c r="R2296" s="42"/>
      <c r="AC2296" s="42"/>
    </row>
    <row r="2297" spans="15:29" x14ac:dyDescent="0.25">
      <c r="O2297" s="42"/>
      <c r="R2297" s="42"/>
      <c r="AC2297" s="42"/>
    </row>
    <row r="2298" spans="15:29" x14ac:dyDescent="0.25">
      <c r="O2298" s="42"/>
      <c r="R2298" s="42"/>
      <c r="AC2298" s="42"/>
    </row>
    <row r="2299" spans="15:29" x14ac:dyDescent="0.25">
      <c r="O2299" s="42"/>
      <c r="R2299" s="42"/>
      <c r="AC2299" s="42"/>
    </row>
    <row r="2300" spans="15:29" x14ac:dyDescent="0.25">
      <c r="O2300" s="42"/>
      <c r="R2300" s="42"/>
      <c r="AC2300" s="42"/>
    </row>
    <row r="2301" spans="15:29" x14ac:dyDescent="0.25">
      <c r="O2301" s="42"/>
      <c r="R2301" s="42"/>
      <c r="AC2301" s="42"/>
    </row>
    <row r="2302" spans="15:29" x14ac:dyDescent="0.25">
      <c r="O2302" s="42"/>
      <c r="R2302" s="42"/>
      <c r="AC2302" s="42"/>
    </row>
    <row r="2303" spans="15:29" x14ac:dyDescent="0.25">
      <c r="O2303" s="42"/>
      <c r="R2303" s="42"/>
      <c r="AC2303" s="42"/>
    </row>
    <row r="2304" spans="15:29" x14ac:dyDescent="0.25">
      <c r="O2304" s="42"/>
      <c r="R2304" s="42"/>
      <c r="AC2304" s="42"/>
    </row>
    <row r="2305" spans="15:29" x14ac:dyDescent="0.25">
      <c r="O2305" s="42"/>
      <c r="R2305" s="42"/>
      <c r="AC2305" s="42"/>
    </row>
    <row r="2306" spans="15:29" x14ac:dyDescent="0.25">
      <c r="O2306" s="42"/>
      <c r="R2306" s="42"/>
      <c r="AC2306" s="42"/>
    </row>
    <row r="2307" spans="15:29" x14ac:dyDescent="0.25">
      <c r="O2307" s="42"/>
      <c r="R2307" s="42"/>
      <c r="AC2307" s="42"/>
    </row>
    <row r="2308" spans="15:29" x14ac:dyDescent="0.25">
      <c r="O2308" s="42"/>
      <c r="R2308" s="42"/>
      <c r="AC2308" s="42"/>
    </row>
    <row r="2309" spans="15:29" x14ac:dyDescent="0.25">
      <c r="O2309" s="42"/>
      <c r="R2309" s="42"/>
      <c r="AC2309" s="42"/>
    </row>
    <row r="2310" spans="15:29" x14ac:dyDescent="0.25">
      <c r="O2310" s="42"/>
      <c r="R2310" s="42"/>
      <c r="AC2310" s="42"/>
    </row>
    <row r="2311" spans="15:29" x14ac:dyDescent="0.25">
      <c r="O2311" s="42"/>
      <c r="R2311" s="42"/>
      <c r="AC2311" s="42"/>
    </row>
    <row r="2312" spans="15:29" x14ac:dyDescent="0.25">
      <c r="O2312" s="42"/>
      <c r="R2312" s="42"/>
      <c r="AC2312" s="42"/>
    </row>
    <row r="2313" spans="15:29" x14ac:dyDescent="0.25">
      <c r="O2313" s="42"/>
      <c r="R2313" s="42"/>
      <c r="AC2313" s="42"/>
    </row>
    <row r="2314" spans="15:29" x14ac:dyDescent="0.25">
      <c r="O2314" s="42"/>
      <c r="R2314" s="42"/>
      <c r="AC2314" s="42"/>
    </row>
    <row r="2315" spans="15:29" x14ac:dyDescent="0.25">
      <c r="O2315" s="42"/>
      <c r="R2315" s="42"/>
      <c r="AC2315" s="42"/>
    </row>
    <row r="2316" spans="15:29" x14ac:dyDescent="0.25">
      <c r="O2316" s="42"/>
      <c r="R2316" s="42"/>
      <c r="AC2316" s="42"/>
    </row>
    <row r="2317" spans="15:29" x14ac:dyDescent="0.25">
      <c r="O2317" s="42"/>
      <c r="R2317" s="42"/>
      <c r="AC2317" s="42"/>
    </row>
    <row r="2318" spans="15:29" x14ac:dyDescent="0.25">
      <c r="O2318" s="42"/>
      <c r="R2318" s="42"/>
      <c r="AC2318" s="42"/>
    </row>
    <row r="2319" spans="15:29" x14ac:dyDescent="0.25">
      <c r="O2319" s="42"/>
      <c r="R2319" s="42"/>
      <c r="AC2319" s="42"/>
    </row>
    <row r="2320" spans="15:29" x14ac:dyDescent="0.25">
      <c r="O2320" s="42"/>
      <c r="R2320" s="42"/>
      <c r="AC2320" s="42"/>
    </row>
    <row r="2321" spans="15:29" x14ac:dyDescent="0.25">
      <c r="O2321" s="42"/>
      <c r="R2321" s="42"/>
      <c r="AC2321" s="42"/>
    </row>
    <row r="2322" spans="15:29" x14ac:dyDescent="0.25">
      <c r="O2322" s="42"/>
      <c r="R2322" s="42"/>
      <c r="AC2322" s="42"/>
    </row>
    <row r="2323" spans="15:29" x14ac:dyDescent="0.25">
      <c r="O2323" s="42"/>
      <c r="R2323" s="42"/>
      <c r="AC2323" s="42"/>
    </row>
    <row r="2324" spans="15:29" x14ac:dyDescent="0.25">
      <c r="O2324" s="42"/>
      <c r="R2324" s="42"/>
      <c r="AC2324" s="42"/>
    </row>
    <row r="2325" spans="15:29" x14ac:dyDescent="0.25">
      <c r="O2325" s="42"/>
      <c r="R2325" s="42"/>
      <c r="AC2325" s="42"/>
    </row>
    <row r="2326" spans="15:29" x14ac:dyDescent="0.25">
      <c r="O2326" s="42"/>
      <c r="R2326" s="42"/>
      <c r="AC2326" s="42"/>
    </row>
    <row r="2327" spans="15:29" x14ac:dyDescent="0.25">
      <c r="O2327" s="42"/>
      <c r="R2327" s="42"/>
      <c r="AC2327" s="42"/>
    </row>
    <row r="2328" spans="15:29" x14ac:dyDescent="0.25">
      <c r="O2328" s="42"/>
      <c r="R2328" s="42"/>
      <c r="AC2328" s="42"/>
    </row>
    <row r="2329" spans="15:29" x14ac:dyDescent="0.25">
      <c r="O2329" s="42"/>
      <c r="R2329" s="42"/>
      <c r="AC2329" s="42"/>
    </row>
    <row r="2330" spans="15:29" x14ac:dyDescent="0.25">
      <c r="O2330" s="42"/>
      <c r="R2330" s="42"/>
      <c r="AC2330" s="42"/>
    </row>
    <row r="2331" spans="15:29" x14ac:dyDescent="0.25">
      <c r="O2331" s="42"/>
      <c r="R2331" s="42"/>
      <c r="AC2331" s="42"/>
    </row>
    <row r="2332" spans="15:29" x14ac:dyDescent="0.25">
      <c r="O2332" s="42"/>
      <c r="R2332" s="42"/>
      <c r="AC2332" s="42"/>
    </row>
    <row r="2333" spans="15:29" x14ac:dyDescent="0.25">
      <c r="O2333" s="42"/>
      <c r="R2333" s="42"/>
      <c r="AC2333" s="42"/>
    </row>
    <row r="2334" spans="15:29" x14ac:dyDescent="0.25">
      <c r="O2334" s="42"/>
      <c r="R2334" s="42"/>
      <c r="AC2334" s="42"/>
    </row>
    <row r="2335" spans="15:29" x14ac:dyDescent="0.25">
      <c r="O2335" s="42"/>
      <c r="R2335" s="42"/>
      <c r="AC2335" s="42"/>
    </row>
    <row r="2336" spans="15:29" x14ac:dyDescent="0.25">
      <c r="O2336" s="42"/>
      <c r="R2336" s="42"/>
      <c r="AC2336" s="42"/>
    </row>
    <row r="2337" spans="15:29" x14ac:dyDescent="0.25">
      <c r="O2337" s="42"/>
      <c r="R2337" s="42"/>
      <c r="AC2337" s="42"/>
    </row>
    <row r="2338" spans="15:29" x14ac:dyDescent="0.25">
      <c r="O2338" s="42"/>
      <c r="R2338" s="42"/>
      <c r="AC2338" s="42"/>
    </row>
    <row r="2339" spans="15:29" x14ac:dyDescent="0.25">
      <c r="O2339" s="42"/>
      <c r="R2339" s="42"/>
      <c r="AC2339" s="42"/>
    </row>
    <row r="2340" spans="15:29" x14ac:dyDescent="0.25">
      <c r="O2340" s="42"/>
      <c r="R2340" s="42"/>
      <c r="AC2340" s="42"/>
    </row>
    <row r="2341" spans="15:29" x14ac:dyDescent="0.25">
      <c r="O2341" s="42"/>
      <c r="R2341" s="42"/>
      <c r="AC2341" s="42"/>
    </row>
    <row r="2342" spans="15:29" x14ac:dyDescent="0.25">
      <c r="O2342" s="42"/>
      <c r="R2342" s="42"/>
      <c r="AC2342" s="42"/>
    </row>
    <row r="2343" spans="15:29" x14ac:dyDescent="0.25">
      <c r="O2343" s="42"/>
      <c r="R2343" s="42"/>
      <c r="AC2343" s="42"/>
    </row>
    <row r="2344" spans="15:29" x14ac:dyDescent="0.25">
      <c r="O2344" s="42"/>
      <c r="R2344" s="42"/>
      <c r="AC2344" s="42"/>
    </row>
    <row r="2345" spans="15:29" x14ac:dyDescent="0.25">
      <c r="O2345" s="42"/>
      <c r="R2345" s="42"/>
      <c r="AC2345" s="42"/>
    </row>
    <row r="2346" spans="15:29" x14ac:dyDescent="0.25">
      <c r="O2346" s="42"/>
      <c r="R2346" s="42"/>
      <c r="AC2346" s="42"/>
    </row>
    <row r="2347" spans="15:29" x14ac:dyDescent="0.25">
      <c r="O2347" s="42"/>
      <c r="R2347" s="42"/>
      <c r="AC2347" s="42"/>
    </row>
    <row r="2348" spans="15:29" x14ac:dyDescent="0.25">
      <c r="O2348" s="42"/>
      <c r="R2348" s="42"/>
      <c r="AC2348" s="42"/>
    </row>
    <row r="2349" spans="15:29" x14ac:dyDescent="0.25">
      <c r="O2349" s="42"/>
      <c r="R2349" s="42"/>
      <c r="AC2349" s="42"/>
    </row>
    <row r="2350" spans="15:29" x14ac:dyDescent="0.25">
      <c r="O2350" s="42"/>
      <c r="R2350" s="42"/>
      <c r="AC2350" s="42"/>
    </row>
    <row r="2351" spans="15:29" x14ac:dyDescent="0.25">
      <c r="O2351" s="42"/>
      <c r="R2351" s="42"/>
      <c r="AC2351" s="42"/>
    </row>
    <row r="2352" spans="15:29" x14ac:dyDescent="0.25">
      <c r="O2352" s="42"/>
      <c r="R2352" s="42"/>
      <c r="AC2352" s="42"/>
    </row>
    <row r="2353" spans="15:29" x14ac:dyDescent="0.25">
      <c r="O2353" s="42"/>
      <c r="R2353" s="42"/>
      <c r="AC2353" s="42"/>
    </row>
    <row r="2354" spans="15:29" x14ac:dyDescent="0.25">
      <c r="O2354" s="42"/>
      <c r="R2354" s="42"/>
      <c r="AC2354" s="42"/>
    </row>
    <row r="2355" spans="15:29" x14ac:dyDescent="0.25">
      <c r="O2355" s="42"/>
      <c r="R2355" s="42"/>
      <c r="AC2355" s="42"/>
    </row>
    <row r="2356" spans="15:29" x14ac:dyDescent="0.25">
      <c r="O2356" s="42"/>
      <c r="R2356" s="42"/>
      <c r="AC2356" s="42"/>
    </row>
    <row r="2357" spans="15:29" x14ac:dyDescent="0.25">
      <c r="O2357" s="42"/>
      <c r="R2357" s="42"/>
      <c r="AC2357" s="42"/>
    </row>
    <row r="2358" spans="15:29" x14ac:dyDescent="0.25">
      <c r="O2358" s="42"/>
      <c r="R2358" s="42"/>
      <c r="AC2358" s="42"/>
    </row>
    <row r="2359" spans="15:29" x14ac:dyDescent="0.25">
      <c r="O2359" s="42"/>
      <c r="R2359" s="42"/>
      <c r="AC2359" s="42"/>
    </row>
    <row r="2360" spans="15:29" x14ac:dyDescent="0.25">
      <c r="O2360" s="42"/>
      <c r="R2360" s="42"/>
      <c r="AC2360" s="42"/>
    </row>
    <row r="2361" spans="15:29" x14ac:dyDescent="0.25">
      <c r="O2361" s="42"/>
      <c r="R2361" s="42"/>
      <c r="AC2361" s="42"/>
    </row>
    <row r="2362" spans="15:29" x14ac:dyDescent="0.25">
      <c r="O2362" s="42"/>
      <c r="R2362" s="42"/>
      <c r="AC2362" s="42"/>
    </row>
    <row r="2363" spans="15:29" x14ac:dyDescent="0.25">
      <c r="O2363" s="42"/>
      <c r="R2363" s="42"/>
      <c r="AC2363" s="42"/>
    </row>
    <row r="2364" spans="15:29" x14ac:dyDescent="0.25">
      <c r="O2364" s="42"/>
      <c r="R2364" s="42"/>
      <c r="AC2364" s="42"/>
    </row>
    <row r="2365" spans="15:29" x14ac:dyDescent="0.25">
      <c r="O2365" s="42"/>
      <c r="R2365" s="42"/>
      <c r="AC2365" s="42"/>
    </row>
    <row r="2366" spans="15:29" x14ac:dyDescent="0.25">
      <c r="O2366" s="42"/>
      <c r="R2366" s="42"/>
      <c r="AC2366" s="42"/>
    </row>
    <row r="2367" spans="15:29" x14ac:dyDescent="0.25">
      <c r="O2367" s="42"/>
      <c r="R2367" s="42"/>
      <c r="AC2367" s="42"/>
    </row>
    <row r="2368" spans="15:29" x14ac:dyDescent="0.25">
      <c r="O2368" s="42"/>
      <c r="R2368" s="42"/>
      <c r="AC2368" s="42"/>
    </row>
    <row r="2369" spans="15:29" x14ac:dyDescent="0.25">
      <c r="O2369" s="42"/>
      <c r="R2369" s="42"/>
      <c r="AC2369" s="42"/>
    </row>
    <row r="2370" spans="15:29" x14ac:dyDescent="0.25">
      <c r="O2370" s="42"/>
      <c r="R2370" s="42"/>
      <c r="AC2370" s="42"/>
    </row>
    <row r="2371" spans="15:29" x14ac:dyDescent="0.25">
      <c r="O2371" s="42"/>
      <c r="R2371" s="42"/>
      <c r="AC2371" s="42"/>
    </row>
    <row r="2372" spans="15:29" x14ac:dyDescent="0.25">
      <c r="O2372" s="42"/>
      <c r="R2372" s="42"/>
      <c r="AC2372" s="42"/>
    </row>
    <row r="2373" spans="15:29" x14ac:dyDescent="0.25">
      <c r="O2373" s="42"/>
      <c r="R2373" s="42"/>
      <c r="AC2373" s="42"/>
    </row>
    <row r="2374" spans="15:29" x14ac:dyDescent="0.25">
      <c r="O2374" s="42"/>
      <c r="R2374" s="42"/>
      <c r="AC2374" s="42"/>
    </row>
    <row r="2375" spans="15:29" x14ac:dyDescent="0.25">
      <c r="O2375" s="42"/>
      <c r="R2375" s="42"/>
      <c r="AC2375" s="42"/>
    </row>
    <row r="2376" spans="15:29" x14ac:dyDescent="0.25">
      <c r="O2376" s="42"/>
      <c r="R2376" s="42"/>
      <c r="AC2376" s="42"/>
    </row>
    <row r="2377" spans="15:29" x14ac:dyDescent="0.25">
      <c r="O2377" s="42"/>
      <c r="R2377" s="42"/>
      <c r="AC2377" s="42"/>
    </row>
    <row r="2378" spans="15:29" x14ac:dyDescent="0.25">
      <c r="O2378" s="42"/>
      <c r="R2378" s="42"/>
      <c r="AC2378" s="42"/>
    </row>
    <row r="2379" spans="15:29" x14ac:dyDescent="0.25">
      <c r="O2379" s="42"/>
      <c r="R2379" s="42"/>
      <c r="AC2379" s="42"/>
    </row>
    <row r="2380" spans="15:29" x14ac:dyDescent="0.25">
      <c r="O2380" s="42"/>
      <c r="R2380" s="42"/>
      <c r="AC2380" s="42"/>
    </row>
    <row r="2381" spans="15:29" x14ac:dyDescent="0.25">
      <c r="O2381" s="42"/>
      <c r="R2381" s="42"/>
      <c r="AC2381" s="42"/>
    </row>
    <row r="2382" spans="15:29" x14ac:dyDescent="0.25">
      <c r="O2382" s="42"/>
      <c r="R2382" s="42"/>
      <c r="AC2382" s="42"/>
    </row>
    <row r="2383" spans="15:29" x14ac:dyDescent="0.25">
      <c r="O2383" s="42"/>
      <c r="R2383" s="42"/>
      <c r="AC2383" s="42"/>
    </row>
    <row r="2384" spans="15:29" x14ac:dyDescent="0.25">
      <c r="O2384" s="42"/>
      <c r="R2384" s="42"/>
      <c r="AC2384" s="42"/>
    </row>
    <row r="2385" spans="15:29" x14ac:dyDescent="0.25">
      <c r="O2385" s="42"/>
      <c r="R2385" s="42"/>
      <c r="AC2385" s="42"/>
    </row>
    <row r="2386" spans="15:29" x14ac:dyDescent="0.25">
      <c r="O2386" s="42"/>
      <c r="R2386" s="42"/>
      <c r="AC2386" s="42"/>
    </row>
    <row r="2387" spans="15:29" x14ac:dyDescent="0.25">
      <c r="O2387" s="42"/>
      <c r="R2387" s="42"/>
      <c r="AC2387" s="42"/>
    </row>
    <row r="2388" spans="15:29" x14ac:dyDescent="0.25">
      <c r="O2388" s="42"/>
      <c r="R2388" s="42"/>
      <c r="AC2388" s="42"/>
    </row>
    <row r="2389" spans="15:29" x14ac:dyDescent="0.25">
      <c r="O2389" s="42"/>
      <c r="R2389" s="42"/>
      <c r="AC2389" s="42"/>
    </row>
    <row r="2390" spans="15:29" x14ac:dyDescent="0.25">
      <c r="O2390" s="42"/>
      <c r="R2390" s="42"/>
      <c r="AC2390" s="42"/>
    </row>
    <row r="2391" spans="15:29" x14ac:dyDescent="0.25">
      <c r="O2391" s="42"/>
      <c r="R2391" s="42"/>
      <c r="AC2391" s="42"/>
    </row>
    <row r="2392" spans="15:29" x14ac:dyDescent="0.25">
      <c r="O2392" s="42"/>
      <c r="R2392" s="42"/>
      <c r="AC2392" s="42"/>
    </row>
    <row r="2393" spans="15:29" x14ac:dyDescent="0.25">
      <c r="O2393" s="42"/>
      <c r="R2393" s="42"/>
      <c r="AC2393" s="42"/>
    </row>
    <row r="2394" spans="15:29" x14ac:dyDescent="0.25">
      <c r="O2394" s="42"/>
      <c r="R2394" s="42"/>
      <c r="AC2394" s="42"/>
    </row>
    <row r="2395" spans="15:29" x14ac:dyDescent="0.25">
      <c r="O2395" s="42"/>
      <c r="R2395" s="42"/>
      <c r="AC2395" s="42"/>
    </row>
    <row r="2396" spans="15:29" x14ac:dyDescent="0.25">
      <c r="O2396" s="42"/>
      <c r="R2396" s="42"/>
      <c r="AC2396" s="42"/>
    </row>
    <row r="2397" spans="15:29" x14ac:dyDescent="0.25">
      <c r="O2397" s="42"/>
      <c r="R2397" s="42"/>
      <c r="AC2397" s="42"/>
    </row>
    <row r="2398" spans="15:29" x14ac:dyDescent="0.25">
      <c r="O2398" s="42"/>
      <c r="R2398" s="42"/>
      <c r="AC2398" s="42"/>
    </row>
    <row r="2399" spans="15:29" x14ac:dyDescent="0.25">
      <c r="O2399" s="42"/>
      <c r="R2399" s="42"/>
      <c r="AC2399" s="42"/>
    </row>
    <row r="2400" spans="15:29" x14ac:dyDescent="0.25">
      <c r="O2400" s="42"/>
      <c r="R2400" s="42"/>
      <c r="AC2400" s="42"/>
    </row>
    <row r="2401" spans="15:29" x14ac:dyDescent="0.25">
      <c r="O2401" s="42"/>
      <c r="R2401" s="42"/>
      <c r="AC2401" s="42"/>
    </row>
    <row r="2402" spans="15:29" x14ac:dyDescent="0.25">
      <c r="O2402" s="42"/>
      <c r="R2402" s="42"/>
      <c r="AC2402" s="42"/>
    </row>
    <row r="2403" spans="15:29" x14ac:dyDescent="0.25">
      <c r="O2403" s="42"/>
      <c r="R2403" s="42"/>
      <c r="AC2403" s="42"/>
    </row>
    <row r="2404" spans="15:29" x14ac:dyDescent="0.25">
      <c r="O2404" s="42"/>
      <c r="R2404" s="42"/>
      <c r="AC2404" s="42"/>
    </row>
    <row r="2405" spans="15:29" x14ac:dyDescent="0.25">
      <c r="O2405" s="42"/>
      <c r="R2405" s="42"/>
      <c r="AC2405" s="42"/>
    </row>
    <row r="2406" spans="15:29" x14ac:dyDescent="0.25">
      <c r="O2406" s="42"/>
      <c r="R2406" s="42"/>
      <c r="AC2406" s="42"/>
    </row>
    <row r="2407" spans="15:29" x14ac:dyDescent="0.25">
      <c r="O2407" s="42"/>
      <c r="R2407" s="42"/>
      <c r="AC2407" s="42"/>
    </row>
    <row r="2408" spans="15:29" x14ac:dyDescent="0.25">
      <c r="O2408" s="42"/>
      <c r="R2408" s="42"/>
      <c r="AC2408" s="42"/>
    </row>
    <row r="2409" spans="15:29" x14ac:dyDescent="0.25">
      <c r="O2409" s="42"/>
      <c r="R2409" s="42"/>
      <c r="AC2409" s="42"/>
    </row>
    <row r="2410" spans="15:29" x14ac:dyDescent="0.25">
      <c r="O2410" s="42"/>
      <c r="R2410" s="42"/>
      <c r="AC2410" s="42"/>
    </row>
    <row r="2411" spans="15:29" x14ac:dyDescent="0.25">
      <c r="O2411" s="42"/>
      <c r="R2411" s="42"/>
      <c r="AC2411" s="42"/>
    </row>
    <row r="2412" spans="15:29" x14ac:dyDescent="0.25">
      <c r="O2412" s="42"/>
      <c r="R2412" s="42"/>
      <c r="AC2412" s="42"/>
    </row>
    <row r="2413" spans="15:29" x14ac:dyDescent="0.25">
      <c r="O2413" s="42"/>
      <c r="R2413" s="42"/>
      <c r="AC2413" s="42"/>
    </row>
    <row r="2414" spans="15:29" x14ac:dyDescent="0.25">
      <c r="O2414" s="42"/>
      <c r="R2414" s="42"/>
      <c r="AC2414" s="42"/>
    </row>
    <row r="2415" spans="15:29" x14ac:dyDescent="0.25">
      <c r="O2415" s="42"/>
      <c r="R2415" s="42"/>
      <c r="AC2415" s="42"/>
    </row>
    <row r="2416" spans="15:29" x14ac:dyDescent="0.25">
      <c r="O2416" s="42"/>
      <c r="R2416" s="42"/>
      <c r="AC2416" s="42"/>
    </row>
    <row r="2417" spans="15:29" x14ac:dyDescent="0.25">
      <c r="O2417" s="42"/>
      <c r="R2417" s="42"/>
      <c r="AC2417" s="42"/>
    </row>
    <row r="2418" spans="15:29" x14ac:dyDescent="0.25">
      <c r="O2418" s="42"/>
      <c r="R2418" s="42"/>
      <c r="AC2418" s="42"/>
    </row>
    <row r="2419" spans="15:29" x14ac:dyDescent="0.25">
      <c r="O2419" s="42"/>
      <c r="R2419" s="42"/>
      <c r="AC2419" s="42"/>
    </row>
    <row r="2420" spans="15:29" x14ac:dyDescent="0.25">
      <c r="O2420" s="42"/>
      <c r="R2420" s="42"/>
      <c r="AC2420" s="42"/>
    </row>
    <row r="2421" spans="15:29" x14ac:dyDescent="0.25">
      <c r="O2421" s="42"/>
      <c r="R2421" s="42"/>
      <c r="AC2421" s="42"/>
    </row>
    <row r="2422" spans="15:29" x14ac:dyDescent="0.25">
      <c r="O2422" s="42"/>
      <c r="R2422" s="42"/>
      <c r="AC2422" s="42"/>
    </row>
    <row r="2423" spans="15:29" x14ac:dyDescent="0.25">
      <c r="O2423" s="42"/>
      <c r="R2423" s="42"/>
      <c r="AC2423" s="42"/>
    </row>
    <row r="2424" spans="15:29" x14ac:dyDescent="0.25">
      <c r="O2424" s="42"/>
      <c r="R2424" s="42"/>
      <c r="AC2424" s="42"/>
    </row>
    <row r="2425" spans="15:29" x14ac:dyDescent="0.25">
      <c r="O2425" s="42"/>
      <c r="R2425" s="42"/>
      <c r="AC2425" s="42"/>
    </row>
    <row r="2426" spans="15:29" x14ac:dyDescent="0.25">
      <c r="O2426" s="42"/>
      <c r="R2426" s="42"/>
      <c r="AC2426" s="42"/>
    </row>
    <row r="2427" spans="15:29" x14ac:dyDescent="0.25">
      <c r="O2427" s="42"/>
      <c r="R2427" s="42"/>
      <c r="AC2427" s="42"/>
    </row>
    <row r="2428" spans="15:29" x14ac:dyDescent="0.25">
      <c r="O2428" s="42"/>
      <c r="R2428" s="42"/>
      <c r="AC2428" s="42"/>
    </row>
    <row r="2429" spans="15:29" x14ac:dyDescent="0.25">
      <c r="O2429" s="42"/>
      <c r="R2429" s="42"/>
      <c r="AC2429" s="42"/>
    </row>
    <row r="2430" spans="15:29" x14ac:dyDescent="0.25">
      <c r="O2430" s="42"/>
      <c r="R2430" s="42"/>
      <c r="AC2430" s="42"/>
    </row>
    <row r="2431" spans="15:29" x14ac:dyDescent="0.25">
      <c r="O2431" s="42"/>
      <c r="R2431" s="42"/>
      <c r="AC2431" s="42"/>
    </row>
    <row r="2432" spans="15:29" x14ac:dyDescent="0.25">
      <c r="O2432" s="42"/>
      <c r="R2432" s="42"/>
      <c r="AC2432" s="42"/>
    </row>
    <row r="2433" spans="15:29" x14ac:dyDescent="0.25">
      <c r="O2433" s="42"/>
      <c r="R2433" s="42"/>
      <c r="AC2433" s="42"/>
    </row>
    <row r="2434" spans="15:29" x14ac:dyDescent="0.25">
      <c r="O2434" s="42"/>
      <c r="R2434" s="42"/>
      <c r="AC2434" s="42"/>
    </row>
    <row r="2435" spans="15:29" x14ac:dyDescent="0.25">
      <c r="O2435" s="42"/>
      <c r="R2435" s="42"/>
      <c r="AC2435" s="42"/>
    </row>
    <row r="2436" spans="15:29" x14ac:dyDescent="0.25">
      <c r="O2436" s="42"/>
      <c r="R2436" s="42"/>
      <c r="AC2436" s="42"/>
    </row>
    <row r="2437" spans="15:29" x14ac:dyDescent="0.25">
      <c r="O2437" s="42"/>
      <c r="R2437" s="42"/>
      <c r="AC2437" s="42"/>
    </row>
    <row r="2438" spans="15:29" x14ac:dyDescent="0.25">
      <c r="O2438" s="42"/>
      <c r="R2438" s="42"/>
      <c r="AC2438" s="42"/>
    </row>
    <row r="2439" spans="15:29" x14ac:dyDescent="0.25">
      <c r="O2439" s="42"/>
      <c r="R2439" s="42"/>
      <c r="AC2439" s="42"/>
    </row>
    <row r="2440" spans="15:29" x14ac:dyDescent="0.25">
      <c r="O2440" s="42"/>
      <c r="R2440" s="42"/>
      <c r="AC2440" s="42"/>
    </row>
    <row r="2441" spans="15:29" x14ac:dyDescent="0.25">
      <c r="O2441" s="42"/>
      <c r="R2441" s="42"/>
      <c r="AC2441" s="42"/>
    </row>
    <row r="2442" spans="15:29" x14ac:dyDescent="0.25">
      <c r="O2442" s="42"/>
      <c r="R2442" s="42"/>
      <c r="AC2442" s="42"/>
    </row>
    <row r="2443" spans="15:29" x14ac:dyDescent="0.25">
      <c r="O2443" s="42"/>
      <c r="R2443" s="42"/>
      <c r="AC2443" s="42"/>
    </row>
    <row r="2444" spans="15:29" x14ac:dyDescent="0.25">
      <c r="O2444" s="42"/>
      <c r="R2444" s="42"/>
      <c r="AC2444" s="42"/>
    </row>
    <row r="2445" spans="15:29" x14ac:dyDescent="0.25">
      <c r="O2445" s="42"/>
      <c r="R2445" s="42"/>
      <c r="AC2445" s="42"/>
    </row>
    <row r="2446" spans="15:29" x14ac:dyDescent="0.25">
      <c r="O2446" s="42"/>
      <c r="R2446" s="42"/>
      <c r="AC2446" s="42"/>
    </row>
    <row r="2447" spans="15:29" x14ac:dyDescent="0.25">
      <c r="O2447" s="42"/>
      <c r="R2447" s="42"/>
      <c r="AC2447" s="42"/>
    </row>
    <row r="2448" spans="15:29" x14ac:dyDescent="0.25">
      <c r="O2448" s="42"/>
      <c r="R2448" s="42"/>
      <c r="AC2448" s="42"/>
    </row>
    <row r="2449" spans="15:29" x14ac:dyDescent="0.25">
      <c r="O2449" s="42"/>
      <c r="R2449" s="42"/>
      <c r="AC2449" s="42"/>
    </row>
    <row r="2450" spans="15:29" x14ac:dyDescent="0.25">
      <c r="O2450" s="42"/>
      <c r="R2450" s="42"/>
      <c r="AC2450" s="42"/>
    </row>
    <row r="2451" spans="15:29" x14ac:dyDescent="0.25">
      <c r="O2451" s="42"/>
      <c r="R2451" s="42"/>
      <c r="AC2451" s="42"/>
    </row>
    <row r="2452" spans="15:29" x14ac:dyDescent="0.25">
      <c r="O2452" s="42"/>
      <c r="R2452" s="42"/>
      <c r="AC2452" s="42"/>
    </row>
    <row r="2453" spans="15:29" x14ac:dyDescent="0.25">
      <c r="O2453" s="42"/>
      <c r="R2453" s="42"/>
      <c r="AC2453" s="42"/>
    </row>
    <row r="2454" spans="15:29" x14ac:dyDescent="0.25">
      <c r="O2454" s="42"/>
      <c r="R2454" s="42"/>
      <c r="AC2454" s="42"/>
    </row>
    <row r="2455" spans="15:29" x14ac:dyDescent="0.25">
      <c r="O2455" s="42"/>
      <c r="R2455" s="42"/>
      <c r="AC2455" s="42"/>
    </row>
    <row r="2456" spans="15:29" x14ac:dyDescent="0.25">
      <c r="O2456" s="42"/>
      <c r="R2456" s="42"/>
      <c r="AC2456" s="42"/>
    </row>
    <row r="2457" spans="15:29" x14ac:dyDescent="0.25">
      <c r="O2457" s="42"/>
      <c r="R2457" s="42"/>
      <c r="AC2457" s="42"/>
    </row>
    <row r="2458" spans="15:29" x14ac:dyDescent="0.25">
      <c r="O2458" s="42"/>
      <c r="R2458" s="42"/>
      <c r="AC2458" s="42"/>
    </row>
    <row r="2459" spans="15:29" x14ac:dyDescent="0.25">
      <c r="O2459" s="42"/>
      <c r="R2459" s="42"/>
      <c r="AC2459" s="42"/>
    </row>
    <row r="2460" spans="15:29" x14ac:dyDescent="0.25">
      <c r="O2460" s="42"/>
      <c r="R2460" s="42"/>
      <c r="AC2460" s="42"/>
    </row>
    <row r="2461" spans="15:29" x14ac:dyDescent="0.25">
      <c r="O2461" s="42"/>
      <c r="R2461" s="42"/>
      <c r="AC2461" s="42"/>
    </row>
    <row r="2462" spans="15:29" x14ac:dyDescent="0.25">
      <c r="O2462" s="42"/>
      <c r="R2462" s="42"/>
      <c r="AC2462" s="42"/>
    </row>
    <row r="2463" spans="15:29" x14ac:dyDescent="0.25">
      <c r="O2463" s="42"/>
      <c r="R2463" s="42"/>
      <c r="AC2463" s="42"/>
    </row>
    <row r="2464" spans="15:29" x14ac:dyDescent="0.25">
      <c r="O2464" s="42"/>
      <c r="R2464" s="42"/>
      <c r="AC2464" s="42"/>
    </row>
    <row r="2465" spans="15:29" x14ac:dyDescent="0.25">
      <c r="O2465" s="42"/>
      <c r="R2465" s="42"/>
      <c r="AC2465" s="42"/>
    </row>
    <row r="2466" spans="15:29" x14ac:dyDescent="0.25">
      <c r="O2466" s="42"/>
      <c r="R2466" s="42"/>
      <c r="AC2466" s="42"/>
    </row>
    <row r="2467" spans="15:29" x14ac:dyDescent="0.25">
      <c r="O2467" s="42"/>
      <c r="R2467" s="42"/>
      <c r="AC2467" s="42"/>
    </row>
    <row r="2468" spans="15:29" x14ac:dyDescent="0.25">
      <c r="O2468" s="42"/>
      <c r="R2468" s="42"/>
      <c r="AC2468" s="42"/>
    </row>
    <row r="2469" spans="15:29" x14ac:dyDescent="0.25">
      <c r="O2469" s="42"/>
      <c r="R2469" s="42"/>
      <c r="AC2469" s="42"/>
    </row>
    <row r="2470" spans="15:29" x14ac:dyDescent="0.25">
      <c r="O2470" s="42"/>
      <c r="R2470" s="42"/>
      <c r="AC2470" s="42"/>
    </row>
    <row r="2471" spans="15:29" x14ac:dyDescent="0.25">
      <c r="O2471" s="42"/>
      <c r="R2471" s="42"/>
      <c r="AC2471" s="42"/>
    </row>
    <row r="2472" spans="15:29" x14ac:dyDescent="0.25">
      <c r="O2472" s="42"/>
      <c r="R2472" s="42"/>
      <c r="AC2472" s="42"/>
    </row>
    <row r="2473" spans="15:29" x14ac:dyDescent="0.25">
      <c r="O2473" s="42"/>
      <c r="R2473" s="42"/>
      <c r="AC2473" s="42"/>
    </row>
    <row r="2474" spans="15:29" x14ac:dyDescent="0.25">
      <c r="O2474" s="42"/>
      <c r="R2474" s="42"/>
      <c r="AC2474" s="42"/>
    </row>
    <row r="2475" spans="15:29" x14ac:dyDescent="0.25">
      <c r="O2475" s="42"/>
      <c r="R2475" s="42"/>
      <c r="AC2475" s="42"/>
    </row>
    <row r="2476" spans="15:29" x14ac:dyDescent="0.25">
      <c r="O2476" s="42"/>
      <c r="R2476" s="42"/>
      <c r="AC2476" s="42"/>
    </row>
    <row r="2477" spans="15:29" x14ac:dyDescent="0.25">
      <c r="O2477" s="42"/>
      <c r="R2477" s="42"/>
      <c r="AC2477" s="42"/>
    </row>
    <row r="2478" spans="15:29" x14ac:dyDescent="0.25">
      <c r="O2478" s="42"/>
      <c r="R2478" s="42"/>
      <c r="AC2478" s="42"/>
    </row>
    <row r="2479" spans="15:29" x14ac:dyDescent="0.25">
      <c r="O2479" s="42"/>
      <c r="R2479" s="42"/>
      <c r="AC2479" s="42"/>
    </row>
    <row r="2480" spans="15:29" x14ac:dyDescent="0.25">
      <c r="O2480" s="42"/>
      <c r="R2480" s="42"/>
      <c r="AC2480" s="42"/>
    </row>
    <row r="2481" spans="15:29" x14ac:dyDescent="0.25">
      <c r="O2481" s="42"/>
      <c r="R2481" s="42"/>
      <c r="AC2481" s="42"/>
    </row>
    <row r="2482" spans="15:29" x14ac:dyDescent="0.25">
      <c r="O2482" s="42"/>
      <c r="R2482" s="42"/>
      <c r="AC2482" s="42"/>
    </row>
    <row r="2483" spans="15:29" x14ac:dyDescent="0.25">
      <c r="O2483" s="42"/>
      <c r="R2483" s="42"/>
      <c r="AC2483" s="42"/>
    </row>
    <row r="2484" spans="15:29" x14ac:dyDescent="0.25">
      <c r="O2484" s="42"/>
      <c r="R2484" s="42"/>
      <c r="AC2484" s="42"/>
    </row>
    <row r="2485" spans="15:29" x14ac:dyDescent="0.25">
      <c r="O2485" s="42"/>
      <c r="R2485" s="42"/>
      <c r="AC2485" s="42"/>
    </row>
    <row r="2486" spans="15:29" x14ac:dyDescent="0.25">
      <c r="O2486" s="42"/>
      <c r="R2486" s="42"/>
      <c r="AC2486" s="42"/>
    </row>
    <row r="2487" spans="15:29" x14ac:dyDescent="0.25">
      <c r="O2487" s="42"/>
      <c r="R2487" s="42"/>
      <c r="AC2487" s="42"/>
    </row>
    <row r="2488" spans="15:29" x14ac:dyDescent="0.25">
      <c r="O2488" s="42"/>
      <c r="R2488" s="42"/>
      <c r="AC2488" s="42"/>
    </row>
    <row r="2489" spans="15:29" x14ac:dyDescent="0.25">
      <c r="O2489" s="42"/>
      <c r="R2489" s="42"/>
      <c r="AC2489" s="42"/>
    </row>
    <row r="2490" spans="15:29" x14ac:dyDescent="0.25">
      <c r="O2490" s="42"/>
      <c r="R2490" s="42"/>
      <c r="AC2490" s="42"/>
    </row>
    <row r="2491" spans="15:29" x14ac:dyDescent="0.25">
      <c r="O2491" s="42"/>
      <c r="R2491" s="42"/>
      <c r="AC2491" s="42"/>
    </row>
    <row r="2492" spans="15:29" x14ac:dyDescent="0.25">
      <c r="O2492" s="42"/>
      <c r="R2492" s="42"/>
      <c r="AC2492" s="42"/>
    </row>
    <row r="2493" spans="15:29" x14ac:dyDescent="0.25">
      <c r="O2493" s="42"/>
      <c r="R2493" s="42"/>
      <c r="AC2493" s="42"/>
    </row>
    <row r="2494" spans="15:29" x14ac:dyDescent="0.25">
      <c r="O2494" s="42"/>
      <c r="R2494" s="42"/>
      <c r="AC2494" s="42"/>
    </row>
    <row r="2495" spans="15:29" x14ac:dyDescent="0.25">
      <c r="O2495" s="42"/>
      <c r="R2495" s="42"/>
      <c r="AC2495" s="42"/>
    </row>
    <row r="2496" spans="15:29" x14ac:dyDescent="0.25">
      <c r="O2496" s="42"/>
      <c r="R2496" s="42"/>
      <c r="AC2496" s="42"/>
    </row>
    <row r="2497" spans="15:29" x14ac:dyDescent="0.25">
      <c r="O2497" s="42"/>
      <c r="R2497" s="42"/>
      <c r="AC2497" s="42"/>
    </row>
    <row r="2498" spans="15:29" x14ac:dyDescent="0.25">
      <c r="O2498" s="42"/>
      <c r="R2498" s="42"/>
      <c r="AC2498" s="42"/>
    </row>
    <row r="2499" spans="15:29" x14ac:dyDescent="0.25">
      <c r="O2499" s="42"/>
      <c r="R2499" s="42"/>
      <c r="AC2499" s="42"/>
    </row>
    <row r="2500" spans="15:29" x14ac:dyDescent="0.25">
      <c r="O2500" s="42"/>
      <c r="R2500" s="42"/>
      <c r="AC2500" s="42"/>
    </row>
    <row r="2501" spans="15:29" x14ac:dyDescent="0.25">
      <c r="O2501" s="42"/>
      <c r="R2501" s="42"/>
      <c r="AC2501" s="42"/>
    </row>
    <row r="2502" spans="15:29" x14ac:dyDescent="0.25">
      <c r="O2502" s="42"/>
      <c r="R2502" s="42"/>
      <c r="AC2502" s="42"/>
    </row>
    <row r="2503" spans="15:29" x14ac:dyDescent="0.25">
      <c r="O2503" s="42"/>
      <c r="R2503" s="42"/>
      <c r="AC2503" s="42"/>
    </row>
    <row r="2504" spans="15:29" x14ac:dyDescent="0.25">
      <c r="O2504" s="42"/>
      <c r="R2504" s="42"/>
      <c r="AC2504" s="42"/>
    </row>
    <row r="2505" spans="15:29" x14ac:dyDescent="0.25">
      <c r="O2505" s="42"/>
      <c r="R2505" s="42"/>
      <c r="AC2505" s="42"/>
    </row>
    <row r="2506" spans="15:29" x14ac:dyDescent="0.25">
      <c r="O2506" s="42"/>
      <c r="R2506" s="42"/>
      <c r="AC2506" s="42"/>
    </row>
    <row r="2507" spans="15:29" x14ac:dyDescent="0.25">
      <c r="O2507" s="42"/>
      <c r="R2507" s="42"/>
      <c r="AC2507" s="42"/>
    </row>
    <row r="2508" spans="15:29" x14ac:dyDescent="0.25">
      <c r="O2508" s="42"/>
      <c r="R2508" s="42"/>
      <c r="AC2508" s="42"/>
    </row>
    <row r="2509" spans="15:29" x14ac:dyDescent="0.25">
      <c r="O2509" s="42"/>
      <c r="R2509" s="42"/>
      <c r="AC2509" s="42"/>
    </row>
    <row r="2510" spans="15:29" x14ac:dyDescent="0.25">
      <c r="O2510" s="42"/>
      <c r="R2510" s="42"/>
      <c r="AC2510" s="42"/>
    </row>
    <row r="2511" spans="15:29" x14ac:dyDescent="0.25">
      <c r="O2511" s="42"/>
      <c r="R2511" s="42"/>
      <c r="AC2511" s="42"/>
    </row>
    <row r="2512" spans="15:29" x14ac:dyDescent="0.25">
      <c r="O2512" s="42"/>
      <c r="R2512" s="42"/>
      <c r="AC2512" s="42"/>
    </row>
    <row r="2513" spans="15:29" x14ac:dyDescent="0.25">
      <c r="O2513" s="42"/>
      <c r="R2513" s="42"/>
      <c r="AC2513" s="42"/>
    </row>
    <row r="2514" spans="15:29" x14ac:dyDescent="0.25">
      <c r="O2514" s="42"/>
      <c r="R2514" s="42"/>
      <c r="AC2514" s="42"/>
    </row>
    <row r="2515" spans="15:29" x14ac:dyDescent="0.25">
      <c r="O2515" s="42"/>
      <c r="R2515" s="42"/>
      <c r="AC2515" s="42"/>
    </row>
    <row r="2516" spans="15:29" x14ac:dyDescent="0.25">
      <c r="O2516" s="42"/>
      <c r="R2516" s="42"/>
      <c r="AC2516" s="42"/>
    </row>
    <row r="2517" spans="15:29" x14ac:dyDescent="0.25">
      <c r="O2517" s="42"/>
      <c r="R2517" s="42"/>
      <c r="AC2517" s="42"/>
    </row>
    <row r="2518" spans="15:29" x14ac:dyDescent="0.25">
      <c r="O2518" s="42"/>
      <c r="R2518" s="42"/>
      <c r="AC2518" s="42"/>
    </row>
    <row r="2519" spans="15:29" x14ac:dyDescent="0.25">
      <c r="O2519" s="42"/>
      <c r="R2519" s="42"/>
      <c r="AC2519" s="42"/>
    </row>
    <row r="2520" spans="15:29" x14ac:dyDescent="0.25">
      <c r="O2520" s="42"/>
      <c r="R2520" s="42"/>
      <c r="AC2520" s="42"/>
    </row>
    <row r="2521" spans="15:29" x14ac:dyDescent="0.25">
      <c r="O2521" s="42"/>
      <c r="R2521" s="42"/>
      <c r="AC2521" s="42"/>
    </row>
    <row r="2522" spans="15:29" x14ac:dyDescent="0.25">
      <c r="O2522" s="42"/>
      <c r="R2522" s="42"/>
      <c r="AC2522" s="42"/>
    </row>
    <row r="2523" spans="15:29" x14ac:dyDescent="0.25">
      <c r="O2523" s="42"/>
      <c r="R2523" s="42"/>
      <c r="AC2523" s="42"/>
    </row>
    <row r="2524" spans="15:29" x14ac:dyDescent="0.25">
      <c r="O2524" s="42"/>
      <c r="R2524" s="42"/>
      <c r="AC2524" s="42"/>
    </row>
    <row r="2525" spans="15:29" x14ac:dyDescent="0.25">
      <c r="O2525" s="42"/>
      <c r="R2525" s="42"/>
      <c r="AC2525" s="42"/>
    </row>
    <row r="2526" spans="15:29" x14ac:dyDescent="0.25">
      <c r="O2526" s="42"/>
      <c r="R2526" s="42"/>
      <c r="AC2526" s="42"/>
    </row>
    <row r="2527" spans="15:29" x14ac:dyDescent="0.25">
      <c r="O2527" s="42"/>
      <c r="R2527" s="42"/>
      <c r="AC2527" s="42"/>
    </row>
    <row r="2528" spans="15:29" x14ac:dyDescent="0.25">
      <c r="O2528" s="42"/>
      <c r="R2528" s="42"/>
      <c r="AC2528" s="42"/>
    </row>
    <row r="2529" spans="15:29" x14ac:dyDescent="0.25">
      <c r="O2529" s="42"/>
      <c r="R2529" s="42"/>
      <c r="AC2529" s="42"/>
    </row>
    <row r="2530" spans="15:29" x14ac:dyDescent="0.25">
      <c r="O2530" s="42"/>
      <c r="R2530" s="42"/>
      <c r="AC2530" s="42"/>
    </row>
    <row r="2531" spans="15:29" x14ac:dyDescent="0.25">
      <c r="O2531" s="42"/>
      <c r="R2531" s="42"/>
      <c r="AC2531" s="42"/>
    </row>
    <row r="2532" spans="15:29" x14ac:dyDescent="0.25">
      <c r="O2532" s="42"/>
      <c r="R2532" s="42"/>
      <c r="AC2532" s="42"/>
    </row>
    <row r="2533" spans="15:29" x14ac:dyDescent="0.25">
      <c r="O2533" s="42"/>
      <c r="R2533" s="42"/>
      <c r="AC2533" s="42"/>
    </row>
    <row r="2534" spans="15:29" x14ac:dyDescent="0.25">
      <c r="O2534" s="42"/>
      <c r="R2534" s="42"/>
      <c r="AC2534" s="42"/>
    </row>
    <row r="2535" spans="15:29" x14ac:dyDescent="0.25">
      <c r="O2535" s="42"/>
      <c r="R2535" s="42"/>
      <c r="AC2535" s="42"/>
    </row>
    <row r="2536" spans="15:29" x14ac:dyDescent="0.25">
      <c r="O2536" s="42"/>
      <c r="R2536" s="42"/>
      <c r="AC2536" s="42"/>
    </row>
    <row r="2537" spans="15:29" x14ac:dyDescent="0.25">
      <c r="O2537" s="42"/>
      <c r="R2537" s="42"/>
      <c r="AC2537" s="42"/>
    </row>
    <row r="2538" spans="15:29" x14ac:dyDescent="0.25">
      <c r="O2538" s="42"/>
      <c r="R2538" s="42"/>
      <c r="AC2538" s="42"/>
    </row>
    <row r="2539" spans="15:29" x14ac:dyDescent="0.25">
      <c r="O2539" s="42"/>
      <c r="R2539" s="42"/>
      <c r="AC2539" s="42"/>
    </row>
    <row r="2540" spans="15:29" x14ac:dyDescent="0.25">
      <c r="O2540" s="42"/>
      <c r="R2540" s="42"/>
      <c r="AC2540" s="42"/>
    </row>
    <row r="2541" spans="15:29" x14ac:dyDescent="0.25">
      <c r="O2541" s="42"/>
      <c r="R2541" s="42"/>
      <c r="AC2541" s="42"/>
    </row>
    <row r="2542" spans="15:29" x14ac:dyDescent="0.25">
      <c r="O2542" s="42"/>
      <c r="R2542" s="42"/>
      <c r="AC2542" s="42"/>
    </row>
    <row r="2543" spans="15:29" x14ac:dyDescent="0.25">
      <c r="O2543" s="42"/>
      <c r="R2543" s="42"/>
      <c r="AC2543" s="42"/>
    </row>
    <row r="2544" spans="15:29" x14ac:dyDescent="0.25">
      <c r="O2544" s="42"/>
      <c r="R2544" s="42"/>
      <c r="AC2544" s="42"/>
    </row>
    <row r="2545" spans="15:29" x14ac:dyDescent="0.25">
      <c r="O2545" s="42"/>
      <c r="R2545" s="42"/>
      <c r="AC2545" s="42"/>
    </row>
    <row r="2546" spans="15:29" x14ac:dyDescent="0.25">
      <c r="O2546" s="42"/>
      <c r="R2546" s="42"/>
      <c r="AC2546" s="42"/>
    </row>
    <row r="2547" spans="15:29" x14ac:dyDescent="0.25">
      <c r="O2547" s="42"/>
      <c r="R2547" s="42"/>
      <c r="AC2547" s="42"/>
    </row>
    <row r="2548" spans="15:29" x14ac:dyDescent="0.25">
      <c r="O2548" s="42"/>
      <c r="R2548" s="42"/>
      <c r="AC2548" s="42"/>
    </row>
    <row r="2549" spans="15:29" x14ac:dyDescent="0.25">
      <c r="O2549" s="42"/>
      <c r="R2549" s="42"/>
      <c r="AC2549" s="42"/>
    </row>
    <row r="2550" spans="15:29" x14ac:dyDescent="0.25">
      <c r="O2550" s="42"/>
      <c r="R2550" s="42"/>
      <c r="AC2550" s="42"/>
    </row>
    <row r="2551" spans="15:29" x14ac:dyDescent="0.25">
      <c r="O2551" s="42"/>
      <c r="R2551" s="42"/>
      <c r="AC2551" s="42"/>
    </row>
    <row r="2552" spans="15:29" x14ac:dyDescent="0.25">
      <c r="O2552" s="42"/>
      <c r="R2552" s="42"/>
      <c r="AC2552" s="42"/>
    </row>
    <row r="2553" spans="15:29" x14ac:dyDescent="0.25">
      <c r="O2553" s="42"/>
      <c r="R2553" s="42"/>
      <c r="AC2553" s="42"/>
    </row>
    <row r="2554" spans="15:29" x14ac:dyDescent="0.25">
      <c r="O2554" s="42"/>
      <c r="R2554" s="42"/>
      <c r="AC2554" s="42"/>
    </row>
    <row r="2555" spans="15:29" x14ac:dyDescent="0.25">
      <c r="O2555" s="42"/>
      <c r="R2555" s="42"/>
      <c r="AC2555" s="42"/>
    </row>
    <row r="2556" spans="15:29" x14ac:dyDescent="0.25">
      <c r="O2556" s="42"/>
      <c r="R2556" s="42"/>
      <c r="AC2556" s="42"/>
    </row>
    <row r="2557" spans="15:29" x14ac:dyDescent="0.25">
      <c r="O2557" s="42"/>
      <c r="R2557" s="42"/>
      <c r="AC2557" s="42"/>
    </row>
    <row r="2558" spans="15:29" x14ac:dyDescent="0.25">
      <c r="O2558" s="42"/>
      <c r="R2558" s="42"/>
      <c r="AC2558" s="42"/>
    </row>
    <row r="2559" spans="15:29" x14ac:dyDescent="0.25">
      <c r="O2559" s="42"/>
      <c r="R2559" s="42"/>
      <c r="AC2559" s="42"/>
    </row>
    <row r="2560" spans="15:29" x14ac:dyDescent="0.25">
      <c r="O2560" s="42"/>
      <c r="R2560" s="42"/>
      <c r="AC2560" s="42"/>
    </row>
    <row r="2561" spans="15:29" x14ac:dyDescent="0.25">
      <c r="O2561" s="42"/>
      <c r="R2561" s="42"/>
      <c r="AC2561" s="42"/>
    </row>
    <row r="2562" spans="15:29" x14ac:dyDescent="0.25">
      <c r="O2562" s="42"/>
      <c r="R2562" s="42"/>
      <c r="AC2562" s="42"/>
    </row>
    <row r="2563" spans="15:29" x14ac:dyDescent="0.25">
      <c r="O2563" s="42"/>
      <c r="R2563" s="42"/>
      <c r="AC2563" s="42"/>
    </row>
    <row r="2564" spans="15:29" x14ac:dyDescent="0.25">
      <c r="O2564" s="42"/>
      <c r="R2564" s="42"/>
      <c r="AC2564" s="42"/>
    </row>
    <row r="2565" spans="15:29" x14ac:dyDescent="0.25">
      <c r="O2565" s="42"/>
      <c r="R2565" s="42"/>
      <c r="AC2565" s="42"/>
    </row>
    <row r="2566" spans="15:29" x14ac:dyDescent="0.25">
      <c r="O2566" s="42"/>
      <c r="R2566" s="42"/>
      <c r="AC2566" s="42"/>
    </row>
    <row r="2567" spans="15:29" x14ac:dyDescent="0.25">
      <c r="O2567" s="42"/>
      <c r="R2567" s="42"/>
      <c r="AC2567" s="42"/>
    </row>
    <row r="2568" spans="15:29" x14ac:dyDescent="0.25">
      <c r="O2568" s="42"/>
      <c r="R2568" s="42"/>
      <c r="AC2568" s="42"/>
    </row>
    <row r="2569" spans="15:29" x14ac:dyDescent="0.25">
      <c r="O2569" s="42"/>
      <c r="R2569" s="42"/>
      <c r="AC2569" s="42"/>
    </row>
    <row r="2570" spans="15:29" x14ac:dyDescent="0.25">
      <c r="O2570" s="42"/>
      <c r="R2570" s="42"/>
      <c r="AC2570" s="42"/>
    </row>
    <row r="2571" spans="15:29" x14ac:dyDescent="0.25">
      <c r="O2571" s="42"/>
      <c r="R2571" s="42"/>
      <c r="AC2571" s="42"/>
    </row>
    <row r="2572" spans="15:29" x14ac:dyDescent="0.25">
      <c r="O2572" s="42"/>
      <c r="R2572" s="42"/>
      <c r="AC2572" s="42"/>
    </row>
    <row r="2573" spans="15:29" x14ac:dyDescent="0.25">
      <c r="O2573" s="42"/>
      <c r="R2573" s="42"/>
      <c r="AC2573" s="42"/>
    </row>
    <row r="2574" spans="15:29" x14ac:dyDescent="0.25">
      <c r="O2574" s="42"/>
      <c r="R2574" s="42"/>
      <c r="AC2574" s="42"/>
    </row>
    <row r="2575" spans="15:29" x14ac:dyDescent="0.25">
      <c r="O2575" s="42"/>
      <c r="R2575" s="42"/>
      <c r="AC2575" s="42"/>
    </row>
    <row r="2576" spans="15:29" x14ac:dyDescent="0.25">
      <c r="O2576" s="42"/>
      <c r="R2576" s="42"/>
      <c r="AC2576" s="42"/>
    </row>
    <row r="2577" spans="15:29" x14ac:dyDescent="0.25">
      <c r="O2577" s="42"/>
      <c r="R2577" s="42"/>
      <c r="AC2577" s="42"/>
    </row>
    <row r="2578" spans="15:29" x14ac:dyDescent="0.25">
      <c r="O2578" s="42"/>
      <c r="R2578" s="42"/>
      <c r="AC2578" s="42"/>
    </row>
    <row r="2579" spans="15:29" x14ac:dyDescent="0.25">
      <c r="O2579" s="42"/>
      <c r="R2579" s="42"/>
      <c r="AC2579" s="42"/>
    </row>
    <row r="2580" spans="15:29" x14ac:dyDescent="0.25">
      <c r="O2580" s="42"/>
      <c r="R2580" s="42"/>
      <c r="AC2580" s="42"/>
    </row>
    <row r="2581" spans="15:29" x14ac:dyDescent="0.25">
      <c r="O2581" s="42"/>
      <c r="R2581" s="42"/>
      <c r="AC2581" s="42"/>
    </row>
    <row r="2582" spans="15:29" x14ac:dyDescent="0.25">
      <c r="O2582" s="42"/>
      <c r="R2582" s="42"/>
      <c r="AC2582" s="42"/>
    </row>
    <row r="2583" spans="15:29" x14ac:dyDescent="0.25">
      <c r="O2583" s="42"/>
      <c r="R2583" s="42"/>
      <c r="AC2583" s="42"/>
    </row>
    <row r="2584" spans="15:29" x14ac:dyDescent="0.25">
      <c r="O2584" s="42"/>
      <c r="R2584" s="42"/>
      <c r="AC2584" s="42"/>
    </row>
    <row r="2585" spans="15:29" x14ac:dyDescent="0.25">
      <c r="O2585" s="42"/>
      <c r="R2585" s="42"/>
      <c r="AC2585" s="42"/>
    </row>
    <row r="2586" spans="15:29" x14ac:dyDescent="0.25">
      <c r="O2586" s="42"/>
      <c r="R2586" s="42"/>
      <c r="AC2586" s="42"/>
    </row>
    <row r="2587" spans="15:29" x14ac:dyDescent="0.25">
      <c r="O2587" s="42"/>
      <c r="R2587" s="42"/>
      <c r="AC2587" s="42"/>
    </row>
    <row r="2588" spans="15:29" x14ac:dyDescent="0.25">
      <c r="O2588" s="42"/>
      <c r="R2588" s="42"/>
      <c r="AC2588" s="42"/>
    </row>
    <row r="2589" spans="15:29" x14ac:dyDescent="0.25">
      <c r="O2589" s="42"/>
      <c r="R2589" s="42"/>
      <c r="AC2589" s="42"/>
    </row>
    <row r="2590" spans="15:29" x14ac:dyDescent="0.25">
      <c r="O2590" s="42"/>
      <c r="R2590" s="42"/>
      <c r="AC2590" s="42"/>
    </row>
    <row r="2591" spans="15:29" x14ac:dyDescent="0.25">
      <c r="O2591" s="42"/>
      <c r="R2591" s="42"/>
      <c r="AC2591" s="42"/>
    </row>
    <row r="2592" spans="15:29" x14ac:dyDescent="0.25">
      <c r="O2592" s="42"/>
      <c r="R2592" s="42"/>
      <c r="AC2592" s="42"/>
    </row>
    <row r="2593" spans="15:29" x14ac:dyDescent="0.25">
      <c r="O2593" s="42"/>
      <c r="R2593" s="42"/>
      <c r="AC2593" s="42"/>
    </row>
    <row r="2594" spans="15:29" x14ac:dyDescent="0.25">
      <c r="O2594" s="42"/>
      <c r="R2594" s="42"/>
      <c r="AC2594" s="42"/>
    </row>
    <row r="2595" spans="15:29" x14ac:dyDescent="0.25">
      <c r="O2595" s="42"/>
      <c r="R2595" s="42"/>
      <c r="AC2595" s="42"/>
    </row>
    <row r="2596" spans="15:29" x14ac:dyDescent="0.25">
      <c r="O2596" s="42"/>
      <c r="R2596" s="42"/>
      <c r="AC2596" s="42"/>
    </row>
    <row r="2597" spans="15:29" x14ac:dyDescent="0.25">
      <c r="O2597" s="42"/>
      <c r="R2597" s="42"/>
      <c r="AC2597" s="42"/>
    </row>
    <row r="2598" spans="15:29" x14ac:dyDescent="0.25">
      <c r="O2598" s="42"/>
      <c r="R2598" s="42"/>
      <c r="AC2598" s="42"/>
    </row>
    <row r="2599" spans="15:29" x14ac:dyDescent="0.25">
      <c r="O2599" s="42"/>
      <c r="R2599" s="42"/>
      <c r="AC2599" s="42"/>
    </row>
    <row r="2600" spans="15:29" x14ac:dyDescent="0.25">
      <c r="O2600" s="42"/>
      <c r="R2600" s="42"/>
      <c r="AC2600" s="42"/>
    </row>
    <row r="2601" spans="15:29" x14ac:dyDescent="0.25">
      <c r="O2601" s="42"/>
      <c r="R2601" s="42"/>
      <c r="AC2601" s="42"/>
    </row>
    <row r="2602" spans="15:29" x14ac:dyDescent="0.25">
      <c r="O2602" s="42"/>
      <c r="R2602" s="42"/>
      <c r="AC2602" s="42"/>
    </row>
    <row r="2603" spans="15:29" x14ac:dyDescent="0.25">
      <c r="O2603" s="42"/>
      <c r="R2603" s="42"/>
      <c r="AC2603" s="42"/>
    </row>
    <row r="2604" spans="15:29" x14ac:dyDescent="0.25">
      <c r="O2604" s="42"/>
      <c r="R2604" s="42"/>
      <c r="AC2604" s="42"/>
    </row>
    <row r="2605" spans="15:29" x14ac:dyDescent="0.25">
      <c r="O2605" s="42"/>
      <c r="R2605" s="42"/>
      <c r="AC2605" s="42"/>
    </row>
    <row r="2606" spans="15:29" x14ac:dyDescent="0.25">
      <c r="O2606" s="42"/>
      <c r="R2606" s="42"/>
      <c r="AC2606" s="42"/>
    </row>
    <row r="2607" spans="15:29" x14ac:dyDescent="0.25">
      <c r="O2607" s="42"/>
      <c r="R2607" s="42"/>
      <c r="AC2607" s="42"/>
    </row>
    <row r="2608" spans="15:29" x14ac:dyDescent="0.25">
      <c r="O2608" s="42"/>
      <c r="R2608" s="42"/>
      <c r="AC2608" s="42"/>
    </row>
    <row r="2609" spans="15:29" x14ac:dyDescent="0.25">
      <c r="O2609" s="42"/>
      <c r="R2609" s="42"/>
      <c r="AC2609" s="42"/>
    </row>
    <row r="2610" spans="15:29" x14ac:dyDescent="0.25">
      <c r="O2610" s="42"/>
      <c r="R2610" s="42"/>
      <c r="AC2610" s="42"/>
    </row>
    <row r="2611" spans="15:29" x14ac:dyDescent="0.25">
      <c r="O2611" s="42"/>
      <c r="R2611" s="42"/>
      <c r="AC2611" s="42"/>
    </row>
    <row r="2612" spans="15:29" x14ac:dyDescent="0.25">
      <c r="O2612" s="42"/>
      <c r="R2612" s="42"/>
      <c r="AC2612" s="42"/>
    </row>
    <row r="2613" spans="15:29" x14ac:dyDescent="0.25">
      <c r="O2613" s="42"/>
      <c r="R2613" s="42"/>
      <c r="AC2613" s="42"/>
    </row>
    <row r="2614" spans="15:29" x14ac:dyDescent="0.25">
      <c r="O2614" s="42"/>
      <c r="R2614" s="42"/>
      <c r="AC2614" s="42"/>
    </row>
    <row r="2615" spans="15:29" x14ac:dyDescent="0.25">
      <c r="O2615" s="42"/>
      <c r="R2615" s="42"/>
      <c r="AC2615" s="42"/>
    </row>
    <row r="2616" spans="15:29" x14ac:dyDescent="0.25">
      <c r="O2616" s="42"/>
      <c r="R2616" s="42"/>
      <c r="AC2616" s="42"/>
    </row>
    <row r="2617" spans="15:29" x14ac:dyDescent="0.25">
      <c r="O2617" s="42"/>
      <c r="R2617" s="42"/>
      <c r="AC2617" s="42"/>
    </row>
    <row r="2618" spans="15:29" x14ac:dyDescent="0.25">
      <c r="O2618" s="42"/>
      <c r="R2618" s="42"/>
      <c r="AC2618" s="42"/>
    </row>
    <row r="2619" spans="15:29" x14ac:dyDescent="0.25">
      <c r="O2619" s="42"/>
      <c r="R2619" s="42"/>
      <c r="AC2619" s="42"/>
    </row>
    <row r="2620" spans="15:29" x14ac:dyDescent="0.25">
      <c r="O2620" s="42"/>
      <c r="R2620" s="42"/>
      <c r="AC2620" s="42"/>
    </row>
    <row r="2621" spans="15:29" x14ac:dyDescent="0.25">
      <c r="O2621" s="42"/>
      <c r="R2621" s="42"/>
      <c r="AC2621" s="42"/>
    </row>
    <row r="2622" spans="15:29" x14ac:dyDescent="0.25">
      <c r="O2622" s="42"/>
      <c r="R2622" s="42"/>
      <c r="AC2622" s="42"/>
    </row>
    <row r="2623" spans="15:29" x14ac:dyDescent="0.25">
      <c r="O2623" s="42"/>
      <c r="R2623" s="42"/>
      <c r="AC2623" s="42"/>
    </row>
    <row r="2624" spans="15:29" x14ac:dyDescent="0.25">
      <c r="O2624" s="42"/>
      <c r="R2624" s="42"/>
      <c r="AC2624" s="42"/>
    </row>
    <row r="2625" spans="15:29" x14ac:dyDescent="0.25">
      <c r="O2625" s="42"/>
      <c r="R2625" s="42"/>
      <c r="AC2625" s="42"/>
    </row>
    <row r="2626" spans="15:29" x14ac:dyDescent="0.25">
      <c r="O2626" s="42"/>
      <c r="R2626" s="42"/>
      <c r="AC2626" s="42"/>
    </row>
    <row r="2627" spans="15:29" x14ac:dyDescent="0.25">
      <c r="O2627" s="42"/>
      <c r="R2627" s="42"/>
      <c r="AC2627" s="42"/>
    </row>
    <row r="2628" spans="15:29" x14ac:dyDescent="0.25">
      <c r="O2628" s="42"/>
      <c r="R2628" s="42"/>
      <c r="AC2628" s="42"/>
    </row>
    <row r="2629" spans="15:29" x14ac:dyDescent="0.25">
      <c r="O2629" s="42"/>
      <c r="R2629" s="42"/>
      <c r="AC2629" s="42"/>
    </row>
    <row r="2630" spans="15:29" x14ac:dyDescent="0.25">
      <c r="O2630" s="42"/>
      <c r="R2630" s="42"/>
      <c r="AC2630" s="42"/>
    </row>
    <row r="2631" spans="15:29" x14ac:dyDescent="0.25">
      <c r="O2631" s="42"/>
      <c r="R2631" s="42"/>
      <c r="AC2631" s="42"/>
    </row>
    <row r="2632" spans="15:29" x14ac:dyDescent="0.25">
      <c r="O2632" s="42"/>
      <c r="R2632" s="42"/>
      <c r="AC2632" s="42"/>
    </row>
    <row r="2633" spans="15:29" x14ac:dyDescent="0.25">
      <c r="O2633" s="42"/>
      <c r="R2633" s="42"/>
      <c r="AC2633" s="42"/>
    </row>
    <row r="2634" spans="15:29" x14ac:dyDescent="0.25">
      <c r="O2634" s="42"/>
      <c r="R2634" s="42"/>
      <c r="AC2634" s="42"/>
    </row>
    <row r="2635" spans="15:29" x14ac:dyDescent="0.25">
      <c r="O2635" s="42"/>
      <c r="R2635" s="42"/>
      <c r="AC2635" s="42"/>
    </row>
    <row r="2636" spans="15:29" x14ac:dyDescent="0.25">
      <c r="O2636" s="42"/>
      <c r="R2636" s="42"/>
      <c r="AC2636" s="42"/>
    </row>
    <row r="2637" spans="15:29" x14ac:dyDescent="0.25">
      <c r="O2637" s="42"/>
      <c r="R2637" s="42"/>
      <c r="AC2637" s="42"/>
    </row>
    <row r="2638" spans="15:29" x14ac:dyDescent="0.25">
      <c r="O2638" s="42"/>
      <c r="R2638" s="42"/>
      <c r="AC2638" s="42"/>
    </row>
    <row r="2639" spans="15:29" x14ac:dyDescent="0.25">
      <c r="O2639" s="42"/>
      <c r="R2639" s="42"/>
      <c r="AC2639" s="42"/>
    </row>
    <row r="2640" spans="15:29" x14ac:dyDescent="0.25">
      <c r="O2640" s="42"/>
      <c r="R2640" s="42"/>
      <c r="AC2640" s="42"/>
    </row>
    <row r="2641" spans="15:29" x14ac:dyDescent="0.25">
      <c r="O2641" s="42"/>
      <c r="R2641" s="42"/>
      <c r="AC2641" s="42"/>
    </row>
    <row r="2642" spans="15:29" x14ac:dyDescent="0.25">
      <c r="O2642" s="42"/>
      <c r="R2642" s="42"/>
      <c r="AC2642" s="42"/>
    </row>
    <row r="2643" spans="15:29" x14ac:dyDescent="0.25">
      <c r="O2643" s="42"/>
      <c r="R2643" s="42"/>
      <c r="AC2643" s="42"/>
    </row>
    <row r="2644" spans="15:29" x14ac:dyDescent="0.25">
      <c r="O2644" s="42"/>
      <c r="R2644" s="42"/>
      <c r="AC2644" s="42"/>
    </row>
    <row r="2645" spans="15:29" x14ac:dyDescent="0.25">
      <c r="O2645" s="42"/>
      <c r="R2645" s="42"/>
      <c r="AC2645" s="42"/>
    </row>
    <row r="2646" spans="15:29" x14ac:dyDescent="0.25">
      <c r="O2646" s="42"/>
      <c r="R2646" s="42"/>
      <c r="AC2646" s="42"/>
    </row>
    <row r="2647" spans="15:29" x14ac:dyDescent="0.25">
      <c r="O2647" s="42"/>
      <c r="R2647" s="42"/>
      <c r="AC2647" s="42"/>
    </row>
    <row r="2648" spans="15:29" x14ac:dyDescent="0.25">
      <c r="O2648" s="42"/>
      <c r="R2648" s="42"/>
      <c r="AC2648" s="42"/>
    </row>
    <row r="2649" spans="15:29" x14ac:dyDescent="0.25">
      <c r="O2649" s="42"/>
      <c r="R2649" s="42"/>
      <c r="AC2649" s="42"/>
    </row>
    <row r="2650" spans="15:29" x14ac:dyDescent="0.25">
      <c r="O2650" s="42"/>
      <c r="R2650" s="42"/>
      <c r="AC2650" s="42"/>
    </row>
    <row r="2651" spans="15:29" x14ac:dyDescent="0.25">
      <c r="O2651" s="42"/>
      <c r="R2651" s="42"/>
      <c r="AC2651" s="42"/>
    </row>
    <row r="2652" spans="15:29" x14ac:dyDescent="0.25">
      <c r="O2652" s="42"/>
      <c r="R2652" s="42"/>
      <c r="AC2652" s="42"/>
    </row>
    <row r="2653" spans="15:29" x14ac:dyDescent="0.25">
      <c r="O2653" s="42"/>
      <c r="R2653" s="42"/>
      <c r="AC2653" s="42"/>
    </row>
    <row r="2654" spans="15:29" x14ac:dyDescent="0.25">
      <c r="O2654" s="42"/>
      <c r="R2654" s="42"/>
      <c r="AC2654" s="42"/>
    </row>
    <row r="2655" spans="15:29" x14ac:dyDescent="0.25">
      <c r="O2655" s="42"/>
      <c r="R2655" s="42"/>
      <c r="AC2655" s="42"/>
    </row>
    <row r="2656" spans="15:29" x14ac:dyDescent="0.25">
      <c r="O2656" s="42"/>
      <c r="R2656" s="42"/>
      <c r="AC2656" s="42"/>
    </row>
    <row r="2657" spans="15:29" x14ac:dyDescent="0.25">
      <c r="O2657" s="42"/>
      <c r="R2657" s="42"/>
      <c r="AC2657" s="42"/>
    </row>
    <row r="2658" spans="15:29" x14ac:dyDescent="0.25">
      <c r="O2658" s="42"/>
      <c r="R2658" s="42"/>
      <c r="AC2658" s="42"/>
    </row>
    <row r="2659" spans="15:29" x14ac:dyDescent="0.25">
      <c r="O2659" s="42"/>
      <c r="R2659" s="42"/>
      <c r="AC2659" s="42"/>
    </row>
    <row r="2660" spans="15:29" x14ac:dyDescent="0.25">
      <c r="O2660" s="42"/>
      <c r="R2660" s="42"/>
      <c r="AC2660" s="42"/>
    </row>
    <row r="2661" spans="15:29" x14ac:dyDescent="0.25">
      <c r="O2661" s="42"/>
      <c r="R2661" s="42"/>
      <c r="AC2661" s="42"/>
    </row>
    <row r="2662" spans="15:29" x14ac:dyDescent="0.25">
      <c r="O2662" s="42"/>
      <c r="R2662" s="42"/>
      <c r="AC2662" s="42"/>
    </row>
    <row r="2663" spans="15:29" x14ac:dyDescent="0.25">
      <c r="O2663" s="42"/>
      <c r="R2663" s="42"/>
      <c r="AC2663" s="42"/>
    </row>
    <row r="2664" spans="15:29" x14ac:dyDescent="0.25">
      <c r="O2664" s="42"/>
      <c r="R2664" s="42"/>
      <c r="AC2664" s="42"/>
    </row>
    <row r="2665" spans="15:29" x14ac:dyDescent="0.25">
      <c r="O2665" s="42"/>
      <c r="R2665" s="42"/>
      <c r="AC2665" s="42"/>
    </row>
    <row r="2666" spans="15:29" x14ac:dyDescent="0.25">
      <c r="O2666" s="42"/>
      <c r="R2666" s="42"/>
      <c r="AC2666" s="42"/>
    </row>
    <row r="2667" spans="15:29" x14ac:dyDescent="0.25">
      <c r="O2667" s="42"/>
      <c r="R2667" s="42"/>
      <c r="AC2667" s="42"/>
    </row>
    <row r="2668" spans="15:29" x14ac:dyDescent="0.25">
      <c r="O2668" s="42"/>
      <c r="R2668" s="42"/>
      <c r="AC2668" s="42"/>
    </row>
    <row r="2669" spans="15:29" x14ac:dyDescent="0.25">
      <c r="O2669" s="42"/>
      <c r="R2669" s="42"/>
      <c r="AC2669" s="42"/>
    </row>
    <row r="2670" spans="15:29" x14ac:dyDescent="0.25">
      <c r="O2670" s="42"/>
      <c r="R2670" s="42"/>
      <c r="AC2670" s="42"/>
    </row>
    <row r="2671" spans="15:29" x14ac:dyDescent="0.25">
      <c r="O2671" s="42"/>
      <c r="R2671" s="42"/>
      <c r="AC2671" s="42"/>
    </row>
    <row r="2672" spans="15:29" x14ac:dyDescent="0.25">
      <c r="O2672" s="42"/>
      <c r="R2672" s="42"/>
      <c r="AC2672" s="42"/>
    </row>
    <row r="2673" spans="15:29" x14ac:dyDescent="0.25">
      <c r="O2673" s="42"/>
      <c r="R2673" s="42"/>
      <c r="AC2673" s="42"/>
    </row>
    <row r="2674" spans="15:29" x14ac:dyDescent="0.25">
      <c r="O2674" s="42"/>
      <c r="R2674" s="42"/>
      <c r="AC2674" s="42"/>
    </row>
    <row r="2675" spans="15:29" x14ac:dyDescent="0.25">
      <c r="O2675" s="42"/>
      <c r="R2675" s="42"/>
      <c r="AC2675" s="42"/>
    </row>
    <row r="2676" spans="15:29" x14ac:dyDescent="0.25">
      <c r="O2676" s="42"/>
      <c r="R2676" s="42"/>
      <c r="AC2676" s="42"/>
    </row>
    <row r="2677" spans="15:29" x14ac:dyDescent="0.25">
      <c r="O2677" s="42"/>
      <c r="R2677" s="42"/>
      <c r="AC2677" s="42"/>
    </row>
    <row r="2678" spans="15:29" x14ac:dyDescent="0.25">
      <c r="O2678" s="42"/>
      <c r="R2678" s="42"/>
      <c r="AC2678" s="42"/>
    </row>
    <row r="2679" spans="15:29" x14ac:dyDescent="0.25">
      <c r="O2679" s="42"/>
      <c r="R2679" s="42"/>
      <c r="AC2679" s="42"/>
    </row>
    <row r="2680" spans="15:29" x14ac:dyDescent="0.25">
      <c r="O2680" s="42"/>
      <c r="R2680" s="42"/>
      <c r="AC2680" s="42"/>
    </row>
    <row r="2681" spans="15:29" x14ac:dyDescent="0.25">
      <c r="O2681" s="42"/>
      <c r="R2681" s="42"/>
      <c r="AC2681" s="42"/>
    </row>
    <row r="2682" spans="15:29" x14ac:dyDescent="0.25">
      <c r="O2682" s="42"/>
      <c r="R2682" s="42"/>
      <c r="AC2682" s="42"/>
    </row>
    <row r="2683" spans="15:29" x14ac:dyDescent="0.25">
      <c r="O2683" s="42"/>
      <c r="R2683" s="42"/>
      <c r="AC2683" s="42"/>
    </row>
    <row r="2684" spans="15:29" x14ac:dyDescent="0.25">
      <c r="O2684" s="42"/>
      <c r="R2684" s="42"/>
      <c r="AC2684" s="42"/>
    </row>
    <row r="2685" spans="15:29" x14ac:dyDescent="0.25">
      <c r="O2685" s="42"/>
      <c r="R2685" s="42"/>
      <c r="AC2685" s="42"/>
    </row>
    <row r="2686" spans="15:29" x14ac:dyDescent="0.25">
      <c r="O2686" s="42"/>
      <c r="R2686" s="42"/>
      <c r="AC2686" s="42"/>
    </row>
    <row r="2687" spans="15:29" x14ac:dyDescent="0.25">
      <c r="O2687" s="42"/>
      <c r="R2687" s="42"/>
      <c r="AC2687" s="42"/>
    </row>
    <row r="2688" spans="15:29" x14ac:dyDescent="0.25">
      <c r="O2688" s="42"/>
      <c r="R2688" s="42"/>
      <c r="AC2688" s="42"/>
    </row>
    <row r="2689" spans="15:29" x14ac:dyDescent="0.25">
      <c r="O2689" s="42"/>
      <c r="R2689" s="42"/>
      <c r="AC2689" s="42"/>
    </row>
    <row r="2690" spans="15:29" x14ac:dyDescent="0.25">
      <c r="O2690" s="42"/>
      <c r="R2690" s="42"/>
      <c r="AC2690" s="42"/>
    </row>
    <row r="2691" spans="15:29" x14ac:dyDescent="0.25">
      <c r="O2691" s="42"/>
      <c r="R2691" s="42"/>
      <c r="AC2691" s="42"/>
    </row>
    <row r="2692" spans="15:29" x14ac:dyDescent="0.25">
      <c r="O2692" s="42"/>
      <c r="R2692" s="42"/>
      <c r="AC2692" s="42"/>
    </row>
    <row r="2693" spans="15:29" x14ac:dyDescent="0.25">
      <c r="O2693" s="42"/>
      <c r="R2693" s="42"/>
      <c r="AC2693" s="42"/>
    </row>
    <row r="2694" spans="15:29" x14ac:dyDescent="0.25">
      <c r="O2694" s="42"/>
      <c r="R2694" s="42"/>
      <c r="AC2694" s="42"/>
    </row>
    <row r="2695" spans="15:29" x14ac:dyDescent="0.25">
      <c r="O2695" s="42"/>
      <c r="R2695" s="42"/>
      <c r="AC2695" s="42"/>
    </row>
    <row r="2696" spans="15:29" x14ac:dyDescent="0.25">
      <c r="O2696" s="42"/>
      <c r="R2696" s="42"/>
      <c r="AC2696" s="42"/>
    </row>
    <row r="2697" spans="15:29" x14ac:dyDescent="0.25">
      <c r="O2697" s="42"/>
      <c r="R2697" s="42"/>
      <c r="AC2697" s="42"/>
    </row>
    <row r="2698" spans="15:29" x14ac:dyDescent="0.25">
      <c r="O2698" s="42"/>
      <c r="R2698" s="42"/>
      <c r="AC2698" s="42"/>
    </row>
    <row r="2699" spans="15:29" x14ac:dyDescent="0.25">
      <c r="O2699" s="42"/>
      <c r="R2699" s="42"/>
      <c r="AC2699" s="42"/>
    </row>
    <row r="2700" spans="15:29" x14ac:dyDescent="0.25">
      <c r="O2700" s="42"/>
      <c r="R2700" s="42"/>
      <c r="AC2700" s="42"/>
    </row>
    <row r="2701" spans="15:29" x14ac:dyDescent="0.25">
      <c r="O2701" s="42"/>
      <c r="R2701" s="42"/>
      <c r="AC2701" s="42"/>
    </row>
    <row r="2702" spans="15:29" x14ac:dyDescent="0.25">
      <c r="O2702" s="42"/>
      <c r="R2702" s="42"/>
      <c r="AC2702" s="42"/>
    </row>
    <row r="2703" spans="15:29" x14ac:dyDescent="0.25">
      <c r="O2703" s="42"/>
      <c r="R2703" s="42"/>
      <c r="AC2703" s="42"/>
    </row>
    <row r="2704" spans="15:29" x14ac:dyDescent="0.25">
      <c r="O2704" s="42"/>
      <c r="R2704" s="42"/>
      <c r="AC2704" s="42"/>
    </row>
    <row r="2705" spans="15:29" x14ac:dyDescent="0.25">
      <c r="O2705" s="42"/>
      <c r="R2705" s="42"/>
      <c r="AC2705" s="42"/>
    </row>
    <row r="2706" spans="15:29" x14ac:dyDescent="0.25">
      <c r="O2706" s="42"/>
      <c r="R2706" s="42"/>
      <c r="AC2706" s="42"/>
    </row>
    <row r="2707" spans="15:29" x14ac:dyDescent="0.25">
      <c r="O2707" s="42"/>
      <c r="R2707" s="42"/>
      <c r="AC2707" s="42"/>
    </row>
    <row r="2708" spans="15:29" x14ac:dyDescent="0.25">
      <c r="O2708" s="42"/>
      <c r="R2708" s="42"/>
      <c r="AC2708" s="42"/>
    </row>
    <row r="2709" spans="15:29" x14ac:dyDescent="0.25">
      <c r="O2709" s="42"/>
      <c r="R2709" s="42"/>
      <c r="AC2709" s="42"/>
    </row>
    <row r="2710" spans="15:29" x14ac:dyDescent="0.25">
      <c r="O2710" s="42"/>
      <c r="R2710" s="42"/>
      <c r="AC2710" s="42"/>
    </row>
    <row r="2711" spans="15:29" x14ac:dyDescent="0.25">
      <c r="O2711" s="42"/>
      <c r="R2711" s="42"/>
      <c r="AC2711" s="42"/>
    </row>
    <row r="2712" spans="15:29" x14ac:dyDescent="0.25">
      <c r="O2712" s="42"/>
      <c r="R2712" s="42"/>
      <c r="AC2712" s="42"/>
    </row>
    <row r="2713" spans="15:29" x14ac:dyDescent="0.25">
      <c r="O2713" s="42"/>
      <c r="R2713" s="42"/>
      <c r="AC2713" s="42"/>
    </row>
    <row r="2714" spans="15:29" x14ac:dyDescent="0.25">
      <c r="O2714" s="42"/>
      <c r="R2714" s="42"/>
      <c r="AC2714" s="42"/>
    </row>
    <row r="2715" spans="15:29" x14ac:dyDescent="0.25">
      <c r="O2715" s="42"/>
      <c r="R2715" s="42"/>
      <c r="AC2715" s="42"/>
    </row>
    <row r="2716" spans="15:29" x14ac:dyDescent="0.25">
      <c r="O2716" s="42"/>
      <c r="R2716" s="42"/>
      <c r="AC2716" s="42"/>
    </row>
    <row r="2717" spans="15:29" x14ac:dyDescent="0.25">
      <c r="O2717" s="42"/>
      <c r="R2717" s="42"/>
      <c r="AC2717" s="42"/>
    </row>
    <row r="2718" spans="15:29" x14ac:dyDescent="0.25">
      <c r="O2718" s="42"/>
      <c r="R2718" s="42"/>
      <c r="AC2718" s="42"/>
    </row>
    <row r="2719" spans="15:29" x14ac:dyDescent="0.25">
      <c r="O2719" s="42"/>
      <c r="R2719" s="42"/>
      <c r="AC2719" s="42"/>
    </row>
    <row r="2720" spans="15:29" x14ac:dyDescent="0.25">
      <c r="O2720" s="42"/>
      <c r="R2720" s="42"/>
      <c r="AC2720" s="42"/>
    </row>
    <row r="2721" spans="15:29" x14ac:dyDescent="0.25">
      <c r="O2721" s="42"/>
      <c r="R2721" s="42"/>
      <c r="AC2721" s="42"/>
    </row>
    <row r="2722" spans="15:29" x14ac:dyDescent="0.25">
      <c r="O2722" s="42"/>
      <c r="R2722" s="42"/>
      <c r="AC2722" s="42"/>
    </row>
    <row r="2723" spans="15:29" x14ac:dyDescent="0.25">
      <c r="O2723" s="42"/>
      <c r="R2723" s="42"/>
      <c r="AC2723" s="42"/>
    </row>
    <row r="2724" spans="15:29" x14ac:dyDescent="0.25">
      <c r="O2724" s="42"/>
      <c r="R2724" s="42"/>
      <c r="AC2724" s="42"/>
    </row>
    <row r="2725" spans="15:29" x14ac:dyDescent="0.25">
      <c r="O2725" s="42"/>
      <c r="R2725" s="42"/>
      <c r="AC2725" s="42"/>
    </row>
    <row r="2726" spans="15:29" x14ac:dyDescent="0.25">
      <c r="O2726" s="42"/>
      <c r="R2726" s="42"/>
      <c r="AC2726" s="42"/>
    </row>
    <row r="2727" spans="15:29" x14ac:dyDescent="0.25">
      <c r="O2727" s="42"/>
      <c r="R2727" s="42"/>
      <c r="AC2727" s="42"/>
    </row>
    <row r="2728" spans="15:29" x14ac:dyDescent="0.25">
      <c r="O2728" s="42"/>
      <c r="R2728" s="42"/>
      <c r="AC2728" s="42"/>
    </row>
    <row r="2729" spans="15:29" x14ac:dyDescent="0.25">
      <c r="O2729" s="42"/>
      <c r="R2729" s="42"/>
      <c r="AC2729" s="42"/>
    </row>
    <row r="2730" spans="15:29" x14ac:dyDescent="0.25">
      <c r="O2730" s="42"/>
      <c r="R2730" s="42"/>
      <c r="AC2730" s="42"/>
    </row>
    <row r="2731" spans="15:29" x14ac:dyDescent="0.25">
      <c r="O2731" s="42"/>
      <c r="R2731" s="42"/>
      <c r="AC2731" s="42"/>
    </row>
    <row r="2732" spans="15:29" x14ac:dyDescent="0.25">
      <c r="O2732" s="42"/>
      <c r="R2732" s="42"/>
      <c r="AC2732" s="42"/>
    </row>
    <row r="2733" spans="15:29" x14ac:dyDescent="0.25">
      <c r="O2733" s="42"/>
      <c r="R2733" s="42"/>
      <c r="AC2733" s="42"/>
    </row>
    <row r="2734" spans="15:29" x14ac:dyDescent="0.25">
      <c r="O2734" s="42"/>
      <c r="R2734" s="42"/>
      <c r="AC2734" s="42"/>
    </row>
    <row r="2735" spans="15:29" x14ac:dyDescent="0.25">
      <c r="O2735" s="42"/>
      <c r="R2735" s="42"/>
      <c r="AC2735" s="42"/>
    </row>
    <row r="2736" spans="15:29" x14ac:dyDescent="0.25">
      <c r="O2736" s="42"/>
      <c r="R2736" s="42"/>
      <c r="AC2736" s="42"/>
    </row>
    <row r="2737" spans="15:29" x14ac:dyDescent="0.25">
      <c r="O2737" s="42"/>
      <c r="R2737" s="42"/>
      <c r="AC2737" s="42"/>
    </row>
    <row r="2738" spans="15:29" x14ac:dyDescent="0.25">
      <c r="O2738" s="42"/>
      <c r="R2738" s="42"/>
      <c r="AC2738" s="42"/>
    </row>
    <row r="2739" spans="15:29" x14ac:dyDescent="0.25">
      <c r="O2739" s="42"/>
      <c r="R2739" s="42"/>
      <c r="AC2739" s="42"/>
    </row>
    <row r="2740" spans="15:29" x14ac:dyDescent="0.25">
      <c r="O2740" s="42"/>
      <c r="R2740" s="42"/>
      <c r="AC2740" s="42"/>
    </row>
    <row r="2741" spans="15:29" x14ac:dyDescent="0.25">
      <c r="O2741" s="42"/>
      <c r="R2741" s="42"/>
      <c r="AC2741" s="42"/>
    </row>
    <row r="2742" spans="15:29" x14ac:dyDescent="0.25">
      <c r="O2742" s="42"/>
      <c r="R2742" s="42"/>
      <c r="AC2742" s="42"/>
    </row>
    <row r="2743" spans="15:29" x14ac:dyDescent="0.25">
      <c r="O2743" s="42"/>
      <c r="R2743" s="42"/>
      <c r="AC2743" s="42"/>
    </row>
    <row r="2744" spans="15:29" x14ac:dyDescent="0.25">
      <c r="O2744" s="42"/>
      <c r="R2744" s="42"/>
      <c r="AC2744" s="42"/>
    </row>
    <row r="2745" spans="15:29" x14ac:dyDescent="0.25">
      <c r="O2745" s="42"/>
      <c r="R2745" s="42"/>
      <c r="AC2745" s="42"/>
    </row>
    <row r="2746" spans="15:29" x14ac:dyDescent="0.25">
      <c r="O2746" s="42"/>
      <c r="R2746" s="42"/>
      <c r="AC2746" s="42"/>
    </row>
    <row r="2747" spans="15:29" x14ac:dyDescent="0.25">
      <c r="O2747" s="42"/>
      <c r="R2747" s="42"/>
      <c r="AC2747" s="42"/>
    </row>
    <row r="2748" spans="15:29" x14ac:dyDescent="0.25">
      <c r="O2748" s="42"/>
      <c r="R2748" s="42"/>
      <c r="AC2748" s="42"/>
    </row>
    <row r="2749" spans="15:29" x14ac:dyDescent="0.25">
      <c r="O2749" s="42"/>
      <c r="R2749" s="42"/>
      <c r="AC2749" s="42"/>
    </row>
    <row r="2750" spans="15:29" x14ac:dyDescent="0.25">
      <c r="O2750" s="42"/>
      <c r="R2750" s="42"/>
      <c r="AC2750" s="42"/>
    </row>
    <row r="2751" spans="15:29" x14ac:dyDescent="0.25">
      <c r="O2751" s="42"/>
      <c r="R2751" s="42"/>
      <c r="AC2751" s="42"/>
    </row>
    <row r="2752" spans="15:29" x14ac:dyDescent="0.25">
      <c r="O2752" s="42"/>
      <c r="R2752" s="42"/>
      <c r="AC2752" s="42"/>
    </row>
    <row r="2753" spans="15:29" x14ac:dyDescent="0.25">
      <c r="O2753" s="42"/>
      <c r="R2753" s="42"/>
      <c r="AC2753" s="42"/>
    </row>
    <row r="2754" spans="15:29" x14ac:dyDescent="0.25">
      <c r="O2754" s="42"/>
      <c r="R2754" s="42"/>
      <c r="AC2754" s="42"/>
    </row>
    <row r="2755" spans="15:29" x14ac:dyDescent="0.25">
      <c r="O2755" s="42"/>
      <c r="R2755" s="42"/>
      <c r="AC2755" s="42"/>
    </row>
    <row r="2756" spans="15:29" x14ac:dyDescent="0.25">
      <c r="O2756" s="42"/>
      <c r="R2756" s="42"/>
      <c r="AC2756" s="42"/>
    </row>
    <row r="2757" spans="15:29" x14ac:dyDescent="0.25">
      <c r="O2757" s="42"/>
      <c r="R2757" s="42"/>
      <c r="AC2757" s="42"/>
    </row>
    <row r="2758" spans="15:29" x14ac:dyDescent="0.25">
      <c r="O2758" s="42"/>
      <c r="R2758" s="42"/>
      <c r="AC2758" s="42"/>
    </row>
    <row r="2759" spans="15:29" x14ac:dyDescent="0.25">
      <c r="O2759" s="42"/>
      <c r="R2759" s="42"/>
      <c r="AC2759" s="42"/>
    </row>
    <row r="2760" spans="15:29" x14ac:dyDescent="0.25">
      <c r="O2760" s="42"/>
      <c r="R2760" s="42"/>
      <c r="AC2760" s="42"/>
    </row>
    <row r="2761" spans="15:29" x14ac:dyDescent="0.25">
      <c r="O2761" s="42"/>
      <c r="R2761" s="42"/>
      <c r="AC2761" s="42"/>
    </row>
    <row r="2762" spans="15:29" x14ac:dyDescent="0.25">
      <c r="O2762" s="42"/>
      <c r="R2762" s="42"/>
      <c r="AC2762" s="42"/>
    </row>
    <row r="2763" spans="15:29" x14ac:dyDescent="0.25">
      <c r="O2763" s="42"/>
      <c r="R2763" s="42"/>
      <c r="AC2763" s="42"/>
    </row>
    <row r="2764" spans="15:29" x14ac:dyDescent="0.25">
      <c r="O2764" s="42"/>
      <c r="R2764" s="42"/>
      <c r="AC2764" s="42"/>
    </row>
    <row r="2765" spans="15:29" x14ac:dyDescent="0.25">
      <c r="O2765" s="42"/>
      <c r="R2765" s="42"/>
      <c r="AC2765" s="42"/>
    </row>
    <row r="2766" spans="15:29" x14ac:dyDescent="0.25">
      <c r="O2766" s="42"/>
      <c r="R2766" s="42"/>
      <c r="AC2766" s="42"/>
    </row>
    <row r="2767" spans="15:29" x14ac:dyDescent="0.25">
      <c r="O2767" s="42"/>
      <c r="R2767" s="42"/>
      <c r="AC2767" s="42"/>
    </row>
    <row r="2768" spans="15:29" x14ac:dyDescent="0.25">
      <c r="O2768" s="42"/>
      <c r="R2768" s="42"/>
      <c r="AC2768" s="42"/>
    </row>
    <row r="2769" spans="15:29" x14ac:dyDescent="0.25">
      <c r="O2769" s="42"/>
      <c r="R2769" s="42"/>
      <c r="AC2769" s="42"/>
    </row>
    <row r="2770" spans="15:29" x14ac:dyDescent="0.25">
      <c r="O2770" s="42"/>
      <c r="R2770" s="42"/>
      <c r="AC2770" s="42"/>
    </row>
    <row r="2771" spans="15:29" x14ac:dyDescent="0.25">
      <c r="O2771" s="42"/>
      <c r="R2771" s="42"/>
      <c r="AC2771" s="42"/>
    </row>
    <row r="2772" spans="15:29" x14ac:dyDescent="0.25">
      <c r="O2772" s="42"/>
      <c r="R2772" s="42"/>
      <c r="AC2772" s="42"/>
    </row>
    <row r="2773" spans="15:29" x14ac:dyDescent="0.25">
      <c r="O2773" s="42"/>
      <c r="R2773" s="42"/>
      <c r="AC2773" s="42"/>
    </row>
    <row r="2774" spans="15:29" x14ac:dyDescent="0.25">
      <c r="O2774" s="42"/>
      <c r="R2774" s="42"/>
      <c r="AC2774" s="42"/>
    </row>
    <row r="2775" spans="15:29" x14ac:dyDescent="0.25">
      <c r="O2775" s="42"/>
      <c r="R2775" s="42"/>
      <c r="AC2775" s="42"/>
    </row>
    <row r="2776" spans="15:29" x14ac:dyDescent="0.25">
      <c r="O2776" s="42"/>
      <c r="R2776" s="42"/>
      <c r="AC2776" s="42"/>
    </row>
    <row r="2777" spans="15:29" x14ac:dyDescent="0.25">
      <c r="O2777" s="42"/>
      <c r="R2777" s="42"/>
      <c r="AC2777" s="42"/>
    </row>
    <row r="2778" spans="15:29" x14ac:dyDescent="0.25">
      <c r="O2778" s="42"/>
      <c r="R2778" s="42"/>
      <c r="AC2778" s="42"/>
    </row>
    <row r="2779" spans="15:29" x14ac:dyDescent="0.25">
      <c r="O2779" s="42"/>
      <c r="R2779" s="42"/>
      <c r="AC2779" s="42"/>
    </row>
    <row r="2780" spans="15:29" x14ac:dyDescent="0.25">
      <c r="O2780" s="42"/>
      <c r="R2780" s="42"/>
      <c r="AC2780" s="42"/>
    </row>
    <row r="2781" spans="15:29" x14ac:dyDescent="0.25">
      <c r="O2781" s="42"/>
      <c r="R2781" s="42"/>
      <c r="AC2781" s="42"/>
    </row>
    <row r="2782" spans="15:29" x14ac:dyDescent="0.25">
      <c r="O2782" s="42"/>
      <c r="R2782" s="42"/>
      <c r="AC2782" s="42"/>
    </row>
    <row r="2783" spans="15:29" x14ac:dyDescent="0.25">
      <c r="O2783" s="42"/>
      <c r="R2783" s="42"/>
      <c r="AC2783" s="42"/>
    </row>
    <row r="2784" spans="15:29" x14ac:dyDescent="0.25">
      <c r="O2784" s="42"/>
      <c r="R2784" s="42"/>
      <c r="AC2784" s="42"/>
    </row>
    <row r="2785" spans="15:29" x14ac:dyDescent="0.25">
      <c r="O2785" s="42"/>
      <c r="R2785" s="42"/>
      <c r="AC2785" s="42"/>
    </row>
    <row r="2786" spans="15:29" x14ac:dyDescent="0.25">
      <c r="O2786" s="42"/>
      <c r="R2786" s="42"/>
      <c r="AC2786" s="42"/>
    </row>
    <row r="2787" spans="15:29" x14ac:dyDescent="0.25">
      <c r="O2787" s="42"/>
      <c r="R2787" s="42"/>
      <c r="AC2787" s="42"/>
    </row>
    <row r="2788" spans="15:29" x14ac:dyDescent="0.25">
      <c r="O2788" s="42"/>
      <c r="R2788" s="42"/>
      <c r="AC2788" s="42"/>
    </row>
    <row r="2789" spans="15:29" x14ac:dyDescent="0.25">
      <c r="O2789" s="42"/>
      <c r="R2789" s="42"/>
      <c r="AC2789" s="42"/>
    </row>
    <row r="2790" spans="15:29" x14ac:dyDescent="0.25">
      <c r="O2790" s="42"/>
      <c r="R2790" s="42"/>
      <c r="AC2790" s="42"/>
    </row>
    <row r="2791" spans="15:29" x14ac:dyDescent="0.25">
      <c r="O2791" s="42"/>
      <c r="R2791" s="42"/>
      <c r="AC2791" s="42"/>
    </row>
    <row r="2792" spans="15:29" x14ac:dyDescent="0.25">
      <c r="O2792" s="42"/>
      <c r="R2792" s="42"/>
      <c r="AC2792" s="42"/>
    </row>
    <row r="2793" spans="15:29" x14ac:dyDescent="0.25">
      <c r="O2793" s="42"/>
      <c r="R2793" s="42"/>
      <c r="AC2793" s="42"/>
    </row>
    <row r="2794" spans="15:29" x14ac:dyDescent="0.25">
      <c r="O2794" s="42"/>
      <c r="R2794" s="42"/>
      <c r="AC2794" s="42"/>
    </row>
    <row r="2795" spans="15:29" x14ac:dyDescent="0.25">
      <c r="O2795" s="42"/>
      <c r="R2795" s="42"/>
      <c r="AC2795" s="42"/>
    </row>
    <row r="2796" spans="15:29" x14ac:dyDescent="0.25">
      <c r="O2796" s="42"/>
      <c r="R2796" s="42"/>
      <c r="AC2796" s="42"/>
    </row>
    <row r="2797" spans="15:29" x14ac:dyDescent="0.25">
      <c r="O2797" s="42"/>
      <c r="R2797" s="42"/>
      <c r="AC2797" s="42"/>
    </row>
    <row r="2798" spans="15:29" x14ac:dyDescent="0.25">
      <c r="O2798" s="42"/>
      <c r="R2798" s="42"/>
      <c r="AC2798" s="42"/>
    </row>
    <row r="2799" spans="15:29" x14ac:dyDescent="0.25">
      <c r="O2799" s="42"/>
      <c r="R2799" s="42"/>
      <c r="AC2799" s="42"/>
    </row>
    <row r="2800" spans="15:29" x14ac:dyDescent="0.25">
      <c r="O2800" s="42"/>
      <c r="R2800" s="42"/>
      <c r="AC2800" s="42"/>
    </row>
    <row r="2801" spans="15:29" x14ac:dyDescent="0.25">
      <c r="O2801" s="42"/>
      <c r="R2801" s="42"/>
      <c r="AC2801" s="42"/>
    </row>
    <row r="2802" spans="15:29" x14ac:dyDescent="0.25">
      <c r="O2802" s="42"/>
      <c r="R2802" s="42"/>
      <c r="AC2802" s="42"/>
    </row>
    <row r="2803" spans="15:29" x14ac:dyDescent="0.25">
      <c r="O2803" s="42"/>
      <c r="R2803" s="42"/>
      <c r="AC2803" s="42"/>
    </row>
    <row r="2804" spans="15:29" x14ac:dyDescent="0.25">
      <c r="O2804" s="42"/>
      <c r="R2804" s="42"/>
      <c r="AC2804" s="42"/>
    </row>
    <row r="2805" spans="15:29" x14ac:dyDescent="0.25">
      <c r="O2805" s="42"/>
      <c r="R2805" s="42"/>
      <c r="AC2805" s="42"/>
    </row>
    <row r="2806" spans="15:29" x14ac:dyDescent="0.25">
      <c r="O2806" s="42"/>
      <c r="R2806" s="42"/>
      <c r="AC2806" s="42"/>
    </row>
    <row r="2807" spans="15:29" x14ac:dyDescent="0.25">
      <c r="O2807" s="42"/>
      <c r="R2807" s="42"/>
      <c r="AC2807" s="42"/>
    </row>
    <row r="2808" spans="15:29" x14ac:dyDescent="0.25">
      <c r="O2808" s="42"/>
      <c r="R2808" s="42"/>
      <c r="AC2808" s="42"/>
    </row>
    <row r="2809" spans="15:29" x14ac:dyDescent="0.25">
      <c r="O2809" s="42"/>
      <c r="R2809" s="42"/>
      <c r="AC2809" s="42"/>
    </row>
    <row r="2810" spans="15:29" x14ac:dyDescent="0.25">
      <c r="O2810" s="42"/>
      <c r="R2810" s="42"/>
      <c r="AC2810" s="42"/>
    </row>
    <row r="2811" spans="15:29" x14ac:dyDescent="0.25">
      <c r="O2811" s="42"/>
      <c r="R2811" s="42"/>
      <c r="AC2811" s="42"/>
    </row>
    <row r="2812" spans="15:29" x14ac:dyDescent="0.25">
      <c r="O2812" s="42"/>
      <c r="R2812" s="42"/>
      <c r="AC2812" s="42"/>
    </row>
    <row r="2813" spans="15:29" x14ac:dyDescent="0.25">
      <c r="O2813" s="42"/>
      <c r="R2813" s="42"/>
      <c r="AC2813" s="42"/>
    </row>
    <row r="2814" spans="15:29" x14ac:dyDescent="0.25">
      <c r="O2814" s="42"/>
      <c r="R2814" s="42"/>
      <c r="AC2814" s="42"/>
    </row>
    <row r="2815" spans="15:29" x14ac:dyDescent="0.25">
      <c r="O2815" s="42"/>
      <c r="R2815" s="42"/>
      <c r="AC2815" s="42"/>
    </row>
    <row r="2816" spans="15:29" x14ac:dyDescent="0.25">
      <c r="O2816" s="42"/>
      <c r="R2816" s="42"/>
      <c r="AC2816" s="42"/>
    </row>
    <row r="2817" spans="15:29" x14ac:dyDescent="0.25">
      <c r="O2817" s="42"/>
      <c r="R2817" s="42"/>
      <c r="AC2817" s="42"/>
    </row>
    <row r="2818" spans="15:29" x14ac:dyDescent="0.25">
      <c r="O2818" s="42"/>
      <c r="R2818" s="42"/>
      <c r="AC2818" s="42"/>
    </row>
    <row r="2819" spans="15:29" x14ac:dyDescent="0.25">
      <c r="O2819" s="42"/>
      <c r="R2819" s="42"/>
      <c r="AC2819" s="42"/>
    </row>
    <row r="2820" spans="15:29" x14ac:dyDescent="0.25">
      <c r="O2820" s="42"/>
      <c r="R2820" s="42"/>
      <c r="AC2820" s="42"/>
    </row>
    <row r="2821" spans="15:29" x14ac:dyDescent="0.25">
      <c r="O2821" s="42"/>
      <c r="R2821" s="42"/>
      <c r="AC2821" s="42"/>
    </row>
    <row r="2822" spans="15:29" x14ac:dyDescent="0.25">
      <c r="O2822" s="42"/>
      <c r="R2822" s="42"/>
      <c r="AC2822" s="42"/>
    </row>
    <row r="2823" spans="15:29" x14ac:dyDescent="0.25">
      <c r="O2823" s="42"/>
      <c r="R2823" s="42"/>
      <c r="AC2823" s="42"/>
    </row>
    <row r="2824" spans="15:29" x14ac:dyDescent="0.25">
      <c r="O2824" s="42"/>
      <c r="R2824" s="42"/>
      <c r="AC2824" s="42"/>
    </row>
    <row r="2825" spans="15:29" x14ac:dyDescent="0.25">
      <c r="O2825" s="42"/>
      <c r="R2825" s="42"/>
      <c r="AC2825" s="42"/>
    </row>
    <row r="2826" spans="15:29" x14ac:dyDescent="0.25">
      <c r="O2826" s="42"/>
      <c r="R2826" s="42"/>
      <c r="AC2826" s="42"/>
    </row>
    <row r="2827" spans="15:29" x14ac:dyDescent="0.25">
      <c r="O2827" s="42"/>
      <c r="R2827" s="42"/>
      <c r="AC2827" s="42"/>
    </row>
    <row r="2828" spans="15:29" x14ac:dyDescent="0.25">
      <c r="O2828" s="42"/>
      <c r="R2828" s="42"/>
      <c r="AC2828" s="42"/>
    </row>
    <row r="2829" spans="15:29" x14ac:dyDescent="0.25">
      <c r="O2829" s="42"/>
      <c r="R2829" s="42"/>
      <c r="AC2829" s="42"/>
    </row>
    <row r="2830" spans="15:29" x14ac:dyDescent="0.25">
      <c r="O2830" s="42"/>
      <c r="R2830" s="42"/>
      <c r="AC2830" s="42"/>
    </row>
    <row r="2831" spans="15:29" x14ac:dyDescent="0.25">
      <c r="O2831" s="42"/>
      <c r="R2831" s="42"/>
      <c r="AC2831" s="42"/>
    </row>
    <row r="2832" spans="15:29" x14ac:dyDescent="0.25">
      <c r="O2832" s="42"/>
      <c r="R2832" s="42"/>
      <c r="AC2832" s="42"/>
    </row>
    <row r="2833" spans="15:29" x14ac:dyDescent="0.25">
      <c r="O2833" s="42"/>
      <c r="R2833" s="42"/>
      <c r="AC2833" s="42"/>
    </row>
    <row r="2834" spans="15:29" x14ac:dyDescent="0.25">
      <c r="O2834" s="42"/>
      <c r="R2834" s="42"/>
      <c r="AC2834" s="42"/>
    </row>
    <row r="2835" spans="15:29" x14ac:dyDescent="0.25">
      <c r="O2835" s="42"/>
      <c r="R2835" s="42"/>
      <c r="AC2835" s="42"/>
    </row>
    <row r="2836" spans="15:29" x14ac:dyDescent="0.25">
      <c r="O2836" s="42"/>
      <c r="R2836" s="42"/>
      <c r="AC2836" s="42"/>
    </row>
    <row r="2837" spans="15:29" x14ac:dyDescent="0.25">
      <c r="O2837" s="42"/>
      <c r="R2837" s="42"/>
      <c r="AC2837" s="42"/>
    </row>
    <row r="2838" spans="15:29" x14ac:dyDescent="0.25">
      <c r="O2838" s="42"/>
      <c r="R2838" s="42"/>
      <c r="AC2838" s="42"/>
    </row>
    <row r="2839" spans="15:29" x14ac:dyDescent="0.25">
      <c r="O2839" s="42"/>
      <c r="R2839" s="42"/>
      <c r="AC2839" s="42"/>
    </row>
    <row r="2840" spans="15:29" x14ac:dyDescent="0.25">
      <c r="O2840" s="42"/>
      <c r="R2840" s="42"/>
      <c r="AC2840" s="42"/>
    </row>
    <row r="2841" spans="15:29" x14ac:dyDescent="0.25">
      <c r="O2841" s="42"/>
      <c r="R2841" s="42"/>
      <c r="AC2841" s="42"/>
    </row>
    <row r="2842" spans="15:29" x14ac:dyDescent="0.25">
      <c r="O2842" s="42"/>
      <c r="R2842" s="42"/>
      <c r="AC2842" s="42"/>
    </row>
    <row r="2843" spans="15:29" x14ac:dyDescent="0.25">
      <c r="O2843" s="42"/>
      <c r="R2843" s="42"/>
      <c r="AC2843" s="42"/>
    </row>
    <row r="2844" spans="15:29" x14ac:dyDescent="0.25">
      <c r="O2844" s="42"/>
      <c r="R2844" s="42"/>
      <c r="AC2844" s="42"/>
    </row>
    <row r="2845" spans="15:29" x14ac:dyDescent="0.25">
      <c r="O2845" s="42"/>
      <c r="R2845" s="42"/>
      <c r="AC2845" s="42"/>
    </row>
    <row r="2846" spans="15:29" x14ac:dyDescent="0.25">
      <c r="O2846" s="42"/>
      <c r="R2846" s="42"/>
      <c r="AC2846" s="42"/>
    </row>
    <row r="2847" spans="15:29" x14ac:dyDescent="0.25">
      <c r="O2847" s="42"/>
      <c r="R2847" s="42"/>
      <c r="AC2847" s="42"/>
    </row>
    <row r="2848" spans="15:29" x14ac:dyDescent="0.25">
      <c r="O2848" s="42"/>
      <c r="R2848" s="42"/>
      <c r="AC2848" s="42"/>
    </row>
    <row r="2849" spans="15:29" x14ac:dyDescent="0.25">
      <c r="O2849" s="42"/>
      <c r="R2849" s="42"/>
      <c r="AC2849" s="42"/>
    </row>
    <row r="2850" spans="15:29" x14ac:dyDescent="0.25">
      <c r="O2850" s="42"/>
      <c r="R2850" s="42"/>
      <c r="AC2850" s="42"/>
    </row>
    <row r="2851" spans="15:29" x14ac:dyDescent="0.25">
      <c r="O2851" s="42"/>
      <c r="R2851" s="42"/>
      <c r="AC2851" s="42"/>
    </row>
    <row r="2852" spans="15:29" x14ac:dyDescent="0.25">
      <c r="O2852" s="42"/>
      <c r="R2852" s="42"/>
      <c r="AC2852" s="42"/>
    </row>
    <row r="2853" spans="15:29" x14ac:dyDescent="0.25">
      <c r="O2853" s="42"/>
      <c r="R2853" s="42"/>
      <c r="AC2853" s="42"/>
    </row>
    <row r="2854" spans="15:29" x14ac:dyDescent="0.25">
      <c r="O2854" s="42"/>
      <c r="R2854" s="42"/>
      <c r="AC2854" s="42"/>
    </row>
    <row r="2855" spans="15:29" x14ac:dyDescent="0.25">
      <c r="O2855" s="42"/>
      <c r="R2855" s="42"/>
      <c r="AC2855" s="42"/>
    </row>
    <row r="2856" spans="15:29" x14ac:dyDescent="0.25">
      <c r="O2856" s="42"/>
      <c r="R2856" s="42"/>
      <c r="AC2856" s="42"/>
    </row>
    <row r="2857" spans="15:29" x14ac:dyDescent="0.25">
      <c r="O2857" s="42"/>
      <c r="R2857" s="42"/>
      <c r="AC2857" s="42"/>
    </row>
    <row r="2858" spans="15:29" x14ac:dyDescent="0.25">
      <c r="O2858" s="42"/>
      <c r="R2858" s="42"/>
      <c r="AC2858" s="42"/>
    </row>
    <row r="2859" spans="15:29" x14ac:dyDescent="0.25">
      <c r="O2859" s="42"/>
      <c r="R2859" s="42"/>
      <c r="AC2859" s="42"/>
    </row>
    <row r="2860" spans="15:29" x14ac:dyDescent="0.25">
      <c r="O2860" s="42"/>
      <c r="R2860" s="42"/>
      <c r="AC2860" s="42"/>
    </row>
    <row r="2861" spans="15:29" x14ac:dyDescent="0.25">
      <c r="O2861" s="42"/>
      <c r="R2861" s="42"/>
      <c r="AC2861" s="42"/>
    </row>
    <row r="2862" spans="15:29" x14ac:dyDescent="0.25">
      <c r="O2862" s="42"/>
      <c r="R2862" s="42"/>
      <c r="AC2862" s="42"/>
    </row>
    <row r="2863" spans="15:29" x14ac:dyDescent="0.25">
      <c r="O2863" s="42"/>
      <c r="R2863" s="42"/>
      <c r="AC2863" s="42"/>
    </row>
    <row r="2864" spans="15:29" x14ac:dyDescent="0.25">
      <c r="O2864" s="42"/>
      <c r="R2864" s="42"/>
      <c r="AC2864" s="42"/>
    </row>
    <row r="2865" spans="15:29" x14ac:dyDescent="0.25">
      <c r="O2865" s="42"/>
      <c r="R2865" s="42"/>
      <c r="AC2865" s="42"/>
    </row>
    <row r="2866" spans="15:29" x14ac:dyDescent="0.25">
      <c r="O2866" s="42"/>
      <c r="R2866" s="42"/>
      <c r="AC2866" s="42"/>
    </row>
    <row r="2867" spans="15:29" x14ac:dyDescent="0.25">
      <c r="O2867" s="42"/>
      <c r="R2867" s="42"/>
      <c r="AC2867" s="42"/>
    </row>
    <row r="2868" spans="15:29" x14ac:dyDescent="0.25">
      <c r="O2868" s="42"/>
      <c r="R2868" s="42"/>
      <c r="AC2868" s="42"/>
    </row>
    <row r="2869" spans="15:29" x14ac:dyDescent="0.25">
      <c r="O2869" s="42"/>
      <c r="R2869" s="42"/>
      <c r="AC2869" s="42"/>
    </row>
    <row r="2870" spans="15:29" x14ac:dyDescent="0.25">
      <c r="O2870" s="42"/>
      <c r="R2870" s="42"/>
      <c r="AC2870" s="42"/>
    </row>
    <row r="2871" spans="15:29" x14ac:dyDescent="0.25">
      <c r="O2871" s="42"/>
      <c r="R2871" s="42"/>
      <c r="AC2871" s="42"/>
    </row>
    <row r="2872" spans="15:29" x14ac:dyDescent="0.25">
      <c r="O2872" s="42"/>
      <c r="R2872" s="42"/>
      <c r="AC2872" s="42"/>
    </row>
    <row r="2873" spans="15:29" x14ac:dyDescent="0.25">
      <c r="O2873" s="42"/>
      <c r="R2873" s="42"/>
      <c r="AC2873" s="42"/>
    </row>
    <row r="2874" spans="15:29" x14ac:dyDescent="0.25">
      <c r="O2874" s="42"/>
      <c r="R2874" s="42"/>
      <c r="AC2874" s="42"/>
    </row>
    <row r="2875" spans="15:29" x14ac:dyDescent="0.25">
      <c r="O2875" s="42"/>
      <c r="R2875" s="42"/>
      <c r="AC2875" s="42"/>
    </row>
    <row r="2876" spans="15:29" x14ac:dyDescent="0.25">
      <c r="O2876" s="42"/>
      <c r="R2876" s="42"/>
      <c r="AC2876" s="42"/>
    </row>
    <row r="2877" spans="15:29" x14ac:dyDescent="0.25">
      <c r="O2877" s="42"/>
      <c r="R2877" s="42"/>
      <c r="AC2877" s="42"/>
    </row>
    <row r="2878" spans="15:29" x14ac:dyDescent="0.25">
      <c r="O2878" s="42"/>
      <c r="R2878" s="42"/>
      <c r="AC2878" s="42"/>
    </row>
    <row r="2879" spans="15:29" x14ac:dyDescent="0.25">
      <c r="O2879" s="42"/>
      <c r="R2879" s="42"/>
      <c r="AC2879" s="42"/>
    </row>
    <row r="2880" spans="15:29" x14ac:dyDescent="0.25">
      <c r="O2880" s="42"/>
      <c r="R2880" s="42"/>
      <c r="AC2880" s="42"/>
    </row>
    <row r="2881" spans="15:29" x14ac:dyDescent="0.25">
      <c r="O2881" s="42"/>
      <c r="R2881" s="42"/>
      <c r="AC2881" s="42"/>
    </row>
    <row r="2882" spans="15:29" x14ac:dyDescent="0.25">
      <c r="O2882" s="42"/>
      <c r="R2882" s="42"/>
      <c r="AC2882" s="42"/>
    </row>
    <row r="2883" spans="15:29" x14ac:dyDescent="0.25">
      <c r="O2883" s="42"/>
      <c r="R2883" s="42"/>
      <c r="AC2883" s="42"/>
    </row>
    <row r="2884" spans="15:29" x14ac:dyDescent="0.25">
      <c r="O2884" s="42"/>
      <c r="R2884" s="42"/>
      <c r="AC2884" s="42"/>
    </row>
    <row r="2885" spans="15:29" x14ac:dyDescent="0.25">
      <c r="O2885" s="42"/>
      <c r="R2885" s="42"/>
      <c r="AC2885" s="42"/>
    </row>
    <row r="2886" spans="15:29" x14ac:dyDescent="0.25">
      <c r="O2886" s="42"/>
      <c r="R2886" s="42"/>
      <c r="AC2886" s="42"/>
    </row>
    <row r="2887" spans="15:29" x14ac:dyDescent="0.25">
      <c r="O2887" s="42"/>
      <c r="R2887" s="42"/>
      <c r="AC2887" s="42"/>
    </row>
    <row r="2888" spans="15:29" x14ac:dyDescent="0.25">
      <c r="O2888" s="42"/>
      <c r="R2888" s="42"/>
      <c r="AC2888" s="42"/>
    </row>
    <row r="2889" spans="15:29" x14ac:dyDescent="0.25">
      <c r="O2889" s="42"/>
      <c r="R2889" s="42"/>
      <c r="AC2889" s="42"/>
    </row>
    <row r="2890" spans="15:29" x14ac:dyDescent="0.25">
      <c r="O2890" s="42"/>
      <c r="R2890" s="42"/>
      <c r="AC2890" s="42"/>
    </row>
    <row r="2891" spans="15:29" x14ac:dyDescent="0.25">
      <c r="O2891" s="42"/>
      <c r="R2891" s="42"/>
      <c r="AC2891" s="42"/>
    </row>
    <row r="2892" spans="15:29" x14ac:dyDescent="0.25">
      <c r="O2892" s="42"/>
      <c r="R2892" s="42"/>
      <c r="AC2892" s="42"/>
    </row>
    <row r="2893" spans="15:29" x14ac:dyDescent="0.25">
      <c r="O2893" s="42"/>
      <c r="R2893" s="42"/>
      <c r="AC2893" s="42"/>
    </row>
    <row r="2894" spans="15:29" x14ac:dyDescent="0.25">
      <c r="O2894" s="42"/>
      <c r="R2894" s="42"/>
      <c r="AC2894" s="42"/>
    </row>
    <row r="2895" spans="15:29" x14ac:dyDescent="0.25">
      <c r="O2895" s="42"/>
      <c r="R2895" s="42"/>
      <c r="AC2895" s="42"/>
    </row>
    <row r="2896" spans="15:29" x14ac:dyDescent="0.25">
      <c r="O2896" s="42"/>
      <c r="R2896" s="42"/>
      <c r="AC2896" s="42"/>
    </row>
    <row r="2897" spans="15:29" x14ac:dyDescent="0.25">
      <c r="O2897" s="42"/>
      <c r="R2897" s="42"/>
      <c r="AC2897" s="42"/>
    </row>
    <row r="2898" spans="15:29" x14ac:dyDescent="0.25">
      <c r="O2898" s="42"/>
      <c r="R2898" s="42"/>
      <c r="AC2898" s="42"/>
    </row>
    <row r="2899" spans="15:29" x14ac:dyDescent="0.25">
      <c r="O2899" s="42"/>
      <c r="R2899" s="42"/>
      <c r="AC2899" s="42"/>
    </row>
    <row r="2900" spans="15:29" x14ac:dyDescent="0.25">
      <c r="O2900" s="42"/>
      <c r="R2900" s="42"/>
      <c r="AC2900" s="42"/>
    </row>
    <row r="2901" spans="15:29" x14ac:dyDescent="0.25">
      <c r="O2901" s="42"/>
      <c r="R2901" s="42"/>
      <c r="AC2901" s="42"/>
    </row>
    <row r="2902" spans="15:29" x14ac:dyDescent="0.25">
      <c r="O2902" s="42"/>
      <c r="R2902" s="42"/>
      <c r="AC2902" s="42"/>
    </row>
    <row r="2903" spans="15:29" x14ac:dyDescent="0.25">
      <c r="O2903" s="42"/>
      <c r="R2903" s="42"/>
      <c r="AC2903" s="42"/>
    </row>
    <row r="2904" spans="15:29" x14ac:dyDescent="0.25">
      <c r="O2904" s="42"/>
      <c r="R2904" s="42"/>
      <c r="AC2904" s="42"/>
    </row>
    <row r="2905" spans="15:29" x14ac:dyDescent="0.25">
      <c r="O2905" s="42"/>
      <c r="R2905" s="42"/>
      <c r="AC2905" s="42"/>
    </row>
    <row r="2906" spans="15:29" x14ac:dyDescent="0.25">
      <c r="O2906" s="42"/>
      <c r="R2906" s="42"/>
      <c r="AC2906" s="42"/>
    </row>
    <row r="2907" spans="15:29" x14ac:dyDescent="0.25">
      <c r="O2907" s="42"/>
      <c r="R2907" s="42"/>
      <c r="AC2907" s="42"/>
    </row>
    <row r="2908" spans="15:29" x14ac:dyDescent="0.25">
      <c r="O2908" s="42"/>
      <c r="R2908" s="42"/>
      <c r="AC2908" s="42"/>
    </row>
    <row r="2909" spans="15:29" x14ac:dyDescent="0.25">
      <c r="O2909" s="42"/>
      <c r="R2909" s="42"/>
      <c r="AC2909" s="42"/>
    </row>
    <row r="2910" spans="15:29" x14ac:dyDescent="0.25">
      <c r="O2910" s="42"/>
      <c r="R2910" s="42"/>
      <c r="AC2910" s="42"/>
    </row>
    <row r="2911" spans="15:29" x14ac:dyDescent="0.25">
      <c r="O2911" s="42"/>
      <c r="R2911" s="42"/>
      <c r="AC2911" s="42"/>
    </row>
    <row r="2912" spans="15:29" x14ac:dyDescent="0.25">
      <c r="O2912" s="42"/>
      <c r="R2912" s="42"/>
      <c r="AC2912" s="42"/>
    </row>
    <row r="2913" spans="15:29" x14ac:dyDescent="0.25">
      <c r="O2913" s="42"/>
      <c r="R2913" s="42"/>
      <c r="AC2913" s="42"/>
    </row>
    <row r="2914" spans="15:29" x14ac:dyDescent="0.25">
      <c r="O2914" s="42"/>
      <c r="R2914" s="42"/>
      <c r="AC2914" s="42"/>
    </row>
    <row r="2915" spans="15:29" x14ac:dyDescent="0.25">
      <c r="O2915" s="42"/>
      <c r="R2915" s="42"/>
      <c r="AC2915" s="42"/>
    </row>
    <row r="2916" spans="15:29" x14ac:dyDescent="0.25">
      <c r="O2916" s="42"/>
      <c r="R2916" s="42"/>
      <c r="AC2916" s="42"/>
    </row>
    <row r="2917" spans="15:29" x14ac:dyDescent="0.25">
      <c r="O2917" s="42"/>
      <c r="R2917" s="42"/>
      <c r="AC2917" s="42"/>
    </row>
    <row r="2918" spans="15:29" x14ac:dyDescent="0.25">
      <c r="O2918" s="42"/>
      <c r="R2918" s="42"/>
      <c r="AC2918" s="42"/>
    </row>
    <row r="2919" spans="15:29" x14ac:dyDescent="0.25">
      <c r="O2919" s="42"/>
      <c r="R2919" s="42"/>
      <c r="AC2919" s="42"/>
    </row>
    <row r="2920" spans="15:29" x14ac:dyDescent="0.25">
      <c r="O2920" s="42"/>
      <c r="R2920" s="42"/>
      <c r="AC2920" s="42"/>
    </row>
    <row r="2921" spans="15:29" x14ac:dyDescent="0.25">
      <c r="O2921" s="42"/>
      <c r="R2921" s="42"/>
      <c r="AC2921" s="42"/>
    </row>
    <row r="2922" spans="15:29" x14ac:dyDescent="0.25">
      <c r="O2922" s="42"/>
      <c r="R2922" s="42"/>
      <c r="AC2922" s="42"/>
    </row>
    <row r="2923" spans="15:29" x14ac:dyDescent="0.25">
      <c r="O2923" s="42"/>
      <c r="R2923" s="42"/>
      <c r="AC2923" s="42"/>
    </row>
    <row r="2924" spans="15:29" x14ac:dyDescent="0.25">
      <c r="O2924" s="42"/>
      <c r="R2924" s="42"/>
      <c r="AC2924" s="42"/>
    </row>
    <row r="2925" spans="15:29" x14ac:dyDescent="0.25">
      <c r="O2925" s="42"/>
      <c r="R2925" s="42"/>
      <c r="AC2925" s="42"/>
    </row>
    <row r="2926" spans="15:29" x14ac:dyDescent="0.25">
      <c r="O2926" s="42"/>
      <c r="R2926" s="42"/>
      <c r="AC2926" s="42"/>
    </row>
    <row r="2927" spans="15:29" x14ac:dyDescent="0.25">
      <c r="O2927" s="42"/>
      <c r="R2927" s="42"/>
      <c r="AC2927" s="42"/>
    </row>
    <row r="2928" spans="15:29" x14ac:dyDescent="0.25">
      <c r="O2928" s="42"/>
      <c r="R2928" s="42"/>
      <c r="AC2928" s="42"/>
    </row>
    <row r="2929" spans="15:29" x14ac:dyDescent="0.25">
      <c r="O2929" s="42"/>
      <c r="R2929" s="42"/>
      <c r="AC2929" s="42"/>
    </row>
    <row r="2930" spans="15:29" x14ac:dyDescent="0.25">
      <c r="O2930" s="42"/>
      <c r="R2930" s="42"/>
      <c r="AC2930" s="42"/>
    </row>
    <row r="2931" spans="15:29" x14ac:dyDescent="0.25">
      <c r="O2931" s="42"/>
      <c r="R2931" s="42"/>
      <c r="AC2931" s="42"/>
    </row>
    <row r="2932" spans="15:29" x14ac:dyDescent="0.25">
      <c r="O2932" s="42"/>
      <c r="R2932" s="42"/>
      <c r="AC2932" s="42"/>
    </row>
    <row r="2933" spans="15:29" x14ac:dyDescent="0.25">
      <c r="O2933" s="42"/>
      <c r="R2933" s="42"/>
      <c r="AC2933" s="42"/>
    </row>
    <row r="2934" spans="15:29" x14ac:dyDescent="0.25">
      <c r="O2934" s="42"/>
      <c r="R2934" s="42"/>
      <c r="AC2934" s="42"/>
    </row>
    <row r="2935" spans="15:29" x14ac:dyDescent="0.25">
      <c r="O2935" s="42"/>
      <c r="R2935" s="42"/>
      <c r="AC2935" s="42"/>
    </row>
    <row r="2936" spans="15:29" x14ac:dyDescent="0.25">
      <c r="O2936" s="42"/>
      <c r="R2936" s="42"/>
      <c r="AC2936" s="42"/>
    </row>
    <row r="2937" spans="15:29" x14ac:dyDescent="0.25">
      <c r="O2937" s="42"/>
      <c r="R2937" s="42"/>
      <c r="AC2937" s="42"/>
    </row>
    <row r="2938" spans="15:29" x14ac:dyDescent="0.25">
      <c r="O2938" s="42"/>
      <c r="R2938" s="42"/>
      <c r="AC2938" s="42"/>
    </row>
    <row r="2939" spans="15:29" x14ac:dyDescent="0.25">
      <c r="O2939" s="42"/>
      <c r="R2939" s="42"/>
      <c r="AC2939" s="42"/>
    </row>
    <row r="2940" spans="15:29" x14ac:dyDescent="0.25">
      <c r="O2940" s="42"/>
      <c r="R2940" s="42"/>
      <c r="AC2940" s="42"/>
    </row>
    <row r="2941" spans="15:29" x14ac:dyDescent="0.25">
      <c r="O2941" s="42"/>
      <c r="R2941" s="42"/>
      <c r="AC2941" s="42"/>
    </row>
    <row r="2942" spans="15:29" x14ac:dyDescent="0.25">
      <c r="O2942" s="42"/>
      <c r="R2942" s="42"/>
      <c r="AC2942" s="42"/>
    </row>
    <row r="2943" spans="15:29" x14ac:dyDescent="0.25">
      <c r="O2943" s="42"/>
      <c r="R2943" s="42"/>
      <c r="AC2943" s="42"/>
    </row>
    <row r="2944" spans="15:29" x14ac:dyDescent="0.25">
      <c r="O2944" s="42"/>
      <c r="R2944" s="42"/>
      <c r="AC2944" s="42"/>
    </row>
    <row r="2945" spans="15:29" x14ac:dyDescent="0.25">
      <c r="O2945" s="42"/>
      <c r="R2945" s="42"/>
      <c r="AC2945" s="42"/>
    </row>
    <row r="2946" spans="15:29" x14ac:dyDescent="0.25">
      <c r="O2946" s="42"/>
      <c r="R2946" s="42"/>
      <c r="AC2946" s="42"/>
    </row>
    <row r="2947" spans="15:29" x14ac:dyDescent="0.25">
      <c r="O2947" s="42"/>
      <c r="R2947" s="42"/>
      <c r="AC2947" s="42"/>
    </row>
    <row r="2948" spans="15:29" x14ac:dyDescent="0.25">
      <c r="O2948" s="42"/>
      <c r="R2948" s="42"/>
      <c r="AC2948" s="42"/>
    </row>
    <row r="2949" spans="15:29" x14ac:dyDescent="0.25">
      <c r="O2949" s="42"/>
      <c r="R2949" s="42"/>
      <c r="AC2949" s="42"/>
    </row>
    <row r="2950" spans="15:29" x14ac:dyDescent="0.25">
      <c r="O2950" s="42"/>
      <c r="R2950" s="42"/>
      <c r="AC2950" s="42"/>
    </row>
    <row r="2951" spans="15:29" x14ac:dyDescent="0.25">
      <c r="O2951" s="42"/>
      <c r="R2951" s="42"/>
      <c r="AC2951" s="42"/>
    </row>
    <row r="2952" spans="15:29" x14ac:dyDescent="0.25">
      <c r="O2952" s="42"/>
      <c r="R2952" s="42"/>
      <c r="AC2952" s="42"/>
    </row>
    <row r="2953" spans="15:29" x14ac:dyDescent="0.25">
      <c r="O2953" s="42"/>
      <c r="R2953" s="42"/>
      <c r="AC2953" s="42"/>
    </row>
    <row r="2954" spans="15:29" x14ac:dyDescent="0.25">
      <c r="O2954" s="42"/>
      <c r="R2954" s="42"/>
      <c r="AC2954" s="42"/>
    </row>
    <row r="2955" spans="15:29" x14ac:dyDescent="0.25">
      <c r="O2955" s="42"/>
      <c r="R2955" s="42"/>
      <c r="AC2955" s="42"/>
    </row>
    <row r="2956" spans="15:29" x14ac:dyDescent="0.25">
      <c r="O2956" s="42"/>
      <c r="R2956" s="42"/>
      <c r="AC2956" s="42"/>
    </row>
    <row r="2957" spans="15:29" x14ac:dyDescent="0.25">
      <c r="O2957" s="42"/>
      <c r="R2957" s="42"/>
      <c r="AC2957" s="42"/>
    </row>
    <row r="2958" spans="15:29" x14ac:dyDescent="0.25">
      <c r="O2958" s="42"/>
      <c r="R2958" s="42"/>
      <c r="AC2958" s="42"/>
    </row>
    <row r="2959" spans="15:29" x14ac:dyDescent="0.25">
      <c r="O2959" s="42"/>
      <c r="R2959" s="42"/>
      <c r="AC2959" s="42"/>
    </row>
    <row r="2960" spans="15:29" x14ac:dyDescent="0.25">
      <c r="O2960" s="42"/>
      <c r="R2960" s="42"/>
      <c r="AC2960" s="42"/>
    </row>
    <row r="2961" spans="15:29" x14ac:dyDescent="0.25">
      <c r="O2961" s="42"/>
      <c r="R2961" s="42"/>
      <c r="AC2961" s="42"/>
    </row>
    <row r="2962" spans="15:29" x14ac:dyDescent="0.25">
      <c r="O2962" s="42"/>
      <c r="R2962" s="42"/>
      <c r="AC2962" s="42"/>
    </row>
    <row r="2963" spans="15:29" x14ac:dyDescent="0.25">
      <c r="O2963" s="42"/>
      <c r="R2963" s="42"/>
      <c r="AC2963" s="42"/>
    </row>
    <row r="2964" spans="15:29" x14ac:dyDescent="0.25">
      <c r="O2964" s="42"/>
      <c r="R2964" s="42"/>
      <c r="AC2964" s="42"/>
    </row>
    <row r="2965" spans="15:29" x14ac:dyDescent="0.25">
      <c r="O2965" s="42"/>
      <c r="R2965" s="42"/>
      <c r="AC2965" s="42"/>
    </row>
    <row r="2966" spans="15:29" x14ac:dyDescent="0.25">
      <c r="O2966" s="42"/>
      <c r="R2966" s="42"/>
      <c r="AC2966" s="42"/>
    </row>
    <row r="2967" spans="15:29" x14ac:dyDescent="0.25">
      <c r="O2967" s="42"/>
      <c r="R2967" s="42"/>
      <c r="AC2967" s="42"/>
    </row>
    <row r="2968" spans="15:29" x14ac:dyDescent="0.25">
      <c r="O2968" s="42"/>
      <c r="R2968" s="42"/>
      <c r="AC2968" s="42"/>
    </row>
    <row r="2969" spans="15:29" x14ac:dyDescent="0.25">
      <c r="O2969" s="42"/>
      <c r="R2969" s="42"/>
      <c r="AC2969" s="42"/>
    </row>
    <row r="2970" spans="15:29" x14ac:dyDescent="0.25">
      <c r="O2970" s="42"/>
      <c r="R2970" s="42"/>
      <c r="AC2970" s="42"/>
    </row>
    <row r="2971" spans="15:29" x14ac:dyDescent="0.25">
      <c r="O2971" s="42"/>
      <c r="R2971" s="42"/>
      <c r="AC2971" s="42"/>
    </row>
    <row r="2972" spans="15:29" x14ac:dyDescent="0.25">
      <c r="O2972" s="42"/>
      <c r="R2972" s="42"/>
      <c r="AC2972" s="42"/>
    </row>
    <row r="2973" spans="15:29" x14ac:dyDescent="0.25">
      <c r="O2973" s="42"/>
      <c r="R2973" s="42"/>
      <c r="AC2973" s="42"/>
    </row>
    <row r="2974" spans="15:29" x14ac:dyDescent="0.25">
      <c r="O2974" s="42"/>
      <c r="R2974" s="42"/>
      <c r="AC2974" s="42"/>
    </row>
    <row r="2975" spans="15:29" x14ac:dyDescent="0.25">
      <c r="O2975" s="42"/>
      <c r="R2975" s="42"/>
      <c r="AC2975" s="42"/>
    </row>
    <row r="2976" spans="15:29" x14ac:dyDescent="0.25">
      <c r="O2976" s="42"/>
      <c r="R2976" s="42"/>
      <c r="AC2976" s="42"/>
    </row>
    <row r="2977" spans="15:29" x14ac:dyDescent="0.25">
      <c r="O2977" s="42"/>
      <c r="R2977" s="42"/>
      <c r="AC2977" s="42"/>
    </row>
    <row r="2978" spans="15:29" x14ac:dyDescent="0.25">
      <c r="O2978" s="42"/>
      <c r="R2978" s="42"/>
      <c r="AC2978" s="42"/>
    </row>
    <row r="2979" spans="15:29" x14ac:dyDescent="0.25">
      <c r="O2979" s="42"/>
      <c r="R2979" s="42"/>
      <c r="AC2979" s="42"/>
    </row>
    <row r="2980" spans="15:29" x14ac:dyDescent="0.25">
      <c r="O2980" s="42"/>
      <c r="R2980" s="42"/>
      <c r="AC2980" s="42"/>
    </row>
    <row r="2981" spans="15:29" x14ac:dyDescent="0.25">
      <c r="O2981" s="42"/>
      <c r="R2981" s="42"/>
      <c r="AC2981" s="42"/>
    </row>
    <row r="2982" spans="15:29" x14ac:dyDescent="0.25">
      <c r="O2982" s="42"/>
      <c r="R2982" s="42"/>
      <c r="AC2982" s="42"/>
    </row>
    <row r="2983" spans="15:29" x14ac:dyDescent="0.25">
      <c r="O2983" s="42"/>
      <c r="R2983" s="42"/>
      <c r="AC2983" s="42"/>
    </row>
    <row r="2984" spans="15:29" x14ac:dyDescent="0.25">
      <c r="O2984" s="42"/>
      <c r="R2984" s="42"/>
      <c r="AC2984" s="42"/>
    </row>
    <row r="2985" spans="15:29" x14ac:dyDescent="0.25">
      <c r="O2985" s="42"/>
      <c r="R2985" s="42"/>
      <c r="AC2985" s="42"/>
    </row>
    <row r="2986" spans="15:29" x14ac:dyDescent="0.25">
      <c r="O2986" s="42"/>
      <c r="R2986" s="42"/>
      <c r="AC2986" s="42"/>
    </row>
    <row r="2987" spans="15:29" x14ac:dyDescent="0.25">
      <c r="O2987" s="42"/>
      <c r="R2987" s="42"/>
      <c r="AC2987" s="42"/>
    </row>
    <row r="2988" spans="15:29" x14ac:dyDescent="0.25">
      <c r="O2988" s="42"/>
      <c r="R2988" s="42"/>
      <c r="AC2988" s="42"/>
    </row>
    <row r="2989" spans="15:29" x14ac:dyDescent="0.25">
      <c r="O2989" s="42"/>
      <c r="R2989" s="42"/>
      <c r="AC2989" s="42"/>
    </row>
    <row r="2990" spans="15:29" x14ac:dyDescent="0.25">
      <c r="O2990" s="42"/>
      <c r="R2990" s="42"/>
      <c r="AC2990" s="42"/>
    </row>
    <row r="2991" spans="15:29" x14ac:dyDescent="0.25">
      <c r="O2991" s="42"/>
      <c r="R2991" s="42"/>
      <c r="AC2991" s="42"/>
    </row>
    <row r="2992" spans="15:29" x14ac:dyDescent="0.25">
      <c r="O2992" s="42"/>
      <c r="R2992" s="42"/>
      <c r="AC2992" s="42"/>
    </row>
    <row r="2993" spans="15:29" x14ac:dyDescent="0.25">
      <c r="O2993" s="42"/>
      <c r="R2993" s="42"/>
      <c r="AC2993" s="42"/>
    </row>
    <row r="2994" spans="15:29" x14ac:dyDescent="0.25">
      <c r="O2994" s="42"/>
      <c r="R2994" s="42"/>
      <c r="AC2994" s="42"/>
    </row>
    <row r="2995" spans="15:29" x14ac:dyDescent="0.25">
      <c r="O2995" s="42"/>
      <c r="R2995" s="42"/>
      <c r="AC2995" s="42"/>
    </row>
    <row r="2996" spans="15:29" x14ac:dyDescent="0.25">
      <c r="O2996" s="42"/>
      <c r="R2996" s="42"/>
      <c r="AC2996" s="42"/>
    </row>
    <row r="2997" spans="15:29" x14ac:dyDescent="0.25">
      <c r="O2997" s="42"/>
      <c r="R2997" s="42"/>
      <c r="AC2997" s="42"/>
    </row>
    <row r="2998" spans="15:29" x14ac:dyDescent="0.25">
      <c r="O2998" s="42"/>
      <c r="R2998" s="42"/>
      <c r="AC2998" s="42"/>
    </row>
    <row r="2999" spans="15:29" x14ac:dyDescent="0.25">
      <c r="O2999" s="42"/>
      <c r="R2999" s="42"/>
      <c r="AC2999" s="42"/>
    </row>
    <row r="3000" spans="15:29" x14ac:dyDescent="0.25">
      <c r="O3000" s="42"/>
      <c r="R3000" s="42"/>
      <c r="AC3000" s="42"/>
    </row>
    <row r="3001" spans="15:29" x14ac:dyDescent="0.25">
      <c r="O3001" s="42"/>
      <c r="R3001" s="42"/>
      <c r="AC3001" s="42"/>
    </row>
    <row r="3002" spans="15:29" x14ac:dyDescent="0.25">
      <c r="O3002" s="42"/>
      <c r="R3002" s="42"/>
      <c r="AC3002" s="42"/>
    </row>
    <row r="3003" spans="15:29" x14ac:dyDescent="0.25">
      <c r="O3003" s="42"/>
      <c r="R3003" s="42"/>
      <c r="AC3003" s="42"/>
    </row>
    <row r="3004" spans="15:29" x14ac:dyDescent="0.25">
      <c r="O3004" s="42"/>
      <c r="R3004" s="42"/>
      <c r="AC3004" s="42"/>
    </row>
    <row r="3005" spans="15:29" x14ac:dyDescent="0.25">
      <c r="O3005" s="42"/>
      <c r="R3005" s="42"/>
      <c r="AC3005" s="42"/>
    </row>
    <row r="3006" spans="15:29" x14ac:dyDescent="0.25">
      <c r="O3006" s="42"/>
      <c r="R3006" s="42"/>
      <c r="AC3006" s="42"/>
    </row>
    <row r="3007" spans="15:29" x14ac:dyDescent="0.25">
      <c r="O3007" s="42"/>
      <c r="R3007" s="42"/>
      <c r="AC3007" s="42"/>
    </row>
    <row r="3008" spans="15:29" x14ac:dyDescent="0.25">
      <c r="O3008" s="42"/>
      <c r="R3008" s="42"/>
      <c r="AC3008" s="42"/>
    </row>
    <row r="3009" spans="15:29" x14ac:dyDescent="0.25">
      <c r="O3009" s="42"/>
      <c r="R3009" s="42"/>
      <c r="AC3009" s="42"/>
    </row>
    <row r="3010" spans="15:29" x14ac:dyDescent="0.25">
      <c r="O3010" s="42"/>
      <c r="R3010" s="42"/>
      <c r="AC3010" s="42"/>
    </row>
    <row r="3011" spans="15:29" x14ac:dyDescent="0.25">
      <c r="O3011" s="42"/>
      <c r="R3011" s="42"/>
      <c r="AC3011" s="42"/>
    </row>
    <row r="3012" spans="15:29" x14ac:dyDescent="0.25">
      <c r="O3012" s="42"/>
      <c r="R3012" s="42"/>
      <c r="AC3012" s="42"/>
    </row>
    <row r="3013" spans="15:29" x14ac:dyDescent="0.25">
      <c r="O3013" s="42"/>
      <c r="R3013" s="42"/>
      <c r="AC3013" s="42"/>
    </row>
    <row r="3014" spans="15:29" x14ac:dyDescent="0.25">
      <c r="O3014" s="42"/>
      <c r="R3014" s="42"/>
      <c r="AC3014" s="42"/>
    </row>
    <row r="3015" spans="15:29" x14ac:dyDescent="0.25">
      <c r="O3015" s="42"/>
      <c r="R3015" s="42"/>
      <c r="AC3015" s="42"/>
    </row>
    <row r="3016" spans="15:29" x14ac:dyDescent="0.25">
      <c r="O3016" s="42"/>
      <c r="R3016" s="42"/>
      <c r="AC3016" s="42"/>
    </row>
    <row r="3017" spans="15:29" x14ac:dyDescent="0.25">
      <c r="O3017" s="42"/>
      <c r="R3017" s="42"/>
      <c r="AC3017" s="42"/>
    </row>
    <row r="3018" spans="15:29" x14ac:dyDescent="0.25">
      <c r="O3018" s="42"/>
      <c r="R3018" s="42"/>
      <c r="AC3018" s="42"/>
    </row>
    <row r="3019" spans="15:29" x14ac:dyDescent="0.25">
      <c r="O3019" s="42"/>
      <c r="R3019" s="42"/>
      <c r="AC3019" s="42"/>
    </row>
    <row r="3020" spans="15:29" x14ac:dyDescent="0.25">
      <c r="O3020" s="42"/>
      <c r="R3020" s="42"/>
      <c r="AC3020" s="42"/>
    </row>
    <row r="3021" spans="15:29" x14ac:dyDescent="0.25">
      <c r="O3021" s="42"/>
      <c r="R3021" s="42"/>
      <c r="AC3021" s="42"/>
    </row>
    <row r="3022" spans="15:29" x14ac:dyDescent="0.25">
      <c r="O3022" s="42"/>
      <c r="R3022" s="42"/>
      <c r="AC3022" s="42"/>
    </row>
    <row r="3023" spans="15:29" x14ac:dyDescent="0.25">
      <c r="O3023" s="42"/>
      <c r="R3023" s="42"/>
      <c r="AC3023" s="42"/>
    </row>
    <row r="3024" spans="15:29" x14ac:dyDescent="0.25">
      <c r="O3024" s="42"/>
      <c r="R3024" s="42"/>
      <c r="AC3024" s="42"/>
    </row>
    <row r="3025" spans="15:29" x14ac:dyDescent="0.25">
      <c r="O3025" s="42"/>
      <c r="R3025" s="42"/>
      <c r="AC3025" s="42"/>
    </row>
    <row r="3026" spans="15:29" x14ac:dyDescent="0.25">
      <c r="O3026" s="42"/>
      <c r="R3026" s="42"/>
      <c r="AC3026" s="42"/>
    </row>
    <row r="3027" spans="15:29" x14ac:dyDescent="0.25">
      <c r="O3027" s="42"/>
      <c r="R3027" s="42"/>
      <c r="AC3027" s="42"/>
    </row>
    <row r="3028" spans="15:29" x14ac:dyDescent="0.25">
      <c r="O3028" s="42"/>
      <c r="R3028" s="42"/>
      <c r="AC3028" s="42"/>
    </row>
    <row r="3029" spans="15:29" x14ac:dyDescent="0.25">
      <c r="O3029" s="42"/>
      <c r="R3029" s="42"/>
      <c r="AC3029" s="42"/>
    </row>
    <row r="3030" spans="15:29" x14ac:dyDescent="0.25">
      <c r="O3030" s="42"/>
      <c r="R3030" s="42"/>
      <c r="AC3030" s="42"/>
    </row>
    <row r="3031" spans="15:29" x14ac:dyDescent="0.25">
      <c r="O3031" s="42"/>
      <c r="R3031" s="42"/>
      <c r="AC3031" s="42"/>
    </row>
    <row r="3032" spans="15:29" x14ac:dyDescent="0.25">
      <c r="O3032" s="42"/>
      <c r="R3032" s="42"/>
      <c r="AC3032" s="42"/>
    </row>
    <row r="3033" spans="15:29" x14ac:dyDescent="0.25">
      <c r="O3033" s="42"/>
      <c r="R3033" s="42"/>
      <c r="AC3033" s="42"/>
    </row>
    <row r="3034" spans="15:29" x14ac:dyDescent="0.25">
      <c r="O3034" s="42"/>
      <c r="R3034" s="42"/>
      <c r="AC3034" s="42"/>
    </row>
    <row r="3035" spans="15:29" x14ac:dyDescent="0.25">
      <c r="O3035" s="42"/>
      <c r="R3035" s="42"/>
      <c r="AC3035" s="42"/>
    </row>
    <row r="3036" spans="15:29" x14ac:dyDescent="0.25">
      <c r="O3036" s="42"/>
      <c r="R3036" s="42"/>
      <c r="AC3036" s="42"/>
    </row>
    <row r="3037" spans="15:29" x14ac:dyDescent="0.25">
      <c r="O3037" s="42"/>
      <c r="R3037" s="42"/>
      <c r="AC3037" s="42"/>
    </row>
    <row r="3038" spans="15:29" x14ac:dyDescent="0.25">
      <c r="O3038" s="42"/>
      <c r="R3038" s="42"/>
      <c r="AC3038" s="42"/>
    </row>
    <row r="3039" spans="15:29" x14ac:dyDescent="0.25">
      <c r="O3039" s="42"/>
      <c r="R3039" s="42"/>
      <c r="AC3039" s="42"/>
    </row>
    <row r="3040" spans="15:29" x14ac:dyDescent="0.25">
      <c r="O3040" s="42"/>
      <c r="R3040" s="42"/>
      <c r="AC3040" s="42"/>
    </row>
    <row r="3041" spans="15:29" x14ac:dyDescent="0.25">
      <c r="O3041" s="42"/>
      <c r="R3041" s="42"/>
      <c r="AC3041" s="42"/>
    </row>
    <row r="3042" spans="15:29" x14ac:dyDescent="0.25">
      <c r="O3042" s="42"/>
      <c r="R3042" s="42"/>
      <c r="AC3042" s="42"/>
    </row>
    <row r="3043" spans="15:29" x14ac:dyDescent="0.25">
      <c r="O3043" s="42"/>
      <c r="R3043" s="42"/>
      <c r="AC3043" s="42"/>
    </row>
    <row r="3044" spans="15:29" x14ac:dyDescent="0.25">
      <c r="O3044" s="42"/>
      <c r="R3044" s="42"/>
      <c r="AC3044" s="42"/>
    </row>
    <row r="3045" spans="15:29" x14ac:dyDescent="0.25">
      <c r="O3045" s="42"/>
      <c r="R3045" s="42"/>
      <c r="AC3045" s="42"/>
    </row>
    <row r="3046" spans="15:29" x14ac:dyDescent="0.25">
      <c r="O3046" s="42"/>
      <c r="R3046" s="42"/>
      <c r="AC3046" s="42"/>
    </row>
    <row r="3047" spans="15:29" x14ac:dyDescent="0.25">
      <c r="O3047" s="42"/>
      <c r="R3047" s="42"/>
      <c r="AC3047" s="42"/>
    </row>
    <row r="3048" spans="15:29" x14ac:dyDescent="0.25">
      <c r="O3048" s="42"/>
      <c r="R3048" s="42"/>
      <c r="AC3048" s="42"/>
    </row>
    <row r="3049" spans="15:29" x14ac:dyDescent="0.25">
      <c r="O3049" s="42"/>
      <c r="R3049" s="42"/>
      <c r="AC3049" s="42"/>
    </row>
    <row r="3050" spans="15:29" x14ac:dyDescent="0.25">
      <c r="O3050" s="42"/>
      <c r="R3050" s="42"/>
      <c r="AC3050" s="42"/>
    </row>
    <row r="3051" spans="15:29" x14ac:dyDescent="0.25">
      <c r="O3051" s="42"/>
      <c r="R3051" s="42"/>
      <c r="AC3051" s="42"/>
    </row>
    <row r="3052" spans="15:29" x14ac:dyDescent="0.25">
      <c r="O3052" s="42"/>
      <c r="R3052" s="42"/>
      <c r="AC3052" s="42"/>
    </row>
    <row r="3053" spans="15:29" x14ac:dyDescent="0.25">
      <c r="O3053" s="42"/>
      <c r="R3053" s="42"/>
      <c r="AC3053" s="42"/>
    </row>
    <row r="3054" spans="15:29" x14ac:dyDescent="0.25">
      <c r="O3054" s="42"/>
      <c r="R3054" s="42"/>
      <c r="AC3054" s="42"/>
    </row>
    <row r="3055" spans="15:29" x14ac:dyDescent="0.25">
      <c r="O3055" s="42"/>
      <c r="R3055" s="42"/>
      <c r="AC3055" s="42"/>
    </row>
    <row r="3056" spans="15:29" x14ac:dyDescent="0.25">
      <c r="O3056" s="42"/>
      <c r="R3056" s="42"/>
      <c r="AC3056" s="42"/>
    </row>
    <row r="3057" spans="15:29" x14ac:dyDescent="0.25">
      <c r="O3057" s="42"/>
      <c r="R3057" s="42"/>
      <c r="AC3057" s="42"/>
    </row>
    <row r="3058" spans="15:29" x14ac:dyDescent="0.25">
      <c r="O3058" s="42"/>
      <c r="R3058" s="42"/>
      <c r="AC3058" s="42"/>
    </row>
    <row r="3059" spans="15:29" x14ac:dyDescent="0.25">
      <c r="O3059" s="42"/>
      <c r="R3059" s="42"/>
      <c r="AC3059" s="42"/>
    </row>
    <row r="3060" spans="15:29" x14ac:dyDescent="0.25">
      <c r="O3060" s="42"/>
      <c r="R3060" s="42"/>
      <c r="AC3060" s="42"/>
    </row>
    <row r="3061" spans="15:29" x14ac:dyDescent="0.25">
      <c r="O3061" s="42"/>
      <c r="R3061" s="42"/>
      <c r="AC3061" s="42"/>
    </row>
    <row r="3062" spans="15:29" x14ac:dyDescent="0.25">
      <c r="O3062" s="42"/>
      <c r="R3062" s="42"/>
      <c r="AC3062" s="42"/>
    </row>
    <row r="3063" spans="15:29" x14ac:dyDescent="0.25">
      <c r="O3063" s="42"/>
      <c r="R3063" s="42"/>
      <c r="AC3063" s="42"/>
    </row>
    <row r="3064" spans="15:29" x14ac:dyDescent="0.25">
      <c r="O3064" s="42"/>
      <c r="R3064" s="42"/>
      <c r="AC3064" s="42"/>
    </row>
    <row r="3065" spans="15:29" x14ac:dyDescent="0.25">
      <c r="O3065" s="42"/>
      <c r="R3065" s="42"/>
      <c r="AC3065" s="42"/>
    </row>
    <row r="3066" spans="15:29" x14ac:dyDescent="0.25">
      <c r="O3066" s="42"/>
      <c r="R3066" s="42"/>
      <c r="AC3066" s="42"/>
    </row>
    <row r="3067" spans="15:29" x14ac:dyDescent="0.25">
      <c r="O3067" s="42"/>
      <c r="R3067" s="42"/>
      <c r="AC3067" s="42"/>
    </row>
    <row r="3068" spans="15:29" x14ac:dyDescent="0.25">
      <c r="O3068" s="42"/>
      <c r="R3068" s="42"/>
      <c r="AC3068" s="42"/>
    </row>
    <row r="3069" spans="15:29" x14ac:dyDescent="0.25">
      <c r="O3069" s="42"/>
      <c r="R3069" s="42"/>
      <c r="AC3069" s="42"/>
    </row>
    <row r="3070" spans="15:29" x14ac:dyDescent="0.25">
      <c r="O3070" s="42"/>
      <c r="R3070" s="42"/>
      <c r="AC3070" s="42"/>
    </row>
    <row r="3071" spans="15:29" x14ac:dyDescent="0.25">
      <c r="O3071" s="42"/>
      <c r="R3071" s="42"/>
      <c r="AC3071" s="42"/>
    </row>
    <row r="3072" spans="15:29" x14ac:dyDescent="0.25">
      <c r="O3072" s="42"/>
      <c r="R3072" s="42"/>
      <c r="AC3072" s="42"/>
    </row>
    <row r="3073" spans="15:29" x14ac:dyDescent="0.25">
      <c r="O3073" s="42"/>
      <c r="R3073" s="42"/>
      <c r="AC3073" s="42"/>
    </row>
    <row r="3074" spans="15:29" x14ac:dyDescent="0.25">
      <c r="O3074" s="42"/>
      <c r="R3074" s="42"/>
      <c r="AC3074" s="42"/>
    </row>
    <row r="3075" spans="15:29" x14ac:dyDescent="0.25">
      <c r="O3075" s="42"/>
      <c r="R3075" s="42"/>
      <c r="AC3075" s="42"/>
    </row>
    <row r="3076" spans="15:29" x14ac:dyDescent="0.25">
      <c r="O3076" s="42"/>
      <c r="R3076" s="42"/>
      <c r="AC3076" s="42"/>
    </row>
    <row r="3077" spans="15:29" x14ac:dyDescent="0.25">
      <c r="O3077" s="42"/>
      <c r="R3077" s="42"/>
      <c r="AC3077" s="42"/>
    </row>
    <row r="3078" spans="15:29" x14ac:dyDescent="0.25">
      <c r="O3078" s="42"/>
      <c r="R3078" s="42"/>
      <c r="AC3078" s="42"/>
    </row>
    <row r="3079" spans="15:29" x14ac:dyDescent="0.25">
      <c r="O3079" s="42"/>
      <c r="R3079" s="42"/>
      <c r="AC3079" s="42"/>
    </row>
    <row r="3080" spans="15:29" x14ac:dyDescent="0.25">
      <c r="O3080" s="42"/>
      <c r="R3080" s="42"/>
      <c r="AC3080" s="42"/>
    </row>
    <row r="3081" spans="15:29" x14ac:dyDescent="0.25">
      <c r="O3081" s="42"/>
      <c r="R3081" s="42"/>
      <c r="AC3081" s="42"/>
    </row>
    <row r="3082" spans="15:29" x14ac:dyDescent="0.25">
      <c r="O3082" s="42"/>
      <c r="R3082" s="42"/>
      <c r="AC3082" s="42"/>
    </row>
    <row r="3083" spans="15:29" x14ac:dyDescent="0.25">
      <c r="O3083" s="42"/>
      <c r="R3083" s="42"/>
      <c r="AC3083" s="42"/>
    </row>
    <row r="3084" spans="15:29" x14ac:dyDescent="0.25">
      <c r="O3084" s="42"/>
      <c r="R3084" s="42"/>
      <c r="AC3084" s="42"/>
    </row>
    <row r="3085" spans="15:29" x14ac:dyDescent="0.25">
      <c r="O3085" s="42"/>
      <c r="R3085" s="42"/>
      <c r="AC3085" s="42"/>
    </row>
    <row r="3086" spans="15:29" x14ac:dyDescent="0.25">
      <c r="O3086" s="42"/>
      <c r="R3086" s="42"/>
      <c r="AC3086" s="42"/>
    </row>
    <row r="3087" spans="15:29" x14ac:dyDescent="0.25">
      <c r="O3087" s="42"/>
      <c r="R3087" s="42"/>
      <c r="AC3087" s="42"/>
    </row>
    <row r="3088" spans="15:29" x14ac:dyDescent="0.25">
      <c r="O3088" s="42"/>
      <c r="R3088" s="42"/>
      <c r="AC3088" s="42"/>
    </row>
    <row r="3089" spans="15:29" x14ac:dyDescent="0.25">
      <c r="O3089" s="42"/>
      <c r="R3089" s="42"/>
      <c r="AC3089" s="42"/>
    </row>
    <row r="3090" spans="15:29" x14ac:dyDescent="0.25">
      <c r="O3090" s="42"/>
      <c r="R3090" s="42"/>
      <c r="AC3090" s="42"/>
    </row>
    <row r="3091" spans="15:29" x14ac:dyDescent="0.25">
      <c r="O3091" s="42"/>
      <c r="R3091" s="42"/>
      <c r="AC3091" s="42"/>
    </row>
    <row r="3092" spans="15:29" x14ac:dyDescent="0.25">
      <c r="O3092" s="42"/>
      <c r="R3092" s="42"/>
      <c r="AC3092" s="42"/>
    </row>
    <row r="3093" spans="15:29" x14ac:dyDescent="0.25">
      <c r="O3093" s="42"/>
      <c r="R3093" s="42"/>
      <c r="AC3093" s="42"/>
    </row>
    <row r="3094" spans="15:29" x14ac:dyDescent="0.25">
      <c r="O3094" s="42"/>
      <c r="R3094" s="42"/>
      <c r="AC3094" s="42"/>
    </row>
    <row r="3095" spans="15:29" x14ac:dyDescent="0.25">
      <c r="O3095" s="42"/>
      <c r="R3095" s="42"/>
      <c r="AC3095" s="42"/>
    </row>
    <row r="3096" spans="15:29" x14ac:dyDescent="0.25">
      <c r="O3096" s="42"/>
      <c r="R3096" s="42"/>
      <c r="AC3096" s="42"/>
    </row>
    <row r="3097" spans="15:29" x14ac:dyDescent="0.25">
      <c r="O3097" s="42"/>
      <c r="R3097" s="42"/>
      <c r="AC3097" s="42"/>
    </row>
    <row r="3098" spans="15:29" x14ac:dyDescent="0.25">
      <c r="O3098" s="42"/>
      <c r="R3098" s="42"/>
      <c r="AC3098" s="42"/>
    </row>
    <row r="3099" spans="15:29" x14ac:dyDescent="0.25">
      <c r="O3099" s="42"/>
      <c r="R3099" s="42"/>
      <c r="AC3099" s="42"/>
    </row>
    <row r="3100" spans="15:29" x14ac:dyDescent="0.25">
      <c r="O3100" s="42"/>
      <c r="R3100" s="42"/>
      <c r="AC3100" s="42"/>
    </row>
    <row r="3101" spans="15:29" x14ac:dyDescent="0.25">
      <c r="O3101" s="42"/>
      <c r="R3101" s="42"/>
      <c r="AC3101" s="42"/>
    </row>
    <row r="3102" spans="15:29" x14ac:dyDescent="0.25">
      <c r="O3102" s="42"/>
      <c r="R3102" s="42"/>
      <c r="AC3102" s="42"/>
    </row>
    <row r="3103" spans="15:29" x14ac:dyDescent="0.25">
      <c r="O3103" s="42"/>
      <c r="R3103" s="42"/>
      <c r="AC3103" s="42"/>
    </row>
    <row r="3104" spans="15:29" x14ac:dyDescent="0.25">
      <c r="O3104" s="42"/>
      <c r="R3104" s="42"/>
      <c r="AC3104" s="42"/>
    </row>
    <row r="3105" spans="15:29" x14ac:dyDescent="0.25">
      <c r="O3105" s="42"/>
      <c r="R3105" s="42"/>
      <c r="AC3105" s="42"/>
    </row>
    <row r="3106" spans="15:29" x14ac:dyDescent="0.25">
      <c r="O3106" s="42"/>
      <c r="R3106" s="42"/>
      <c r="AC3106" s="42"/>
    </row>
    <row r="3107" spans="15:29" x14ac:dyDescent="0.25">
      <c r="O3107" s="42"/>
      <c r="R3107" s="42"/>
      <c r="AC3107" s="42"/>
    </row>
    <row r="3108" spans="15:29" x14ac:dyDescent="0.25">
      <c r="O3108" s="42"/>
      <c r="R3108" s="42"/>
      <c r="AC3108" s="42"/>
    </row>
    <row r="3109" spans="15:29" x14ac:dyDescent="0.25">
      <c r="O3109" s="42"/>
      <c r="R3109" s="42"/>
      <c r="AC3109" s="42"/>
    </row>
    <row r="3110" spans="15:29" x14ac:dyDescent="0.25">
      <c r="O3110" s="42"/>
      <c r="R3110" s="42"/>
      <c r="AC3110" s="42"/>
    </row>
    <row r="3111" spans="15:29" x14ac:dyDescent="0.25">
      <c r="O3111" s="42"/>
      <c r="R3111" s="42"/>
      <c r="AC3111" s="42"/>
    </row>
    <row r="3112" spans="15:29" x14ac:dyDescent="0.25">
      <c r="O3112" s="42"/>
      <c r="R3112" s="42"/>
      <c r="AC3112" s="42"/>
    </row>
    <row r="3113" spans="15:29" x14ac:dyDescent="0.25">
      <c r="O3113" s="42"/>
      <c r="R3113" s="42"/>
      <c r="AC3113" s="42"/>
    </row>
    <row r="3114" spans="15:29" x14ac:dyDescent="0.25">
      <c r="O3114" s="42"/>
      <c r="R3114" s="42"/>
      <c r="AC3114" s="42"/>
    </row>
    <row r="3115" spans="15:29" x14ac:dyDescent="0.25">
      <c r="O3115" s="42"/>
      <c r="R3115" s="42"/>
      <c r="AC3115" s="42"/>
    </row>
    <row r="3116" spans="15:29" x14ac:dyDescent="0.25">
      <c r="O3116" s="42"/>
      <c r="R3116" s="42"/>
      <c r="AC3116" s="42"/>
    </row>
    <row r="3117" spans="15:29" x14ac:dyDescent="0.25">
      <c r="O3117" s="42"/>
      <c r="R3117" s="42"/>
      <c r="AC3117" s="42"/>
    </row>
    <row r="3118" spans="15:29" x14ac:dyDescent="0.25">
      <c r="O3118" s="42"/>
      <c r="R3118" s="42"/>
      <c r="AC3118" s="42"/>
    </row>
    <row r="3119" spans="15:29" x14ac:dyDescent="0.25">
      <c r="O3119" s="42"/>
      <c r="R3119" s="42"/>
      <c r="AC3119" s="42"/>
    </row>
    <row r="3120" spans="15:29" x14ac:dyDescent="0.25">
      <c r="O3120" s="42"/>
      <c r="R3120" s="42"/>
      <c r="AC3120" s="42"/>
    </row>
    <row r="3121" spans="15:29" x14ac:dyDescent="0.25">
      <c r="O3121" s="42"/>
      <c r="R3121" s="42"/>
      <c r="AC3121" s="42"/>
    </row>
    <row r="3122" spans="15:29" x14ac:dyDescent="0.25">
      <c r="O3122" s="42"/>
      <c r="R3122" s="42"/>
      <c r="AC3122" s="42"/>
    </row>
    <row r="3123" spans="15:29" x14ac:dyDescent="0.25">
      <c r="O3123" s="42"/>
      <c r="R3123" s="42"/>
      <c r="AC3123" s="42"/>
    </row>
    <row r="3124" spans="15:29" x14ac:dyDescent="0.25">
      <c r="O3124" s="42"/>
      <c r="R3124" s="42"/>
      <c r="AC3124" s="42"/>
    </row>
    <row r="3125" spans="15:29" x14ac:dyDescent="0.25">
      <c r="O3125" s="42"/>
      <c r="R3125" s="42"/>
      <c r="AC3125" s="42"/>
    </row>
    <row r="3126" spans="15:29" x14ac:dyDescent="0.25">
      <c r="O3126" s="42"/>
      <c r="R3126" s="42"/>
      <c r="AC3126" s="42"/>
    </row>
    <row r="3127" spans="15:29" x14ac:dyDescent="0.25">
      <c r="O3127" s="42"/>
      <c r="R3127" s="42"/>
      <c r="AC3127" s="42"/>
    </row>
    <row r="3128" spans="15:29" x14ac:dyDescent="0.25">
      <c r="O3128" s="42"/>
      <c r="R3128" s="42"/>
      <c r="AC3128" s="42"/>
    </row>
    <row r="3129" spans="15:29" x14ac:dyDescent="0.25">
      <c r="O3129" s="42"/>
      <c r="R3129" s="42"/>
      <c r="AC3129" s="42"/>
    </row>
    <row r="3130" spans="15:29" x14ac:dyDescent="0.25">
      <c r="O3130" s="42"/>
      <c r="R3130" s="42"/>
      <c r="AC3130" s="42"/>
    </row>
    <row r="3131" spans="15:29" x14ac:dyDescent="0.25">
      <c r="O3131" s="42"/>
      <c r="R3131" s="42"/>
      <c r="AC3131" s="42"/>
    </row>
    <row r="3132" spans="15:29" x14ac:dyDescent="0.25">
      <c r="O3132" s="42"/>
      <c r="R3132" s="42"/>
      <c r="AC3132" s="42"/>
    </row>
    <row r="3133" spans="15:29" x14ac:dyDescent="0.25">
      <c r="O3133" s="42"/>
      <c r="R3133" s="42"/>
      <c r="AC3133" s="42"/>
    </row>
    <row r="3134" spans="15:29" x14ac:dyDescent="0.25">
      <c r="O3134" s="42"/>
      <c r="R3134" s="42"/>
      <c r="AC3134" s="42"/>
    </row>
    <row r="3135" spans="15:29" x14ac:dyDescent="0.25">
      <c r="O3135" s="42"/>
      <c r="R3135" s="42"/>
      <c r="AC3135" s="42"/>
    </row>
    <row r="3136" spans="15:29" x14ac:dyDescent="0.25">
      <c r="O3136" s="42"/>
      <c r="R3136" s="42"/>
      <c r="AC3136" s="42"/>
    </row>
    <row r="3137" spans="15:29" x14ac:dyDescent="0.25">
      <c r="O3137" s="42"/>
      <c r="R3137" s="42"/>
      <c r="AC3137" s="42"/>
    </row>
    <row r="3138" spans="15:29" x14ac:dyDescent="0.25">
      <c r="O3138" s="42"/>
      <c r="R3138" s="42"/>
      <c r="AC3138" s="42"/>
    </row>
    <row r="3139" spans="15:29" x14ac:dyDescent="0.25">
      <c r="O3139" s="42"/>
      <c r="R3139" s="42"/>
      <c r="AC3139" s="42"/>
    </row>
    <row r="3140" spans="15:29" x14ac:dyDescent="0.25">
      <c r="O3140" s="42"/>
      <c r="R3140" s="42"/>
      <c r="AC3140" s="42"/>
    </row>
    <row r="3141" spans="15:29" x14ac:dyDescent="0.25">
      <c r="O3141" s="42"/>
      <c r="R3141" s="42"/>
      <c r="AC3141" s="42"/>
    </row>
    <row r="3142" spans="15:29" x14ac:dyDescent="0.25">
      <c r="O3142" s="42"/>
      <c r="R3142" s="42"/>
      <c r="AC3142" s="42"/>
    </row>
    <row r="3143" spans="15:29" x14ac:dyDescent="0.25">
      <c r="O3143" s="42"/>
      <c r="R3143" s="42"/>
      <c r="AC3143" s="42"/>
    </row>
    <row r="3144" spans="15:29" x14ac:dyDescent="0.25">
      <c r="O3144" s="42"/>
      <c r="R3144" s="42"/>
      <c r="AC3144" s="42"/>
    </row>
    <row r="3145" spans="15:29" x14ac:dyDescent="0.25">
      <c r="O3145" s="42"/>
      <c r="R3145" s="42"/>
      <c r="AC3145" s="42"/>
    </row>
    <row r="3146" spans="15:29" x14ac:dyDescent="0.25">
      <c r="O3146" s="42"/>
      <c r="R3146" s="42"/>
      <c r="AC3146" s="42"/>
    </row>
    <row r="3147" spans="15:29" x14ac:dyDescent="0.25">
      <c r="O3147" s="42"/>
      <c r="R3147" s="42"/>
      <c r="AC3147" s="42"/>
    </row>
    <row r="3148" spans="15:29" x14ac:dyDescent="0.25">
      <c r="O3148" s="42"/>
      <c r="R3148" s="42"/>
      <c r="AC3148" s="42"/>
    </row>
    <row r="3149" spans="15:29" x14ac:dyDescent="0.25">
      <c r="O3149" s="42"/>
      <c r="R3149" s="42"/>
      <c r="AC3149" s="42"/>
    </row>
    <row r="3150" spans="15:29" x14ac:dyDescent="0.25">
      <c r="O3150" s="42"/>
      <c r="R3150" s="42"/>
      <c r="AC3150" s="42"/>
    </row>
    <row r="3151" spans="15:29" x14ac:dyDescent="0.25">
      <c r="O3151" s="42"/>
      <c r="R3151" s="42"/>
      <c r="AC3151" s="42"/>
    </row>
    <row r="3152" spans="15:29" x14ac:dyDescent="0.25">
      <c r="O3152" s="42"/>
      <c r="R3152" s="42"/>
      <c r="AC3152" s="42"/>
    </row>
    <row r="3153" spans="15:29" x14ac:dyDescent="0.25">
      <c r="O3153" s="42"/>
      <c r="R3153" s="42"/>
      <c r="AC3153" s="42"/>
    </row>
    <row r="3154" spans="15:29" x14ac:dyDescent="0.25">
      <c r="O3154" s="42"/>
      <c r="R3154" s="42"/>
      <c r="AC3154" s="42"/>
    </row>
    <row r="3155" spans="15:29" x14ac:dyDescent="0.25">
      <c r="O3155" s="42"/>
      <c r="R3155" s="42"/>
      <c r="AC3155" s="42"/>
    </row>
    <row r="3156" spans="15:29" x14ac:dyDescent="0.25">
      <c r="O3156" s="42"/>
      <c r="R3156" s="42"/>
      <c r="AC3156" s="42"/>
    </row>
    <row r="3157" spans="15:29" x14ac:dyDescent="0.25">
      <c r="O3157" s="42"/>
      <c r="R3157" s="42"/>
      <c r="AC3157" s="42"/>
    </row>
    <row r="3158" spans="15:29" x14ac:dyDescent="0.25">
      <c r="O3158" s="42"/>
      <c r="R3158" s="42"/>
      <c r="AC3158" s="42"/>
    </row>
    <row r="3159" spans="15:29" x14ac:dyDescent="0.25">
      <c r="O3159" s="42"/>
      <c r="R3159" s="42"/>
      <c r="AC3159" s="42"/>
    </row>
    <row r="3160" spans="15:29" x14ac:dyDescent="0.25">
      <c r="O3160" s="42"/>
      <c r="R3160" s="42"/>
      <c r="AC3160" s="42"/>
    </row>
    <row r="3161" spans="15:29" x14ac:dyDescent="0.25">
      <c r="O3161" s="42"/>
      <c r="R3161" s="42"/>
      <c r="AC3161" s="42"/>
    </row>
    <row r="3162" spans="15:29" x14ac:dyDescent="0.25">
      <c r="O3162" s="42"/>
      <c r="R3162" s="42"/>
      <c r="AC3162" s="42"/>
    </row>
    <row r="3163" spans="15:29" x14ac:dyDescent="0.25">
      <c r="O3163" s="42"/>
      <c r="R3163" s="42"/>
      <c r="AC3163" s="42"/>
    </row>
    <row r="3164" spans="15:29" x14ac:dyDescent="0.25">
      <c r="O3164" s="42"/>
      <c r="R3164" s="42"/>
      <c r="AC3164" s="42"/>
    </row>
    <row r="3165" spans="15:29" x14ac:dyDescent="0.25">
      <c r="O3165" s="42"/>
      <c r="R3165" s="42"/>
      <c r="AC3165" s="42"/>
    </row>
    <row r="3166" spans="15:29" x14ac:dyDescent="0.25">
      <c r="O3166" s="42"/>
      <c r="R3166" s="42"/>
      <c r="AC3166" s="42"/>
    </row>
    <row r="3167" spans="15:29" x14ac:dyDescent="0.25">
      <c r="O3167" s="42"/>
      <c r="R3167" s="42"/>
      <c r="AC3167" s="42"/>
    </row>
    <row r="3168" spans="15:29" x14ac:dyDescent="0.25">
      <c r="O3168" s="42"/>
      <c r="R3168" s="42"/>
      <c r="AC3168" s="42"/>
    </row>
    <row r="3169" spans="15:29" x14ac:dyDescent="0.25">
      <c r="O3169" s="42"/>
      <c r="R3169" s="42"/>
      <c r="AC3169" s="42"/>
    </row>
    <row r="3170" spans="15:29" x14ac:dyDescent="0.25">
      <c r="O3170" s="42"/>
      <c r="R3170" s="42"/>
      <c r="AC3170" s="42"/>
    </row>
    <row r="3171" spans="15:29" x14ac:dyDescent="0.25">
      <c r="O3171" s="42"/>
      <c r="R3171" s="42"/>
      <c r="AC3171" s="42"/>
    </row>
    <row r="3172" spans="15:29" x14ac:dyDescent="0.25">
      <c r="O3172" s="42"/>
      <c r="R3172" s="42"/>
      <c r="AC3172" s="42"/>
    </row>
    <row r="3173" spans="15:29" x14ac:dyDescent="0.25">
      <c r="O3173" s="42"/>
      <c r="R3173" s="42"/>
      <c r="AC3173" s="42"/>
    </row>
    <row r="3174" spans="15:29" x14ac:dyDescent="0.25">
      <c r="O3174" s="42"/>
      <c r="R3174" s="42"/>
      <c r="AC3174" s="42"/>
    </row>
    <row r="3175" spans="15:29" x14ac:dyDescent="0.25">
      <c r="O3175" s="42"/>
      <c r="R3175" s="42"/>
      <c r="AC3175" s="42"/>
    </row>
    <row r="3176" spans="15:29" x14ac:dyDescent="0.25">
      <c r="O3176" s="42"/>
      <c r="R3176" s="42"/>
      <c r="AC3176" s="42"/>
    </row>
    <row r="3177" spans="15:29" x14ac:dyDescent="0.25">
      <c r="O3177" s="42"/>
      <c r="R3177" s="42"/>
      <c r="AC3177" s="42"/>
    </row>
    <row r="3178" spans="15:29" x14ac:dyDescent="0.25">
      <c r="O3178" s="42"/>
      <c r="R3178" s="42"/>
      <c r="AC3178" s="42"/>
    </row>
    <row r="3179" spans="15:29" x14ac:dyDescent="0.25">
      <c r="O3179" s="42"/>
      <c r="R3179" s="42"/>
      <c r="AC3179" s="42"/>
    </row>
    <row r="3180" spans="15:29" x14ac:dyDescent="0.25">
      <c r="O3180" s="42"/>
      <c r="R3180" s="42"/>
      <c r="AC3180" s="42"/>
    </row>
    <row r="3181" spans="15:29" x14ac:dyDescent="0.25">
      <c r="O3181" s="42"/>
      <c r="R3181" s="42"/>
      <c r="AC3181" s="42"/>
    </row>
    <row r="3182" spans="15:29" x14ac:dyDescent="0.25">
      <c r="O3182" s="42"/>
      <c r="R3182" s="42"/>
      <c r="AC3182" s="42"/>
    </row>
    <row r="3183" spans="15:29" x14ac:dyDescent="0.25">
      <c r="O3183" s="42"/>
      <c r="R3183" s="42"/>
      <c r="AC3183" s="42"/>
    </row>
    <row r="3184" spans="15:29" x14ac:dyDescent="0.25">
      <c r="O3184" s="42"/>
      <c r="R3184" s="42"/>
      <c r="AC3184" s="42"/>
    </row>
    <row r="3185" spans="15:29" x14ac:dyDescent="0.25">
      <c r="O3185" s="42"/>
      <c r="R3185" s="42"/>
      <c r="AC3185" s="42"/>
    </row>
    <row r="3186" spans="15:29" x14ac:dyDescent="0.25">
      <c r="O3186" s="42"/>
      <c r="R3186" s="42"/>
      <c r="AC3186" s="42"/>
    </row>
    <row r="3187" spans="15:29" x14ac:dyDescent="0.25">
      <c r="O3187" s="42"/>
      <c r="R3187" s="42"/>
      <c r="AC3187" s="42"/>
    </row>
    <row r="3188" spans="15:29" x14ac:dyDescent="0.25">
      <c r="O3188" s="42"/>
      <c r="R3188" s="42"/>
      <c r="AC3188" s="42"/>
    </row>
    <row r="3189" spans="15:29" x14ac:dyDescent="0.25">
      <c r="O3189" s="42"/>
      <c r="R3189" s="42"/>
      <c r="AC3189" s="42"/>
    </row>
    <row r="3190" spans="15:29" x14ac:dyDescent="0.25">
      <c r="O3190" s="42"/>
      <c r="R3190" s="42"/>
      <c r="AC3190" s="42"/>
    </row>
    <row r="3191" spans="15:29" x14ac:dyDescent="0.25">
      <c r="O3191" s="42"/>
      <c r="R3191" s="42"/>
      <c r="AC3191" s="42"/>
    </row>
    <row r="3192" spans="15:29" x14ac:dyDescent="0.25">
      <c r="O3192" s="42"/>
      <c r="R3192" s="42"/>
      <c r="AC3192" s="42"/>
    </row>
    <row r="3193" spans="15:29" x14ac:dyDescent="0.25">
      <c r="O3193" s="42"/>
      <c r="R3193" s="42"/>
      <c r="AC3193" s="42"/>
    </row>
    <row r="3194" spans="15:29" x14ac:dyDescent="0.25">
      <c r="O3194" s="42"/>
      <c r="R3194" s="42"/>
      <c r="AC3194" s="42"/>
    </row>
    <row r="3195" spans="15:29" x14ac:dyDescent="0.25">
      <c r="O3195" s="42"/>
      <c r="R3195" s="42"/>
      <c r="AC3195" s="42"/>
    </row>
    <row r="3196" spans="15:29" x14ac:dyDescent="0.25">
      <c r="O3196" s="42"/>
      <c r="R3196" s="42"/>
      <c r="AC3196" s="42"/>
    </row>
    <row r="3197" spans="15:29" x14ac:dyDescent="0.25">
      <c r="O3197" s="42"/>
      <c r="R3197" s="42"/>
      <c r="AC3197" s="42"/>
    </row>
    <row r="3198" spans="15:29" x14ac:dyDescent="0.25">
      <c r="O3198" s="42"/>
      <c r="R3198" s="42"/>
      <c r="AC3198" s="42"/>
    </row>
    <row r="3199" spans="15:29" x14ac:dyDescent="0.25">
      <c r="O3199" s="42"/>
      <c r="R3199" s="42"/>
      <c r="AC3199" s="42"/>
    </row>
    <row r="3200" spans="15:29" x14ac:dyDescent="0.25">
      <c r="O3200" s="42"/>
      <c r="R3200" s="42"/>
      <c r="AC3200" s="42"/>
    </row>
    <row r="3201" spans="15:29" x14ac:dyDescent="0.25">
      <c r="O3201" s="42"/>
      <c r="R3201" s="42"/>
      <c r="AC3201" s="42"/>
    </row>
    <row r="3202" spans="15:29" x14ac:dyDescent="0.25">
      <c r="O3202" s="42"/>
      <c r="R3202" s="42"/>
      <c r="AC3202" s="42"/>
    </row>
    <row r="3203" spans="15:29" x14ac:dyDescent="0.25">
      <c r="O3203" s="42"/>
      <c r="R3203" s="42"/>
      <c r="AC3203" s="42"/>
    </row>
    <row r="3204" spans="15:29" x14ac:dyDescent="0.25">
      <c r="O3204" s="42"/>
      <c r="R3204" s="42"/>
      <c r="AC3204" s="42"/>
    </row>
    <row r="3205" spans="15:29" x14ac:dyDescent="0.25">
      <c r="O3205" s="42"/>
      <c r="R3205" s="42"/>
      <c r="AC3205" s="42"/>
    </row>
    <row r="3206" spans="15:29" x14ac:dyDescent="0.25">
      <c r="O3206" s="42"/>
      <c r="R3206" s="42"/>
      <c r="AC3206" s="42"/>
    </row>
    <row r="3207" spans="15:29" x14ac:dyDescent="0.25">
      <c r="O3207" s="42"/>
      <c r="R3207" s="42"/>
      <c r="AC3207" s="42"/>
    </row>
    <row r="3208" spans="15:29" x14ac:dyDescent="0.25">
      <c r="O3208" s="42"/>
      <c r="R3208" s="42"/>
      <c r="AC3208" s="42"/>
    </row>
    <row r="3209" spans="15:29" x14ac:dyDescent="0.25">
      <c r="O3209" s="42"/>
      <c r="R3209" s="42"/>
      <c r="AC3209" s="42"/>
    </row>
    <row r="3210" spans="15:29" x14ac:dyDescent="0.25">
      <c r="O3210" s="42"/>
      <c r="R3210" s="42"/>
      <c r="AC3210" s="42"/>
    </row>
    <row r="3211" spans="15:29" x14ac:dyDescent="0.25">
      <c r="O3211" s="42"/>
      <c r="R3211" s="42"/>
      <c r="AC3211" s="42"/>
    </row>
    <row r="3212" spans="15:29" x14ac:dyDescent="0.25">
      <c r="O3212" s="42"/>
      <c r="R3212" s="42"/>
      <c r="AC3212" s="42"/>
    </row>
    <row r="3213" spans="15:29" x14ac:dyDescent="0.25">
      <c r="O3213" s="42"/>
      <c r="R3213" s="42"/>
      <c r="AC3213" s="42"/>
    </row>
    <row r="3214" spans="15:29" x14ac:dyDescent="0.25">
      <c r="O3214" s="42"/>
      <c r="R3214" s="42"/>
      <c r="AC3214" s="42"/>
    </row>
    <row r="3215" spans="15:29" x14ac:dyDescent="0.25">
      <c r="O3215" s="42"/>
      <c r="R3215" s="42"/>
      <c r="AC3215" s="42"/>
    </row>
    <row r="3216" spans="15:29" x14ac:dyDescent="0.25">
      <c r="O3216" s="42"/>
      <c r="R3216" s="42"/>
      <c r="AC3216" s="42"/>
    </row>
    <row r="3217" spans="15:29" x14ac:dyDescent="0.25">
      <c r="O3217" s="42"/>
      <c r="R3217" s="42"/>
      <c r="AC3217" s="42"/>
    </row>
    <row r="3218" spans="15:29" x14ac:dyDescent="0.25">
      <c r="O3218" s="42"/>
      <c r="R3218" s="42"/>
      <c r="AC3218" s="42"/>
    </row>
    <row r="3219" spans="15:29" x14ac:dyDescent="0.25">
      <c r="O3219" s="42"/>
      <c r="R3219" s="42"/>
      <c r="AC3219" s="42"/>
    </row>
    <row r="3220" spans="15:29" x14ac:dyDescent="0.25">
      <c r="O3220" s="42"/>
      <c r="R3220" s="42"/>
      <c r="AC3220" s="42"/>
    </row>
    <row r="3221" spans="15:29" x14ac:dyDescent="0.25">
      <c r="O3221" s="42"/>
      <c r="R3221" s="42"/>
      <c r="AC3221" s="42"/>
    </row>
    <row r="3222" spans="15:29" x14ac:dyDescent="0.25">
      <c r="O3222" s="42"/>
      <c r="R3222" s="42"/>
      <c r="AC3222" s="42"/>
    </row>
    <row r="3223" spans="15:29" x14ac:dyDescent="0.25">
      <c r="O3223" s="42"/>
      <c r="R3223" s="42"/>
      <c r="AC3223" s="42"/>
    </row>
    <row r="3224" spans="15:29" x14ac:dyDescent="0.25">
      <c r="O3224" s="42"/>
      <c r="R3224" s="42"/>
      <c r="AC3224" s="42"/>
    </row>
    <row r="3225" spans="15:29" x14ac:dyDescent="0.25">
      <c r="O3225" s="42"/>
      <c r="R3225" s="42"/>
      <c r="AC3225" s="42"/>
    </row>
    <row r="3226" spans="15:29" x14ac:dyDescent="0.25">
      <c r="O3226" s="42"/>
      <c r="R3226" s="42"/>
      <c r="AC3226" s="42"/>
    </row>
    <row r="3227" spans="15:29" x14ac:dyDescent="0.25">
      <c r="O3227" s="42"/>
      <c r="R3227" s="42"/>
      <c r="AC3227" s="42"/>
    </row>
    <row r="3228" spans="15:29" x14ac:dyDescent="0.25">
      <c r="O3228" s="42"/>
      <c r="R3228" s="42"/>
      <c r="AC3228" s="42"/>
    </row>
    <row r="3229" spans="15:29" x14ac:dyDescent="0.25">
      <c r="O3229" s="42"/>
      <c r="R3229" s="42"/>
      <c r="AC3229" s="42"/>
    </row>
    <row r="3230" spans="15:29" x14ac:dyDescent="0.25">
      <c r="O3230" s="42"/>
      <c r="R3230" s="42"/>
      <c r="AC3230" s="42"/>
    </row>
    <row r="3231" spans="15:29" x14ac:dyDescent="0.25">
      <c r="O3231" s="42"/>
      <c r="R3231" s="42"/>
      <c r="AC3231" s="42"/>
    </row>
    <row r="3232" spans="15:29" x14ac:dyDescent="0.25">
      <c r="O3232" s="42"/>
      <c r="R3232" s="42"/>
      <c r="AC3232" s="42"/>
    </row>
    <row r="3233" spans="15:29" x14ac:dyDescent="0.25">
      <c r="O3233" s="42"/>
      <c r="R3233" s="42"/>
      <c r="AC3233" s="42"/>
    </row>
    <row r="3234" spans="15:29" x14ac:dyDescent="0.25">
      <c r="O3234" s="42"/>
      <c r="R3234" s="42"/>
      <c r="AC3234" s="42"/>
    </row>
    <row r="3235" spans="15:29" x14ac:dyDescent="0.25">
      <c r="O3235" s="42"/>
      <c r="R3235" s="42"/>
      <c r="AC3235" s="42"/>
    </row>
    <row r="3236" spans="15:29" x14ac:dyDescent="0.25">
      <c r="O3236" s="42"/>
      <c r="R3236" s="42"/>
      <c r="AC3236" s="42"/>
    </row>
    <row r="3237" spans="15:29" x14ac:dyDescent="0.25">
      <c r="O3237" s="42"/>
      <c r="R3237" s="42"/>
      <c r="AC3237" s="42"/>
    </row>
    <row r="3238" spans="15:29" x14ac:dyDescent="0.25">
      <c r="O3238" s="42"/>
      <c r="R3238" s="42"/>
      <c r="AC3238" s="42"/>
    </row>
    <row r="3239" spans="15:29" x14ac:dyDescent="0.25">
      <c r="O3239" s="42"/>
      <c r="R3239" s="42"/>
      <c r="AC3239" s="42"/>
    </row>
    <row r="3240" spans="15:29" x14ac:dyDescent="0.25">
      <c r="O3240" s="42"/>
      <c r="R3240" s="42"/>
      <c r="AC3240" s="42"/>
    </row>
    <row r="3241" spans="15:29" x14ac:dyDescent="0.25">
      <c r="O3241" s="42"/>
      <c r="R3241" s="42"/>
      <c r="AC3241" s="42"/>
    </row>
    <row r="3242" spans="15:29" x14ac:dyDescent="0.25">
      <c r="O3242" s="42"/>
      <c r="R3242" s="42"/>
      <c r="AC3242" s="42"/>
    </row>
    <row r="3243" spans="15:29" x14ac:dyDescent="0.25">
      <c r="O3243" s="42"/>
      <c r="R3243" s="42"/>
      <c r="AC3243" s="42"/>
    </row>
    <row r="3244" spans="15:29" x14ac:dyDescent="0.25">
      <c r="O3244" s="42"/>
      <c r="R3244" s="42"/>
      <c r="AC3244" s="42"/>
    </row>
    <row r="3245" spans="15:29" x14ac:dyDescent="0.25">
      <c r="O3245" s="42"/>
      <c r="R3245" s="42"/>
      <c r="AC3245" s="42"/>
    </row>
    <row r="3246" spans="15:29" x14ac:dyDescent="0.25">
      <c r="O3246" s="42"/>
      <c r="R3246" s="42"/>
      <c r="AC3246" s="42"/>
    </row>
    <row r="3247" spans="15:29" x14ac:dyDescent="0.25">
      <c r="O3247" s="42"/>
      <c r="R3247" s="42"/>
      <c r="AC3247" s="42"/>
    </row>
    <row r="3248" spans="15:29" x14ac:dyDescent="0.25">
      <c r="O3248" s="42"/>
      <c r="R3248" s="42"/>
      <c r="AC3248" s="42"/>
    </row>
    <row r="3249" spans="15:29" x14ac:dyDescent="0.25">
      <c r="O3249" s="42"/>
      <c r="R3249" s="42"/>
      <c r="AC3249" s="42"/>
    </row>
    <row r="3250" spans="15:29" x14ac:dyDescent="0.25">
      <c r="O3250" s="42"/>
      <c r="R3250" s="42"/>
      <c r="AC3250" s="42"/>
    </row>
    <row r="3251" spans="15:29" x14ac:dyDescent="0.25">
      <c r="O3251" s="42"/>
      <c r="R3251" s="42"/>
      <c r="AC3251" s="42"/>
    </row>
    <row r="3252" spans="15:29" x14ac:dyDescent="0.25">
      <c r="O3252" s="42"/>
      <c r="R3252" s="42"/>
      <c r="AC3252" s="42"/>
    </row>
    <row r="3253" spans="15:29" x14ac:dyDescent="0.25">
      <c r="O3253" s="42"/>
      <c r="R3253" s="42"/>
      <c r="AC3253" s="42"/>
    </row>
    <row r="3254" spans="15:29" x14ac:dyDescent="0.25">
      <c r="O3254" s="42"/>
      <c r="R3254" s="42"/>
      <c r="AC3254" s="42"/>
    </row>
    <row r="3255" spans="15:29" x14ac:dyDescent="0.25">
      <c r="O3255" s="42"/>
      <c r="R3255" s="42"/>
      <c r="AC3255" s="42"/>
    </row>
    <row r="3256" spans="15:29" x14ac:dyDescent="0.25">
      <c r="O3256" s="42"/>
      <c r="R3256" s="42"/>
      <c r="AC3256" s="42"/>
    </row>
    <row r="3257" spans="15:29" x14ac:dyDescent="0.25">
      <c r="O3257" s="42"/>
      <c r="R3257" s="42"/>
      <c r="AC3257" s="42"/>
    </row>
    <row r="3258" spans="15:29" x14ac:dyDescent="0.25">
      <c r="O3258" s="42"/>
      <c r="R3258" s="42"/>
      <c r="AC3258" s="42"/>
    </row>
    <row r="3259" spans="15:29" x14ac:dyDescent="0.25">
      <c r="O3259" s="42"/>
      <c r="R3259" s="42"/>
      <c r="AC3259" s="42"/>
    </row>
    <row r="3260" spans="15:29" x14ac:dyDescent="0.25">
      <c r="O3260" s="42"/>
      <c r="R3260" s="42"/>
      <c r="AC3260" s="42"/>
    </row>
    <row r="3261" spans="15:29" x14ac:dyDescent="0.25">
      <c r="O3261" s="42"/>
      <c r="R3261" s="42"/>
      <c r="AC3261" s="42"/>
    </row>
    <row r="3262" spans="15:29" x14ac:dyDescent="0.25">
      <c r="O3262" s="42"/>
      <c r="R3262" s="42"/>
      <c r="AC3262" s="42"/>
    </row>
    <row r="3263" spans="15:29" x14ac:dyDescent="0.25">
      <c r="O3263" s="42"/>
      <c r="R3263" s="42"/>
      <c r="AC3263" s="42"/>
    </row>
    <row r="3264" spans="15:29" x14ac:dyDescent="0.25">
      <c r="O3264" s="42"/>
      <c r="R3264" s="42"/>
      <c r="AC3264" s="42"/>
    </row>
    <row r="3265" spans="15:29" x14ac:dyDescent="0.25">
      <c r="O3265" s="42"/>
      <c r="R3265" s="42"/>
      <c r="AC3265" s="42"/>
    </row>
    <row r="3266" spans="15:29" x14ac:dyDescent="0.25">
      <c r="O3266" s="42"/>
      <c r="R3266" s="42"/>
      <c r="AC3266" s="42"/>
    </row>
    <row r="3267" spans="15:29" x14ac:dyDescent="0.25">
      <c r="O3267" s="42"/>
      <c r="R3267" s="42"/>
      <c r="AC3267" s="42"/>
    </row>
    <row r="3268" spans="15:29" x14ac:dyDescent="0.25">
      <c r="O3268" s="42"/>
      <c r="R3268" s="42"/>
      <c r="AC3268" s="42"/>
    </row>
    <row r="3269" spans="15:29" x14ac:dyDescent="0.25">
      <c r="O3269" s="42"/>
      <c r="R3269" s="42"/>
      <c r="AC3269" s="42"/>
    </row>
    <row r="3270" spans="15:29" x14ac:dyDescent="0.25">
      <c r="O3270" s="42"/>
      <c r="R3270" s="42"/>
      <c r="AC3270" s="42"/>
    </row>
    <row r="3271" spans="15:29" x14ac:dyDescent="0.25">
      <c r="O3271" s="42"/>
      <c r="R3271" s="42"/>
      <c r="AC3271" s="42"/>
    </row>
    <row r="3272" spans="15:29" x14ac:dyDescent="0.25">
      <c r="O3272" s="42"/>
      <c r="R3272" s="42"/>
      <c r="AC3272" s="42"/>
    </row>
    <row r="3273" spans="15:29" x14ac:dyDescent="0.25">
      <c r="O3273" s="42"/>
      <c r="R3273" s="42"/>
      <c r="AC3273" s="42"/>
    </row>
    <row r="3274" spans="15:29" x14ac:dyDescent="0.25">
      <c r="O3274" s="42"/>
      <c r="R3274" s="42"/>
      <c r="AC3274" s="42"/>
    </row>
    <row r="3275" spans="15:29" x14ac:dyDescent="0.25">
      <c r="O3275" s="42"/>
      <c r="R3275" s="42"/>
      <c r="AC3275" s="42"/>
    </row>
    <row r="3276" spans="15:29" x14ac:dyDescent="0.25">
      <c r="O3276" s="42"/>
      <c r="R3276" s="42"/>
      <c r="AC3276" s="42"/>
    </row>
    <row r="3277" spans="15:29" x14ac:dyDescent="0.25">
      <c r="O3277" s="42"/>
      <c r="R3277" s="42"/>
      <c r="AC3277" s="42"/>
    </row>
    <row r="3278" spans="15:29" x14ac:dyDescent="0.25">
      <c r="O3278" s="42"/>
      <c r="R3278" s="42"/>
      <c r="AC3278" s="42"/>
    </row>
    <row r="3279" spans="15:29" x14ac:dyDescent="0.25">
      <c r="O3279" s="42"/>
      <c r="R3279" s="42"/>
      <c r="AC3279" s="42"/>
    </row>
    <row r="3280" spans="15:29" x14ac:dyDescent="0.25">
      <c r="O3280" s="42"/>
      <c r="R3280" s="42"/>
      <c r="AC3280" s="42"/>
    </row>
    <row r="3281" spans="15:29" x14ac:dyDescent="0.25">
      <c r="O3281" s="42"/>
      <c r="R3281" s="42"/>
      <c r="AC3281" s="42"/>
    </row>
    <row r="3282" spans="15:29" x14ac:dyDescent="0.25">
      <c r="O3282" s="42"/>
      <c r="R3282" s="42"/>
      <c r="AC3282" s="42"/>
    </row>
    <row r="3283" spans="15:29" x14ac:dyDescent="0.25">
      <c r="O3283" s="42"/>
      <c r="R3283" s="42"/>
      <c r="AC3283" s="42"/>
    </row>
    <row r="3284" spans="15:29" x14ac:dyDescent="0.25">
      <c r="O3284" s="42"/>
      <c r="R3284" s="42"/>
      <c r="AC3284" s="42"/>
    </row>
    <row r="3285" spans="15:29" x14ac:dyDescent="0.25">
      <c r="O3285" s="42"/>
      <c r="R3285" s="42"/>
      <c r="AC3285" s="42"/>
    </row>
    <row r="3286" spans="15:29" x14ac:dyDescent="0.25">
      <c r="O3286" s="42"/>
      <c r="R3286" s="42"/>
      <c r="AC3286" s="42"/>
    </row>
    <row r="3287" spans="15:29" x14ac:dyDescent="0.25">
      <c r="O3287" s="42"/>
      <c r="R3287" s="42"/>
      <c r="AC3287" s="42"/>
    </row>
    <row r="3288" spans="15:29" x14ac:dyDescent="0.25">
      <c r="O3288" s="42"/>
      <c r="R3288" s="42"/>
      <c r="AC3288" s="42"/>
    </row>
    <row r="3289" spans="15:29" x14ac:dyDescent="0.25">
      <c r="O3289" s="42"/>
      <c r="R3289" s="42"/>
      <c r="AC3289" s="42"/>
    </row>
    <row r="3290" spans="15:29" x14ac:dyDescent="0.25">
      <c r="O3290" s="42"/>
      <c r="R3290" s="42"/>
      <c r="AC3290" s="42"/>
    </row>
    <row r="3291" spans="15:29" x14ac:dyDescent="0.25">
      <c r="O3291" s="42"/>
      <c r="R3291" s="42"/>
      <c r="AC3291" s="42"/>
    </row>
    <row r="3292" spans="15:29" x14ac:dyDescent="0.25">
      <c r="O3292" s="42"/>
      <c r="R3292" s="42"/>
      <c r="AC3292" s="42"/>
    </row>
    <row r="3293" spans="15:29" x14ac:dyDescent="0.25">
      <c r="O3293" s="42"/>
      <c r="R3293" s="42"/>
      <c r="AC3293" s="42"/>
    </row>
    <row r="3294" spans="15:29" x14ac:dyDescent="0.25">
      <c r="O3294" s="42"/>
      <c r="R3294" s="42"/>
      <c r="AC3294" s="42"/>
    </row>
    <row r="3295" spans="15:29" x14ac:dyDescent="0.25">
      <c r="O3295" s="42"/>
      <c r="R3295" s="42"/>
      <c r="AC3295" s="42"/>
    </row>
    <row r="3296" spans="15:29" x14ac:dyDescent="0.25">
      <c r="O3296" s="42"/>
      <c r="R3296" s="42"/>
      <c r="AC3296" s="42"/>
    </row>
    <row r="3297" spans="15:29" x14ac:dyDescent="0.25">
      <c r="O3297" s="42"/>
      <c r="R3297" s="42"/>
      <c r="AC3297" s="42"/>
    </row>
    <row r="3298" spans="15:29" x14ac:dyDescent="0.25">
      <c r="O3298" s="42"/>
      <c r="R3298" s="42"/>
      <c r="AC3298" s="42"/>
    </row>
    <row r="3299" spans="15:29" x14ac:dyDescent="0.25">
      <c r="O3299" s="42"/>
      <c r="R3299" s="42"/>
      <c r="AC3299" s="42"/>
    </row>
    <row r="3300" spans="15:29" x14ac:dyDescent="0.25">
      <c r="O3300" s="42"/>
      <c r="R3300" s="42"/>
      <c r="AC3300" s="42"/>
    </row>
    <row r="3301" spans="15:29" x14ac:dyDescent="0.25">
      <c r="O3301" s="42"/>
      <c r="R3301" s="42"/>
      <c r="AC3301" s="42"/>
    </row>
    <row r="3302" spans="15:29" x14ac:dyDescent="0.25">
      <c r="O3302" s="42"/>
      <c r="R3302" s="42"/>
      <c r="AC3302" s="42"/>
    </row>
    <row r="3303" spans="15:29" x14ac:dyDescent="0.25">
      <c r="O3303" s="42"/>
      <c r="R3303" s="42"/>
      <c r="AC3303" s="42"/>
    </row>
    <row r="3304" spans="15:29" x14ac:dyDescent="0.25">
      <c r="O3304" s="42"/>
      <c r="R3304" s="42"/>
      <c r="AC3304" s="42"/>
    </row>
    <row r="3305" spans="15:29" x14ac:dyDescent="0.25">
      <c r="O3305" s="42"/>
      <c r="R3305" s="42"/>
      <c r="AC3305" s="42"/>
    </row>
    <row r="3306" spans="15:29" x14ac:dyDescent="0.25">
      <c r="O3306" s="42"/>
      <c r="R3306" s="42"/>
      <c r="AC3306" s="42"/>
    </row>
    <row r="3307" spans="15:29" x14ac:dyDescent="0.25">
      <c r="O3307" s="42"/>
      <c r="R3307" s="42"/>
      <c r="AC3307" s="42"/>
    </row>
    <row r="3308" spans="15:29" x14ac:dyDescent="0.25">
      <c r="O3308" s="42"/>
      <c r="R3308" s="42"/>
      <c r="AC3308" s="42"/>
    </row>
    <row r="3309" spans="15:29" x14ac:dyDescent="0.25">
      <c r="O3309" s="42"/>
      <c r="R3309" s="42"/>
      <c r="AC3309" s="42"/>
    </row>
    <row r="3310" spans="15:29" x14ac:dyDescent="0.25">
      <c r="O3310" s="42"/>
      <c r="R3310" s="42"/>
      <c r="AC3310" s="42"/>
    </row>
    <row r="3311" spans="15:29" x14ac:dyDescent="0.25">
      <c r="O3311" s="42"/>
      <c r="R3311" s="42"/>
      <c r="AC3311" s="42"/>
    </row>
    <row r="3312" spans="15:29" x14ac:dyDescent="0.25">
      <c r="O3312" s="42"/>
      <c r="R3312" s="42"/>
      <c r="AC3312" s="42"/>
    </row>
    <row r="3313" spans="15:29" x14ac:dyDescent="0.25">
      <c r="O3313" s="42"/>
      <c r="R3313" s="42"/>
      <c r="AC3313" s="42"/>
    </row>
    <row r="3314" spans="15:29" x14ac:dyDescent="0.25">
      <c r="O3314" s="42"/>
      <c r="R3314" s="42"/>
      <c r="AC3314" s="42"/>
    </row>
    <row r="3315" spans="15:29" x14ac:dyDescent="0.25">
      <c r="O3315" s="42"/>
      <c r="R3315" s="42"/>
      <c r="AC3315" s="42"/>
    </row>
    <row r="3316" spans="15:29" x14ac:dyDescent="0.25">
      <c r="O3316" s="42"/>
      <c r="R3316" s="42"/>
      <c r="AC3316" s="42"/>
    </row>
    <row r="3317" spans="15:29" x14ac:dyDescent="0.25">
      <c r="O3317" s="42"/>
      <c r="R3317" s="42"/>
      <c r="AC3317" s="42"/>
    </row>
    <row r="3318" spans="15:29" x14ac:dyDescent="0.25">
      <c r="O3318" s="42"/>
      <c r="R3318" s="42"/>
      <c r="AC3318" s="42"/>
    </row>
    <row r="3319" spans="15:29" x14ac:dyDescent="0.25">
      <c r="O3319" s="42"/>
      <c r="R3319" s="42"/>
      <c r="AC3319" s="42"/>
    </row>
    <row r="3320" spans="15:29" x14ac:dyDescent="0.25">
      <c r="O3320" s="42"/>
      <c r="R3320" s="42"/>
      <c r="AC3320" s="42"/>
    </row>
    <row r="3321" spans="15:29" x14ac:dyDescent="0.25">
      <c r="O3321" s="42"/>
      <c r="R3321" s="42"/>
      <c r="AC3321" s="42"/>
    </row>
    <row r="3322" spans="15:29" x14ac:dyDescent="0.25">
      <c r="O3322" s="42"/>
      <c r="R3322" s="42"/>
      <c r="AC3322" s="42"/>
    </row>
    <row r="3323" spans="15:29" x14ac:dyDescent="0.25">
      <c r="O3323" s="42"/>
      <c r="R3323" s="42"/>
      <c r="AC3323" s="42"/>
    </row>
    <row r="3324" spans="15:29" x14ac:dyDescent="0.25">
      <c r="O3324" s="42"/>
      <c r="R3324" s="42"/>
      <c r="AC3324" s="42"/>
    </row>
    <row r="3325" spans="15:29" x14ac:dyDescent="0.25">
      <c r="O3325" s="42"/>
      <c r="R3325" s="42"/>
      <c r="AC3325" s="42"/>
    </row>
    <row r="3326" spans="15:29" x14ac:dyDescent="0.25">
      <c r="O3326" s="42"/>
      <c r="R3326" s="42"/>
      <c r="AC3326" s="42"/>
    </row>
    <row r="3327" spans="15:29" x14ac:dyDescent="0.25">
      <c r="O3327" s="42"/>
      <c r="R3327" s="42"/>
      <c r="AC3327" s="42"/>
    </row>
    <row r="3328" spans="15:29" x14ac:dyDescent="0.25">
      <c r="O3328" s="42"/>
      <c r="R3328" s="42"/>
      <c r="AC3328" s="42"/>
    </row>
    <row r="3329" spans="15:29" x14ac:dyDescent="0.25">
      <c r="O3329" s="42"/>
      <c r="R3329" s="42"/>
      <c r="AC3329" s="42"/>
    </row>
    <row r="3330" spans="15:29" x14ac:dyDescent="0.25">
      <c r="O3330" s="42"/>
      <c r="R3330" s="42"/>
      <c r="AC3330" s="42"/>
    </row>
    <row r="3331" spans="15:29" x14ac:dyDescent="0.25">
      <c r="O3331" s="42"/>
      <c r="R3331" s="42"/>
      <c r="AC3331" s="42"/>
    </row>
    <row r="3332" spans="15:29" x14ac:dyDescent="0.25">
      <c r="O3332" s="42"/>
      <c r="R3332" s="42"/>
      <c r="AC3332" s="42"/>
    </row>
    <row r="3333" spans="15:29" x14ac:dyDescent="0.25">
      <c r="O3333" s="42"/>
      <c r="R3333" s="42"/>
      <c r="AC3333" s="42"/>
    </row>
    <row r="3334" spans="15:29" x14ac:dyDescent="0.25">
      <c r="O3334" s="42"/>
      <c r="R3334" s="42"/>
      <c r="AC3334" s="42"/>
    </row>
    <row r="3335" spans="15:29" x14ac:dyDescent="0.25">
      <c r="O3335" s="42"/>
      <c r="R3335" s="42"/>
      <c r="AC3335" s="42"/>
    </row>
    <row r="3336" spans="15:29" x14ac:dyDescent="0.25">
      <c r="O3336" s="42"/>
      <c r="R3336" s="42"/>
      <c r="AC3336" s="42"/>
    </row>
    <row r="3337" spans="15:29" x14ac:dyDescent="0.25">
      <c r="O3337" s="42"/>
      <c r="R3337" s="42"/>
      <c r="AC3337" s="42"/>
    </row>
    <row r="3338" spans="15:29" x14ac:dyDescent="0.25">
      <c r="O3338" s="42"/>
      <c r="R3338" s="42"/>
      <c r="AC3338" s="42"/>
    </row>
    <row r="3339" spans="15:29" x14ac:dyDescent="0.25">
      <c r="O3339" s="42"/>
      <c r="R3339" s="42"/>
      <c r="AC3339" s="42"/>
    </row>
    <row r="3340" spans="15:29" x14ac:dyDescent="0.25">
      <c r="O3340" s="42"/>
      <c r="R3340" s="42"/>
      <c r="AC3340" s="42"/>
    </row>
    <row r="3341" spans="15:29" x14ac:dyDescent="0.25">
      <c r="O3341" s="42"/>
      <c r="R3341" s="42"/>
      <c r="AC3341" s="42"/>
    </row>
    <row r="3342" spans="15:29" x14ac:dyDescent="0.25">
      <c r="O3342" s="42"/>
      <c r="R3342" s="42"/>
      <c r="AC3342" s="42"/>
    </row>
    <row r="3343" spans="15:29" x14ac:dyDescent="0.25">
      <c r="O3343" s="42"/>
      <c r="R3343" s="42"/>
      <c r="AC3343" s="42"/>
    </row>
    <row r="3344" spans="15:29" x14ac:dyDescent="0.25">
      <c r="O3344" s="42"/>
      <c r="R3344" s="42"/>
      <c r="AC3344" s="42"/>
    </row>
    <row r="3345" spans="15:29" x14ac:dyDescent="0.25">
      <c r="O3345" s="42"/>
      <c r="R3345" s="42"/>
      <c r="AC3345" s="42"/>
    </row>
    <row r="3346" spans="15:29" x14ac:dyDescent="0.25">
      <c r="O3346" s="42"/>
      <c r="R3346" s="42"/>
      <c r="AC3346" s="42"/>
    </row>
    <row r="3347" spans="15:29" x14ac:dyDescent="0.25">
      <c r="O3347" s="42"/>
      <c r="R3347" s="42"/>
      <c r="AC3347" s="42"/>
    </row>
    <row r="3348" spans="15:29" x14ac:dyDescent="0.25">
      <c r="O3348" s="42"/>
      <c r="R3348" s="42"/>
      <c r="AC3348" s="42"/>
    </row>
    <row r="3349" spans="15:29" x14ac:dyDescent="0.25">
      <c r="O3349" s="42"/>
      <c r="R3349" s="42"/>
      <c r="AC3349" s="42"/>
    </row>
    <row r="3350" spans="15:29" x14ac:dyDescent="0.25">
      <c r="O3350" s="42"/>
      <c r="R3350" s="42"/>
      <c r="AC3350" s="42"/>
    </row>
    <row r="3351" spans="15:29" x14ac:dyDescent="0.25">
      <c r="O3351" s="42"/>
      <c r="R3351" s="42"/>
      <c r="AC3351" s="42"/>
    </row>
    <row r="3352" spans="15:29" x14ac:dyDescent="0.25">
      <c r="O3352" s="42"/>
      <c r="R3352" s="42"/>
      <c r="AC3352" s="42"/>
    </row>
    <row r="3353" spans="15:29" x14ac:dyDescent="0.25">
      <c r="O3353" s="42"/>
      <c r="R3353" s="42"/>
      <c r="AC3353" s="42"/>
    </row>
    <row r="3354" spans="15:29" x14ac:dyDescent="0.25">
      <c r="O3354" s="42"/>
      <c r="R3354" s="42"/>
      <c r="AC3354" s="42"/>
    </row>
    <row r="3355" spans="15:29" x14ac:dyDescent="0.25">
      <c r="O3355" s="42"/>
      <c r="R3355" s="42"/>
      <c r="AC3355" s="42"/>
    </row>
    <row r="3356" spans="15:29" x14ac:dyDescent="0.25">
      <c r="O3356" s="42"/>
      <c r="R3356" s="42"/>
      <c r="AC3356" s="42"/>
    </row>
    <row r="3357" spans="15:29" x14ac:dyDescent="0.25">
      <c r="O3357" s="42"/>
      <c r="R3357" s="42"/>
      <c r="AC3357" s="42"/>
    </row>
    <row r="3358" spans="15:29" x14ac:dyDescent="0.25">
      <c r="O3358" s="42"/>
      <c r="R3358" s="42"/>
      <c r="AC3358" s="42"/>
    </row>
    <row r="3359" spans="15:29" x14ac:dyDescent="0.25">
      <c r="O3359" s="42"/>
      <c r="R3359" s="42"/>
      <c r="AC3359" s="42"/>
    </row>
    <row r="3360" spans="15:29" x14ac:dyDescent="0.25">
      <c r="O3360" s="42"/>
      <c r="R3360" s="42"/>
      <c r="AC3360" s="42"/>
    </row>
    <row r="3361" spans="15:29" x14ac:dyDescent="0.25">
      <c r="O3361" s="42"/>
      <c r="R3361" s="42"/>
      <c r="AC3361" s="42"/>
    </row>
    <row r="3362" spans="15:29" x14ac:dyDescent="0.25">
      <c r="O3362" s="42"/>
      <c r="R3362" s="42"/>
      <c r="AC3362" s="42"/>
    </row>
    <row r="3363" spans="15:29" x14ac:dyDescent="0.25">
      <c r="O3363" s="42"/>
      <c r="R3363" s="42"/>
      <c r="AC3363" s="42"/>
    </row>
    <row r="3364" spans="15:29" x14ac:dyDescent="0.25">
      <c r="O3364" s="42"/>
      <c r="R3364" s="42"/>
      <c r="AC3364" s="42"/>
    </row>
    <row r="3365" spans="15:29" x14ac:dyDescent="0.25">
      <c r="O3365" s="42"/>
      <c r="R3365" s="42"/>
      <c r="AC3365" s="42"/>
    </row>
    <row r="3366" spans="15:29" x14ac:dyDescent="0.25">
      <c r="O3366" s="42"/>
      <c r="R3366" s="42"/>
      <c r="AC3366" s="42"/>
    </row>
    <row r="3367" spans="15:29" x14ac:dyDescent="0.25">
      <c r="O3367" s="42"/>
      <c r="R3367" s="42"/>
      <c r="AC3367" s="42"/>
    </row>
    <row r="3368" spans="15:29" x14ac:dyDescent="0.25">
      <c r="O3368" s="42"/>
      <c r="R3368" s="42"/>
      <c r="AC3368" s="42"/>
    </row>
    <row r="3369" spans="15:29" x14ac:dyDescent="0.25">
      <c r="O3369" s="42"/>
      <c r="R3369" s="42"/>
      <c r="AC3369" s="42"/>
    </row>
    <row r="3370" spans="15:29" x14ac:dyDescent="0.25">
      <c r="O3370" s="42"/>
      <c r="R3370" s="42"/>
      <c r="AC3370" s="42"/>
    </row>
    <row r="3371" spans="15:29" x14ac:dyDescent="0.25">
      <c r="O3371" s="42"/>
      <c r="R3371" s="42"/>
      <c r="AC3371" s="42"/>
    </row>
    <row r="3372" spans="15:29" x14ac:dyDescent="0.25">
      <c r="O3372" s="42"/>
      <c r="R3372" s="42"/>
      <c r="AC3372" s="42"/>
    </row>
    <row r="3373" spans="15:29" x14ac:dyDescent="0.25">
      <c r="O3373" s="42"/>
      <c r="R3373" s="42"/>
      <c r="AC3373" s="42"/>
    </row>
    <row r="3374" spans="15:29" x14ac:dyDescent="0.25">
      <c r="O3374" s="42"/>
      <c r="R3374" s="42"/>
      <c r="AC3374" s="42"/>
    </row>
    <row r="3375" spans="15:29" x14ac:dyDescent="0.25">
      <c r="O3375" s="42"/>
      <c r="R3375" s="42"/>
      <c r="AC3375" s="42"/>
    </row>
    <row r="3376" spans="15:29" x14ac:dyDescent="0.25">
      <c r="O3376" s="42"/>
      <c r="R3376" s="42"/>
      <c r="AC3376" s="42"/>
    </row>
    <row r="3377" spans="15:29" x14ac:dyDescent="0.25">
      <c r="O3377" s="42"/>
      <c r="R3377" s="42"/>
      <c r="AC3377" s="42"/>
    </row>
    <row r="3378" spans="15:29" x14ac:dyDescent="0.25">
      <c r="O3378" s="42"/>
      <c r="R3378" s="42"/>
      <c r="AC3378" s="42"/>
    </row>
    <row r="3379" spans="15:29" x14ac:dyDescent="0.25">
      <c r="O3379" s="42"/>
      <c r="R3379" s="42"/>
      <c r="AC3379" s="42"/>
    </row>
    <row r="3380" spans="15:29" x14ac:dyDescent="0.25">
      <c r="O3380" s="42"/>
      <c r="R3380" s="42"/>
      <c r="AC3380" s="42"/>
    </row>
    <row r="3381" spans="15:29" x14ac:dyDescent="0.25">
      <c r="O3381" s="42"/>
      <c r="R3381" s="42"/>
      <c r="AC3381" s="42"/>
    </row>
    <row r="3382" spans="15:29" x14ac:dyDescent="0.25">
      <c r="O3382" s="42"/>
      <c r="R3382" s="42"/>
      <c r="AC3382" s="42"/>
    </row>
    <row r="3383" spans="15:29" x14ac:dyDescent="0.25">
      <c r="O3383" s="42"/>
      <c r="R3383" s="42"/>
      <c r="AC3383" s="42"/>
    </row>
    <row r="3384" spans="15:29" x14ac:dyDescent="0.25">
      <c r="O3384" s="42"/>
      <c r="R3384" s="42"/>
      <c r="AC3384" s="42"/>
    </row>
    <row r="3385" spans="15:29" x14ac:dyDescent="0.25">
      <c r="O3385" s="42"/>
      <c r="R3385" s="42"/>
      <c r="AC3385" s="42"/>
    </row>
    <row r="3386" spans="15:29" x14ac:dyDescent="0.25">
      <c r="O3386" s="42"/>
      <c r="R3386" s="42"/>
      <c r="AC3386" s="42"/>
    </row>
    <row r="3387" spans="15:29" x14ac:dyDescent="0.25">
      <c r="O3387" s="42"/>
      <c r="R3387" s="42"/>
      <c r="AC3387" s="42"/>
    </row>
    <row r="3388" spans="15:29" x14ac:dyDescent="0.25">
      <c r="O3388" s="42"/>
      <c r="R3388" s="42"/>
      <c r="AC3388" s="42"/>
    </row>
    <row r="3389" spans="15:29" x14ac:dyDescent="0.25">
      <c r="O3389" s="42"/>
      <c r="R3389" s="42"/>
      <c r="AC3389" s="42"/>
    </row>
    <row r="3390" spans="15:29" x14ac:dyDescent="0.25">
      <c r="O3390" s="42"/>
      <c r="R3390" s="42"/>
      <c r="AC3390" s="42"/>
    </row>
    <row r="3391" spans="15:29" x14ac:dyDescent="0.25">
      <c r="O3391" s="42"/>
      <c r="R3391" s="42"/>
      <c r="AC3391" s="42"/>
    </row>
    <row r="3392" spans="15:29" x14ac:dyDescent="0.25">
      <c r="O3392" s="42"/>
      <c r="R3392" s="42"/>
      <c r="AC3392" s="42"/>
    </row>
    <row r="3393" spans="15:29" x14ac:dyDescent="0.25">
      <c r="O3393" s="42"/>
      <c r="R3393" s="42"/>
      <c r="AC3393" s="42"/>
    </row>
    <row r="3394" spans="15:29" x14ac:dyDescent="0.25">
      <c r="O3394" s="42"/>
      <c r="R3394" s="42"/>
      <c r="AC3394" s="42"/>
    </row>
    <row r="3395" spans="15:29" x14ac:dyDescent="0.25">
      <c r="O3395" s="42"/>
      <c r="R3395" s="42"/>
      <c r="AC3395" s="42"/>
    </row>
    <row r="3396" spans="15:29" x14ac:dyDescent="0.25">
      <c r="O3396" s="42"/>
      <c r="R3396" s="42"/>
      <c r="AC3396" s="42"/>
    </row>
    <row r="3397" spans="15:29" x14ac:dyDescent="0.25">
      <c r="O3397" s="42"/>
      <c r="R3397" s="42"/>
      <c r="AC3397" s="42"/>
    </row>
    <row r="3398" spans="15:29" x14ac:dyDescent="0.25">
      <c r="O3398" s="42"/>
      <c r="R3398" s="42"/>
      <c r="AC3398" s="42"/>
    </row>
    <row r="3399" spans="15:29" x14ac:dyDescent="0.25">
      <c r="O3399" s="42"/>
      <c r="R3399" s="42"/>
      <c r="AC3399" s="42"/>
    </row>
    <row r="3400" spans="15:29" x14ac:dyDescent="0.25">
      <c r="O3400" s="42"/>
      <c r="R3400" s="42"/>
      <c r="AC3400" s="42"/>
    </row>
    <row r="3401" spans="15:29" x14ac:dyDescent="0.25">
      <c r="O3401" s="42"/>
      <c r="R3401" s="42"/>
      <c r="AC3401" s="42"/>
    </row>
    <row r="3402" spans="15:29" x14ac:dyDescent="0.25">
      <c r="O3402" s="42"/>
      <c r="R3402" s="42"/>
      <c r="AC3402" s="42"/>
    </row>
    <row r="3403" spans="15:29" x14ac:dyDescent="0.25">
      <c r="O3403" s="42"/>
      <c r="R3403" s="42"/>
      <c r="AC3403" s="42"/>
    </row>
    <row r="3404" spans="15:29" x14ac:dyDescent="0.25">
      <c r="O3404" s="42"/>
      <c r="R3404" s="42"/>
      <c r="AC3404" s="42"/>
    </row>
    <row r="3405" spans="15:29" x14ac:dyDescent="0.25">
      <c r="O3405" s="42"/>
      <c r="R3405" s="42"/>
      <c r="AC3405" s="42"/>
    </row>
    <row r="3406" spans="15:29" x14ac:dyDescent="0.25">
      <c r="O3406" s="42"/>
      <c r="R3406" s="42"/>
      <c r="AC3406" s="42"/>
    </row>
    <row r="3407" spans="15:29" x14ac:dyDescent="0.25">
      <c r="O3407" s="42"/>
      <c r="R3407" s="42"/>
      <c r="AC3407" s="42"/>
    </row>
    <row r="3408" spans="15:29" x14ac:dyDescent="0.25">
      <c r="O3408" s="42"/>
      <c r="R3408" s="42"/>
      <c r="AC3408" s="42"/>
    </row>
    <row r="3409" spans="15:29" x14ac:dyDescent="0.25">
      <c r="O3409" s="42"/>
      <c r="R3409" s="42"/>
      <c r="AC3409" s="42"/>
    </row>
    <row r="3410" spans="15:29" x14ac:dyDescent="0.25">
      <c r="O3410" s="42"/>
      <c r="R3410" s="42"/>
      <c r="AC3410" s="42"/>
    </row>
    <row r="3411" spans="15:29" x14ac:dyDescent="0.25">
      <c r="O3411" s="42"/>
      <c r="R3411" s="42"/>
      <c r="AC3411" s="42"/>
    </row>
    <row r="3412" spans="15:29" x14ac:dyDescent="0.25">
      <c r="O3412" s="42"/>
      <c r="R3412" s="42"/>
      <c r="AC3412" s="42"/>
    </row>
    <row r="3413" spans="15:29" x14ac:dyDescent="0.25">
      <c r="O3413" s="42"/>
      <c r="R3413" s="42"/>
      <c r="AC3413" s="42"/>
    </row>
    <row r="3414" spans="15:29" x14ac:dyDescent="0.25">
      <c r="O3414" s="42"/>
      <c r="R3414" s="42"/>
      <c r="AC3414" s="42"/>
    </row>
    <row r="3415" spans="15:29" x14ac:dyDescent="0.25">
      <c r="O3415" s="42"/>
      <c r="R3415" s="42"/>
      <c r="AC3415" s="42"/>
    </row>
    <row r="3416" spans="15:29" x14ac:dyDescent="0.25">
      <c r="O3416" s="42"/>
      <c r="R3416" s="42"/>
      <c r="AC3416" s="42"/>
    </row>
    <row r="3417" spans="15:29" x14ac:dyDescent="0.25">
      <c r="O3417" s="42"/>
      <c r="R3417" s="42"/>
      <c r="AC3417" s="42"/>
    </row>
    <row r="3418" spans="15:29" x14ac:dyDescent="0.25">
      <c r="O3418" s="42"/>
      <c r="R3418" s="42"/>
      <c r="AC3418" s="42"/>
    </row>
    <row r="3419" spans="15:29" x14ac:dyDescent="0.25">
      <c r="O3419" s="42"/>
      <c r="R3419" s="42"/>
      <c r="AC3419" s="42"/>
    </row>
    <row r="3420" spans="15:29" x14ac:dyDescent="0.25">
      <c r="O3420" s="42"/>
      <c r="R3420" s="42"/>
      <c r="AC3420" s="42"/>
    </row>
    <row r="3421" spans="15:29" x14ac:dyDescent="0.25">
      <c r="O3421" s="42"/>
      <c r="R3421" s="42"/>
      <c r="AC3421" s="42"/>
    </row>
    <row r="3422" spans="15:29" x14ac:dyDescent="0.25">
      <c r="O3422" s="42"/>
      <c r="R3422" s="42"/>
      <c r="AC3422" s="42"/>
    </row>
    <row r="3423" spans="15:29" x14ac:dyDescent="0.25">
      <c r="O3423" s="42"/>
      <c r="R3423" s="42"/>
      <c r="AC3423" s="42"/>
    </row>
    <row r="3424" spans="15:29" x14ac:dyDescent="0.25">
      <c r="O3424" s="42"/>
      <c r="R3424" s="42"/>
      <c r="AC3424" s="42"/>
    </row>
    <row r="3425" spans="15:29" x14ac:dyDescent="0.25">
      <c r="O3425" s="42"/>
      <c r="R3425" s="42"/>
      <c r="AC3425" s="42"/>
    </row>
    <row r="3426" spans="15:29" x14ac:dyDescent="0.25">
      <c r="O3426" s="42"/>
      <c r="R3426" s="42"/>
      <c r="AC3426" s="42"/>
    </row>
    <row r="3427" spans="15:29" x14ac:dyDescent="0.25">
      <c r="O3427" s="42"/>
      <c r="R3427" s="42"/>
      <c r="AC3427" s="42"/>
    </row>
    <row r="3428" spans="15:29" x14ac:dyDescent="0.25">
      <c r="O3428" s="42"/>
      <c r="R3428" s="42"/>
      <c r="AC3428" s="42"/>
    </row>
    <row r="3429" spans="15:29" x14ac:dyDescent="0.25">
      <c r="O3429" s="42"/>
      <c r="R3429" s="42"/>
      <c r="AC3429" s="42"/>
    </row>
    <row r="3430" spans="15:29" x14ac:dyDescent="0.25">
      <c r="O3430" s="42"/>
      <c r="R3430" s="42"/>
      <c r="AC3430" s="42"/>
    </row>
    <row r="3431" spans="15:29" x14ac:dyDescent="0.25">
      <c r="O3431" s="42"/>
      <c r="R3431" s="42"/>
      <c r="AC3431" s="42"/>
    </row>
    <row r="3432" spans="15:29" x14ac:dyDescent="0.25">
      <c r="O3432" s="42"/>
      <c r="R3432" s="42"/>
      <c r="AC3432" s="42"/>
    </row>
    <row r="3433" spans="15:29" x14ac:dyDescent="0.25">
      <c r="O3433" s="42"/>
      <c r="R3433" s="42"/>
      <c r="AC3433" s="42"/>
    </row>
    <row r="3434" spans="15:29" x14ac:dyDescent="0.25">
      <c r="O3434" s="42"/>
      <c r="R3434" s="42"/>
      <c r="AC3434" s="42"/>
    </row>
    <row r="3435" spans="15:29" x14ac:dyDescent="0.25">
      <c r="O3435" s="42"/>
      <c r="R3435" s="42"/>
      <c r="AC3435" s="42"/>
    </row>
    <row r="3436" spans="15:29" x14ac:dyDescent="0.25">
      <c r="O3436" s="42"/>
      <c r="R3436" s="42"/>
      <c r="AC3436" s="42"/>
    </row>
    <row r="3437" spans="15:29" x14ac:dyDescent="0.25">
      <c r="O3437" s="42"/>
      <c r="R3437" s="42"/>
      <c r="AC3437" s="42"/>
    </row>
    <row r="3438" spans="15:29" x14ac:dyDescent="0.25">
      <c r="O3438" s="42"/>
      <c r="R3438" s="42"/>
      <c r="AC3438" s="42"/>
    </row>
    <row r="3439" spans="15:29" x14ac:dyDescent="0.25">
      <c r="O3439" s="42"/>
      <c r="R3439" s="42"/>
      <c r="AC3439" s="42"/>
    </row>
    <row r="3440" spans="15:29" x14ac:dyDescent="0.25">
      <c r="O3440" s="42"/>
      <c r="R3440" s="42"/>
      <c r="AC3440" s="42"/>
    </row>
    <row r="3441" spans="15:29" x14ac:dyDescent="0.25">
      <c r="O3441" s="42"/>
      <c r="R3441" s="42"/>
      <c r="AC3441" s="42"/>
    </row>
    <row r="3442" spans="15:29" x14ac:dyDescent="0.25">
      <c r="O3442" s="42"/>
      <c r="R3442" s="42"/>
      <c r="AC3442" s="42"/>
    </row>
    <row r="3443" spans="15:29" x14ac:dyDescent="0.25">
      <c r="O3443" s="42"/>
      <c r="R3443" s="42"/>
      <c r="AC3443" s="42"/>
    </row>
    <row r="3444" spans="15:29" x14ac:dyDescent="0.25">
      <c r="O3444" s="42"/>
      <c r="R3444" s="42"/>
      <c r="AC3444" s="42"/>
    </row>
    <row r="3445" spans="15:29" x14ac:dyDescent="0.25">
      <c r="O3445" s="42"/>
      <c r="R3445" s="42"/>
      <c r="AC3445" s="42"/>
    </row>
    <row r="3446" spans="15:29" x14ac:dyDescent="0.25">
      <c r="O3446" s="42"/>
      <c r="R3446" s="42"/>
      <c r="AC3446" s="42"/>
    </row>
    <row r="3447" spans="15:29" x14ac:dyDescent="0.25">
      <c r="O3447" s="42"/>
      <c r="R3447" s="42"/>
      <c r="AC3447" s="42"/>
    </row>
    <row r="3448" spans="15:29" x14ac:dyDescent="0.25">
      <c r="O3448" s="42"/>
      <c r="R3448" s="42"/>
      <c r="AC3448" s="42"/>
    </row>
    <row r="3449" spans="15:29" x14ac:dyDescent="0.25">
      <c r="O3449" s="42"/>
      <c r="R3449" s="42"/>
      <c r="AC3449" s="42"/>
    </row>
    <row r="3450" spans="15:29" x14ac:dyDescent="0.25">
      <c r="O3450" s="42"/>
      <c r="R3450" s="42"/>
      <c r="AC3450" s="42"/>
    </row>
    <row r="3451" spans="15:29" x14ac:dyDescent="0.25">
      <c r="O3451" s="42"/>
      <c r="R3451" s="42"/>
      <c r="AC3451" s="42"/>
    </row>
    <row r="3452" spans="15:29" x14ac:dyDescent="0.25">
      <c r="O3452" s="42"/>
      <c r="R3452" s="42"/>
      <c r="AC3452" s="42"/>
    </row>
    <row r="3453" spans="15:29" x14ac:dyDescent="0.25">
      <c r="O3453" s="42"/>
      <c r="R3453" s="42"/>
      <c r="AC3453" s="42"/>
    </row>
    <row r="3454" spans="15:29" x14ac:dyDescent="0.25">
      <c r="O3454" s="42"/>
      <c r="R3454" s="42"/>
      <c r="AC3454" s="42"/>
    </row>
    <row r="3455" spans="15:29" x14ac:dyDescent="0.25">
      <c r="O3455" s="42"/>
      <c r="R3455" s="42"/>
      <c r="AC3455" s="42"/>
    </row>
    <row r="3456" spans="15:29" x14ac:dyDescent="0.25">
      <c r="O3456" s="42"/>
      <c r="R3456" s="42"/>
      <c r="AC3456" s="42"/>
    </row>
    <row r="3457" spans="15:29" x14ac:dyDescent="0.25">
      <c r="O3457" s="42"/>
      <c r="R3457" s="42"/>
      <c r="AC3457" s="42"/>
    </row>
    <row r="3458" spans="15:29" x14ac:dyDescent="0.25">
      <c r="O3458" s="42"/>
      <c r="R3458" s="42"/>
      <c r="AC3458" s="42"/>
    </row>
    <row r="3459" spans="15:29" x14ac:dyDescent="0.25">
      <c r="O3459" s="42"/>
      <c r="R3459" s="42"/>
      <c r="AC3459" s="42"/>
    </row>
    <row r="3460" spans="15:29" x14ac:dyDescent="0.25">
      <c r="O3460" s="42"/>
      <c r="R3460" s="42"/>
      <c r="AC3460" s="42"/>
    </row>
    <row r="3461" spans="15:29" x14ac:dyDescent="0.25">
      <c r="O3461" s="42"/>
      <c r="R3461" s="42"/>
      <c r="AC3461" s="42"/>
    </row>
    <row r="3462" spans="15:29" x14ac:dyDescent="0.25">
      <c r="O3462" s="42"/>
      <c r="R3462" s="42"/>
      <c r="AC3462" s="42"/>
    </row>
    <row r="3463" spans="15:29" x14ac:dyDescent="0.25">
      <c r="O3463" s="42"/>
      <c r="R3463" s="42"/>
      <c r="AC3463" s="42"/>
    </row>
    <row r="3464" spans="15:29" x14ac:dyDescent="0.25">
      <c r="O3464" s="42"/>
      <c r="R3464" s="42"/>
      <c r="AC3464" s="42"/>
    </row>
    <row r="3465" spans="15:29" x14ac:dyDescent="0.25">
      <c r="O3465" s="42"/>
      <c r="R3465" s="42"/>
      <c r="AC3465" s="42"/>
    </row>
    <row r="3466" spans="15:29" x14ac:dyDescent="0.25">
      <c r="O3466" s="42"/>
      <c r="R3466" s="42"/>
      <c r="AC3466" s="42"/>
    </row>
    <row r="3467" spans="15:29" x14ac:dyDescent="0.25">
      <c r="O3467" s="42"/>
      <c r="R3467" s="42"/>
      <c r="AC3467" s="42"/>
    </row>
    <row r="3468" spans="15:29" x14ac:dyDescent="0.25">
      <c r="O3468" s="42"/>
      <c r="R3468" s="42"/>
      <c r="AC3468" s="42"/>
    </row>
    <row r="3469" spans="15:29" x14ac:dyDescent="0.25">
      <c r="O3469" s="42"/>
      <c r="R3469" s="42"/>
      <c r="AC3469" s="42"/>
    </row>
    <row r="3470" spans="15:29" x14ac:dyDescent="0.25">
      <c r="O3470" s="42"/>
      <c r="R3470" s="42"/>
      <c r="AC3470" s="42"/>
    </row>
    <row r="3471" spans="15:29" x14ac:dyDescent="0.25">
      <c r="O3471" s="42"/>
      <c r="R3471" s="42"/>
      <c r="AC3471" s="42"/>
    </row>
    <row r="3472" spans="15:29" x14ac:dyDescent="0.25">
      <c r="O3472" s="42"/>
      <c r="R3472" s="42"/>
      <c r="AC3472" s="42"/>
    </row>
    <row r="3473" spans="15:29" x14ac:dyDescent="0.25">
      <c r="O3473" s="42"/>
      <c r="R3473" s="42"/>
      <c r="AC3473" s="42"/>
    </row>
    <row r="3474" spans="15:29" x14ac:dyDescent="0.25">
      <c r="O3474" s="42"/>
      <c r="R3474" s="42"/>
      <c r="AC3474" s="42"/>
    </row>
    <row r="3475" spans="15:29" x14ac:dyDescent="0.25">
      <c r="O3475" s="42"/>
      <c r="R3475" s="42"/>
      <c r="AC3475" s="42"/>
    </row>
    <row r="3476" spans="15:29" x14ac:dyDescent="0.25">
      <c r="O3476" s="42"/>
      <c r="R3476" s="42"/>
      <c r="AC3476" s="42"/>
    </row>
    <row r="3477" spans="15:29" x14ac:dyDescent="0.25">
      <c r="O3477" s="42"/>
      <c r="R3477" s="42"/>
      <c r="AC3477" s="42"/>
    </row>
    <row r="3478" spans="15:29" x14ac:dyDescent="0.25">
      <c r="O3478" s="42"/>
      <c r="R3478" s="42"/>
      <c r="AC3478" s="42"/>
    </row>
    <row r="3479" spans="15:29" x14ac:dyDescent="0.25">
      <c r="O3479" s="42"/>
      <c r="R3479" s="42"/>
      <c r="AC3479" s="42"/>
    </row>
    <row r="3480" spans="15:29" x14ac:dyDescent="0.25">
      <c r="O3480" s="42"/>
      <c r="R3480" s="42"/>
      <c r="AC3480" s="42"/>
    </row>
    <row r="3481" spans="15:29" x14ac:dyDescent="0.25">
      <c r="O3481" s="42"/>
      <c r="R3481" s="42"/>
      <c r="AC3481" s="42"/>
    </row>
    <row r="3482" spans="15:29" x14ac:dyDescent="0.25">
      <c r="O3482" s="42"/>
      <c r="R3482" s="42"/>
      <c r="AC3482" s="42"/>
    </row>
    <row r="3483" spans="15:29" x14ac:dyDescent="0.25">
      <c r="O3483" s="42"/>
      <c r="R3483" s="42"/>
      <c r="AC3483" s="42"/>
    </row>
    <row r="3484" spans="15:29" x14ac:dyDescent="0.25">
      <c r="O3484" s="42"/>
      <c r="R3484" s="42"/>
      <c r="AC3484" s="42"/>
    </row>
    <row r="3485" spans="15:29" x14ac:dyDescent="0.25">
      <c r="O3485" s="42"/>
      <c r="R3485" s="42"/>
      <c r="AC3485" s="42"/>
    </row>
    <row r="3486" spans="15:29" x14ac:dyDescent="0.25">
      <c r="O3486" s="42"/>
      <c r="R3486" s="42"/>
      <c r="AC3486" s="42"/>
    </row>
    <row r="3487" spans="15:29" x14ac:dyDescent="0.25">
      <c r="O3487" s="42"/>
      <c r="R3487" s="42"/>
      <c r="AC3487" s="42"/>
    </row>
    <row r="3488" spans="15:29" x14ac:dyDescent="0.25">
      <c r="O3488" s="42"/>
      <c r="R3488" s="42"/>
      <c r="AC3488" s="42"/>
    </row>
    <row r="3489" spans="15:29" x14ac:dyDescent="0.25">
      <c r="O3489" s="42"/>
      <c r="R3489" s="42"/>
      <c r="AC3489" s="42"/>
    </row>
    <row r="3490" spans="15:29" x14ac:dyDescent="0.25">
      <c r="O3490" s="42"/>
      <c r="R3490" s="42"/>
      <c r="AC3490" s="42"/>
    </row>
    <row r="3491" spans="15:29" x14ac:dyDescent="0.25">
      <c r="O3491" s="42"/>
      <c r="R3491" s="42"/>
      <c r="AC3491" s="42"/>
    </row>
    <row r="3492" spans="15:29" x14ac:dyDescent="0.25">
      <c r="O3492" s="42"/>
      <c r="R3492" s="42"/>
      <c r="AC3492" s="42"/>
    </row>
    <row r="3493" spans="15:29" x14ac:dyDescent="0.25">
      <c r="O3493" s="42"/>
      <c r="R3493" s="42"/>
      <c r="AC3493" s="42"/>
    </row>
    <row r="3494" spans="15:29" x14ac:dyDescent="0.25">
      <c r="O3494" s="42"/>
      <c r="R3494" s="42"/>
      <c r="AC3494" s="42"/>
    </row>
    <row r="3495" spans="15:29" x14ac:dyDescent="0.25">
      <c r="O3495" s="42"/>
      <c r="R3495" s="42"/>
      <c r="AC3495" s="42"/>
    </row>
    <row r="3496" spans="15:29" x14ac:dyDescent="0.25">
      <c r="O3496" s="42"/>
      <c r="R3496" s="42"/>
      <c r="AC3496" s="42"/>
    </row>
    <row r="3497" spans="15:29" x14ac:dyDescent="0.25">
      <c r="O3497" s="42"/>
      <c r="R3497" s="42"/>
      <c r="AC3497" s="42"/>
    </row>
    <row r="3498" spans="15:29" x14ac:dyDescent="0.25">
      <c r="O3498" s="42"/>
      <c r="R3498" s="42"/>
      <c r="AC3498" s="42"/>
    </row>
    <row r="3499" spans="15:29" x14ac:dyDescent="0.25">
      <c r="O3499" s="42"/>
      <c r="R3499" s="42"/>
      <c r="AC3499" s="42"/>
    </row>
    <row r="3500" spans="15:29" x14ac:dyDescent="0.25">
      <c r="O3500" s="42"/>
      <c r="R3500" s="42"/>
      <c r="AC3500" s="42"/>
    </row>
    <row r="3501" spans="15:29" x14ac:dyDescent="0.25">
      <c r="O3501" s="42"/>
      <c r="R3501" s="42"/>
      <c r="AC3501" s="42"/>
    </row>
    <row r="3502" spans="15:29" x14ac:dyDescent="0.25">
      <c r="O3502" s="42"/>
      <c r="R3502" s="42"/>
      <c r="AC3502" s="42"/>
    </row>
    <row r="3503" spans="15:29" x14ac:dyDescent="0.25">
      <c r="O3503" s="42"/>
      <c r="R3503" s="42"/>
      <c r="AC3503" s="42"/>
    </row>
    <row r="3504" spans="15:29" x14ac:dyDescent="0.25">
      <c r="O3504" s="42"/>
      <c r="R3504" s="42"/>
      <c r="AC3504" s="42"/>
    </row>
    <row r="3505" spans="15:29" x14ac:dyDescent="0.25">
      <c r="O3505" s="42"/>
      <c r="R3505" s="42"/>
      <c r="AC3505" s="42"/>
    </row>
    <row r="3506" spans="15:29" x14ac:dyDescent="0.25">
      <c r="O3506" s="42"/>
      <c r="R3506" s="42"/>
      <c r="AC3506" s="42"/>
    </row>
    <row r="3507" spans="15:29" x14ac:dyDescent="0.25">
      <c r="O3507" s="42"/>
      <c r="R3507" s="42"/>
      <c r="AC3507" s="42"/>
    </row>
    <row r="3508" spans="15:29" x14ac:dyDescent="0.25">
      <c r="O3508" s="42"/>
      <c r="R3508" s="42"/>
      <c r="AC3508" s="42"/>
    </row>
    <row r="3509" spans="15:29" x14ac:dyDescent="0.25">
      <c r="O3509" s="42"/>
      <c r="R3509" s="42"/>
      <c r="AC3509" s="42"/>
    </row>
    <row r="3510" spans="15:29" x14ac:dyDescent="0.25">
      <c r="O3510" s="42"/>
      <c r="R3510" s="42"/>
      <c r="AC3510" s="42"/>
    </row>
    <row r="3511" spans="15:29" x14ac:dyDescent="0.25">
      <c r="O3511" s="42"/>
      <c r="R3511" s="42"/>
      <c r="AC3511" s="42"/>
    </row>
    <row r="3512" spans="15:29" x14ac:dyDescent="0.25">
      <c r="O3512" s="42"/>
      <c r="R3512" s="42"/>
      <c r="AC3512" s="42"/>
    </row>
    <row r="3513" spans="15:29" x14ac:dyDescent="0.25">
      <c r="O3513" s="42"/>
      <c r="R3513" s="42"/>
      <c r="AC3513" s="42"/>
    </row>
    <row r="3514" spans="15:29" x14ac:dyDescent="0.25">
      <c r="O3514" s="42"/>
      <c r="R3514" s="42"/>
      <c r="AC3514" s="42"/>
    </row>
    <row r="3515" spans="15:29" x14ac:dyDescent="0.25">
      <c r="O3515" s="42"/>
      <c r="R3515" s="42"/>
      <c r="AC3515" s="42"/>
    </row>
    <row r="3516" spans="15:29" x14ac:dyDescent="0.25">
      <c r="O3516" s="42"/>
      <c r="R3516" s="42"/>
      <c r="AC3516" s="42"/>
    </row>
    <row r="3517" spans="15:29" x14ac:dyDescent="0.25">
      <c r="O3517" s="42"/>
      <c r="R3517" s="42"/>
      <c r="AC3517" s="42"/>
    </row>
    <row r="3518" spans="15:29" x14ac:dyDescent="0.25">
      <c r="O3518" s="42"/>
      <c r="R3518" s="42"/>
      <c r="AC3518" s="42"/>
    </row>
    <row r="3519" spans="15:29" x14ac:dyDescent="0.25">
      <c r="O3519" s="42"/>
      <c r="R3519" s="42"/>
      <c r="AC3519" s="42"/>
    </row>
    <row r="3520" spans="15:29" x14ac:dyDescent="0.25">
      <c r="O3520" s="42"/>
      <c r="R3520" s="42"/>
      <c r="AC3520" s="42"/>
    </row>
    <row r="3521" spans="15:29" x14ac:dyDescent="0.25">
      <c r="O3521" s="42"/>
      <c r="R3521" s="42"/>
      <c r="AC3521" s="42"/>
    </row>
    <row r="3522" spans="15:29" x14ac:dyDescent="0.25">
      <c r="O3522" s="42"/>
      <c r="R3522" s="42"/>
      <c r="AC3522" s="42"/>
    </row>
    <row r="3523" spans="15:29" x14ac:dyDescent="0.25">
      <c r="O3523" s="42"/>
      <c r="R3523" s="42"/>
      <c r="AC3523" s="42"/>
    </row>
    <row r="3524" spans="15:29" x14ac:dyDescent="0.25">
      <c r="O3524" s="42"/>
      <c r="R3524" s="42"/>
      <c r="AC3524" s="42"/>
    </row>
    <row r="3525" spans="15:29" x14ac:dyDescent="0.25">
      <c r="O3525" s="42"/>
      <c r="R3525" s="42"/>
      <c r="AC3525" s="42"/>
    </row>
    <row r="3526" spans="15:29" x14ac:dyDescent="0.25">
      <c r="O3526" s="42"/>
      <c r="R3526" s="42"/>
      <c r="AC3526" s="42"/>
    </row>
    <row r="3527" spans="15:29" x14ac:dyDescent="0.25">
      <c r="O3527" s="42"/>
      <c r="R3527" s="42"/>
      <c r="AC3527" s="42"/>
    </row>
    <row r="3528" spans="15:29" x14ac:dyDescent="0.25">
      <c r="O3528" s="42"/>
      <c r="R3528" s="42"/>
      <c r="AC3528" s="42"/>
    </row>
    <row r="3529" spans="15:29" x14ac:dyDescent="0.25">
      <c r="O3529" s="42"/>
      <c r="R3529" s="42"/>
      <c r="AC3529" s="42"/>
    </row>
    <row r="3530" spans="15:29" x14ac:dyDescent="0.25">
      <c r="O3530" s="42"/>
      <c r="R3530" s="42"/>
      <c r="AC3530" s="42"/>
    </row>
    <row r="3531" spans="15:29" x14ac:dyDescent="0.25">
      <c r="O3531" s="42"/>
      <c r="R3531" s="42"/>
      <c r="AC3531" s="42"/>
    </row>
    <row r="3532" spans="15:29" x14ac:dyDescent="0.25">
      <c r="O3532" s="42"/>
      <c r="R3532" s="42"/>
      <c r="AC3532" s="42"/>
    </row>
    <row r="3533" spans="15:29" x14ac:dyDescent="0.25">
      <c r="O3533" s="42"/>
      <c r="R3533" s="42"/>
      <c r="AC3533" s="42"/>
    </row>
    <row r="3534" spans="15:29" x14ac:dyDescent="0.25">
      <c r="O3534" s="42"/>
      <c r="R3534" s="42"/>
      <c r="AC3534" s="42"/>
    </row>
    <row r="3535" spans="15:29" x14ac:dyDescent="0.25">
      <c r="O3535" s="42"/>
      <c r="R3535" s="42"/>
      <c r="AC3535" s="42"/>
    </row>
    <row r="3536" spans="15:29" x14ac:dyDescent="0.25">
      <c r="O3536" s="42"/>
      <c r="R3536" s="42"/>
      <c r="AC3536" s="42"/>
    </row>
    <row r="3537" spans="15:29" x14ac:dyDescent="0.25">
      <c r="O3537" s="42"/>
      <c r="R3537" s="42"/>
      <c r="AC3537" s="42"/>
    </row>
    <row r="3538" spans="15:29" x14ac:dyDescent="0.25">
      <c r="O3538" s="42"/>
      <c r="R3538" s="42"/>
      <c r="AC3538" s="42"/>
    </row>
    <row r="3539" spans="15:29" x14ac:dyDescent="0.25">
      <c r="O3539" s="42"/>
      <c r="R3539" s="42"/>
      <c r="AC3539" s="42"/>
    </row>
    <row r="3540" spans="15:29" x14ac:dyDescent="0.25">
      <c r="O3540" s="42"/>
      <c r="R3540" s="42"/>
      <c r="AC3540" s="42"/>
    </row>
    <row r="3541" spans="15:29" x14ac:dyDescent="0.25">
      <c r="O3541" s="42"/>
      <c r="R3541" s="42"/>
      <c r="AC3541" s="42"/>
    </row>
    <row r="3542" spans="15:29" x14ac:dyDescent="0.25">
      <c r="O3542" s="42"/>
      <c r="R3542" s="42"/>
      <c r="AC3542" s="42"/>
    </row>
    <row r="3543" spans="15:29" x14ac:dyDescent="0.25">
      <c r="O3543" s="42"/>
      <c r="R3543" s="42"/>
      <c r="AC3543" s="42"/>
    </row>
    <row r="3544" spans="15:29" x14ac:dyDescent="0.25">
      <c r="O3544" s="42"/>
      <c r="R3544" s="42"/>
      <c r="AC3544" s="42"/>
    </row>
    <row r="3545" spans="15:29" x14ac:dyDescent="0.25">
      <c r="O3545" s="42"/>
      <c r="R3545" s="42"/>
      <c r="AC3545" s="42"/>
    </row>
    <row r="3546" spans="15:29" x14ac:dyDescent="0.25">
      <c r="O3546" s="42"/>
      <c r="R3546" s="42"/>
      <c r="AC3546" s="42"/>
    </row>
    <row r="3547" spans="15:29" x14ac:dyDescent="0.25">
      <c r="O3547" s="42"/>
      <c r="R3547" s="42"/>
      <c r="AC3547" s="42"/>
    </row>
    <row r="3548" spans="15:29" x14ac:dyDescent="0.25">
      <c r="O3548" s="42"/>
      <c r="R3548" s="42"/>
      <c r="AC3548" s="42"/>
    </row>
    <row r="3549" spans="15:29" x14ac:dyDescent="0.25">
      <c r="O3549" s="42"/>
      <c r="R3549" s="42"/>
      <c r="AC3549" s="42"/>
    </row>
    <row r="3550" spans="15:29" x14ac:dyDescent="0.25">
      <c r="O3550" s="42"/>
      <c r="R3550" s="42"/>
      <c r="AC3550" s="42"/>
    </row>
    <row r="3551" spans="15:29" x14ac:dyDescent="0.25">
      <c r="O3551" s="42"/>
      <c r="R3551" s="42"/>
      <c r="AC3551" s="42"/>
    </row>
    <row r="3552" spans="15:29" x14ac:dyDescent="0.25">
      <c r="O3552" s="42"/>
      <c r="R3552" s="42"/>
      <c r="AC3552" s="42"/>
    </row>
    <row r="3553" spans="15:29" x14ac:dyDescent="0.25">
      <c r="O3553" s="42"/>
      <c r="R3553" s="42"/>
      <c r="AC3553" s="42"/>
    </row>
    <row r="3554" spans="15:29" x14ac:dyDescent="0.25">
      <c r="O3554" s="42"/>
      <c r="R3554" s="42"/>
      <c r="AC3554" s="42"/>
    </row>
    <row r="3555" spans="15:29" x14ac:dyDescent="0.25">
      <c r="O3555" s="42"/>
      <c r="R3555" s="42"/>
      <c r="AC3555" s="42"/>
    </row>
    <row r="3556" spans="15:29" x14ac:dyDescent="0.25">
      <c r="O3556" s="42"/>
      <c r="R3556" s="42"/>
      <c r="AC3556" s="42"/>
    </row>
    <row r="3557" spans="15:29" x14ac:dyDescent="0.25">
      <c r="O3557" s="42"/>
      <c r="R3557" s="42"/>
      <c r="AC3557" s="42"/>
    </row>
    <row r="3558" spans="15:29" x14ac:dyDescent="0.25">
      <c r="O3558" s="42"/>
      <c r="R3558" s="42"/>
      <c r="AC3558" s="42"/>
    </row>
    <row r="3559" spans="15:29" x14ac:dyDescent="0.25">
      <c r="O3559" s="42"/>
      <c r="R3559" s="42"/>
      <c r="AC3559" s="42"/>
    </row>
    <row r="3560" spans="15:29" x14ac:dyDescent="0.25">
      <c r="O3560" s="42"/>
      <c r="R3560" s="42"/>
      <c r="AC3560" s="42"/>
    </row>
    <row r="3561" spans="15:29" x14ac:dyDescent="0.25">
      <c r="O3561" s="42"/>
      <c r="R3561" s="42"/>
      <c r="AC3561" s="42"/>
    </row>
    <row r="3562" spans="15:29" x14ac:dyDescent="0.25">
      <c r="O3562" s="42"/>
      <c r="R3562" s="42"/>
      <c r="AC3562" s="42"/>
    </row>
    <row r="3563" spans="15:29" x14ac:dyDescent="0.25">
      <c r="O3563" s="42"/>
      <c r="R3563" s="42"/>
      <c r="AC3563" s="42"/>
    </row>
    <row r="3564" spans="15:29" x14ac:dyDescent="0.25">
      <c r="O3564" s="42"/>
      <c r="R3564" s="42"/>
      <c r="AC3564" s="42"/>
    </row>
    <row r="3565" spans="15:29" x14ac:dyDescent="0.25">
      <c r="O3565" s="42"/>
      <c r="R3565" s="42"/>
      <c r="AC3565" s="42"/>
    </row>
    <row r="3566" spans="15:29" x14ac:dyDescent="0.25">
      <c r="O3566" s="42"/>
      <c r="R3566" s="42"/>
      <c r="AC3566" s="42"/>
    </row>
    <row r="3567" spans="15:29" x14ac:dyDescent="0.25">
      <c r="O3567" s="42"/>
      <c r="R3567" s="42"/>
      <c r="AC3567" s="42"/>
    </row>
    <row r="3568" spans="15:29" x14ac:dyDescent="0.25">
      <c r="O3568" s="42"/>
      <c r="R3568" s="42"/>
      <c r="AC3568" s="42"/>
    </row>
    <row r="3569" spans="15:29" x14ac:dyDescent="0.25">
      <c r="O3569" s="42"/>
      <c r="R3569" s="42"/>
      <c r="AC3569" s="42"/>
    </row>
    <row r="3570" spans="15:29" x14ac:dyDescent="0.25">
      <c r="O3570" s="42"/>
      <c r="R3570" s="42"/>
      <c r="AC3570" s="42"/>
    </row>
    <row r="3571" spans="15:29" x14ac:dyDescent="0.25">
      <c r="O3571" s="42"/>
      <c r="R3571" s="42"/>
      <c r="AC3571" s="42"/>
    </row>
    <row r="3572" spans="15:29" x14ac:dyDescent="0.25">
      <c r="O3572" s="42"/>
      <c r="R3572" s="42"/>
      <c r="AC3572" s="42"/>
    </row>
    <row r="3573" spans="15:29" x14ac:dyDescent="0.25">
      <c r="O3573" s="42"/>
      <c r="R3573" s="42"/>
      <c r="AC3573" s="42"/>
    </row>
    <row r="3574" spans="15:29" x14ac:dyDescent="0.25">
      <c r="O3574" s="42"/>
      <c r="R3574" s="42"/>
      <c r="AC3574" s="42"/>
    </row>
    <row r="3575" spans="15:29" x14ac:dyDescent="0.25">
      <c r="O3575" s="42"/>
      <c r="R3575" s="42"/>
      <c r="AC3575" s="42"/>
    </row>
    <row r="3576" spans="15:29" x14ac:dyDescent="0.25">
      <c r="O3576" s="42"/>
      <c r="R3576" s="42"/>
      <c r="AC3576" s="42"/>
    </row>
    <row r="3577" spans="15:29" x14ac:dyDescent="0.25">
      <c r="O3577" s="42"/>
      <c r="R3577" s="42"/>
      <c r="AC3577" s="42"/>
    </row>
    <row r="3578" spans="15:29" x14ac:dyDescent="0.25">
      <c r="O3578" s="42"/>
      <c r="R3578" s="42"/>
      <c r="AC3578" s="42"/>
    </row>
    <row r="3579" spans="15:29" x14ac:dyDescent="0.25">
      <c r="O3579" s="42"/>
      <c r="R3579" s="42"/>
      <c r="AC3579" s="42"/>
    </row>
    <row r="3580" spans="15:29" x14ac:dyDescent="0.25">
      <c r="O3580" s="42"/>
      <c r="R3580" s="42"/>
      <c r="AC3580" s="42"/>
    </row>
    <row r="3581" spans="15:29" x14ac:dyDescent="0.25">
      <c r="O3581" s="42"/>
      <c r="R3581" s="42"/>
      <c r="AC3581" s="42"/>
    </row>
    <row r="3582" spans="15:29" x14ac:dyDescent="0.25">
      <c r="O3582" s="42"/>
      <c r="R3582" s="42"/>
      <c r="AC3582" s="42"/>
    </row>
    <row r="3583" spans="15:29" x14ac:dyDescent="0.25">
      <c r="O3583" s="42"/>
      <c r="R3583" s="42"/>
      <c r="AC3583" s="42"/>
    </row>
    <row r="3584" spans="15:29" x14ac:dyDescent="0.25">
      <c r="O3584" s="42"/>
      <c r="R3584" s="42"/>
      <c r="AC3584" s="42"/>
    </row>
    <row r="3585" spans="15:29" x14ac:dyDescent="0.25">
      <c r="O3585" s="42"/>
      <c r="R3585" s="42"/>
      <c r="AC3585" s="42"/>
    </row>
    <row r="3586" spans="15:29" x14ac:dyDescent="0.25">
      <c r="O3586" s="42"/>
      <c r="R3586" s="42"/>
      <c r="AC3586" s="42"/>
    </row>
    <row r="3587" spans="15:29" x14ac:dyDescent="0.25">
      <c r="O3587" s="42"/>
      <c r="R3587" s="42"/>
      <c r="AC3587" s="42"/>
    </row>
    <row r="3588" spans="15:29" x14ac:dyDescent="0.25">
      <c r="O3588" s="42"/>
      <c r="R3588" s="42"/>
      <c r="AC3588" s="42"/>
    </row>
    <row r="3589" spans="15:29" x14ac:dyDescent="0.25">
      <c r="O3589" s="42"/>
      <c r="R3589" s="42"/>
      <c r="AC3589" s="42"/>
    </row>
    <row r="3590" spans="15:29" x14ac:dyDescent="0.25">
      <c r="O3590" s="42"/>
      <c r="R3590" s="42"/>
      <c r="AC3590" s="42"/>
    </row>
    <row r="3591" spans="15:29" x14ac:dyDescent="0.25">
      <c r="O3591" s="42"/>
      <c r="R3591" s="42"/>
      <c r="AC3591" s="42"/>
    </row>
    <row r="3592" spans="15:29" x14ac:dyDescent="0.25">
      <c r="O3592" s="42"/>
      <c r="R3592" s="42"/>
      <c r="AC3592" s="42"/>
    </row>
    <row r="3593" spans="15:29" x14ac:dyDescent="0.25">
      <c r="O3593" s="42"/>
      <c r="R3593" s="42"/>
      <c r="AC3593" s="42"/>
    </row>
    <row r="3594" spans="15:29" x14ac:dyDescent="0.25">
      <c r="O3594" s="42"/>
      <c r="R3594" s="42"/>
      <c r="AC3594" s="42"/>
    </row>
    <row r="3595" spans="15:29" x14ac:dyDescent="0.25">
      <c r="O3595" s="42"/>
      <c r="R3595" s="42"/>
      <c r="AC3595" s="42"/>
    </row>
    <row r="3596" spans="15:29" x14ac:dyDescent="0.25">
      <c r="O3596" s="42"/>
      <c r="R3596" s="42"/>
      <c r="AC3596" s="42"/>
    </row>
    <row r="3597" spans="15:29" x14ac:dyDescent="0.25">
      <c r="O3597" s="42"/>
      <c r="R3597" s="42"/>
      <c r="AC3597" s="42"/>
    </row>
    <row r="3598" spans="15:29" x14ac:dyDescent="0.25">
      <c r="O3598" s="42"/>
      <c r="R3598" s="42"/>
      <c r="AC3598" s="42"/>
    </row>
    <row r="3599" spans="15:29" x14ac:dyDescent="0.25">
      <c r="O3599" s="42"/>
      <c r="R3599" s="42"/>
      <c r="AC3599" s="42"/>
    </row>
    <row r="3600" spans="15:29" x14ac:dyDescent="0.25">
      <c r="O3600" s="42"/>
      <c r="R3600" s="42"/>
      <c r="AC3600" s="42"/>
    </row>
    <row r="3601" spans="15:29" x14ac:dyDescent="0.25">
      <c r="O3601" s="42"/>
      <c r="R3601" s="42"/>
      <c r="AC3601" s="42"/>
    </row>
    <row r="3602" spans="15:29" x14ac:dyDescent="0.25">
      <c r="O3602" s="42"/>
      <c r="R3602" s="42"/>
      <c r="AC3602" s="42"/>
    </row>
    <row r="3603" spans="15:29" x14ac:dyDescent="0.25">
      <c r="O3603" s="42"/>
      <c r="R3603" s="42"/>
      <c r="AC3603" s="42"/>
    </row>
    <row r="3604" spans="15:29" x14ac:dyDescent="0.25">
      <c r="O3604" s="42"/>
      <c r="R3604" s="42"/>
      <c r="AC3604" s="42"/>
    </row>
    <row r="3605" spans="15:29" x14ac:dyDescent="0.25">
      <c r="O3605" s="42"/>
      <c r="R3605" s="42"/>
      <c r="AC3605" s="42"/>
    </row>
    <row r="3606" spans="15:29" x14ac:dyDescent="0.25">
      <c r="O3606" s="42"/>
      <c r="R3606" s="42"/>
      <c r="AC3606" s="42"/>
    </row>
    <row r="3607" spans="15:29" x14ac:dyDescent="0.25">
      <c r="O3607" s="42"/>
      <c r="R3607" s="42"/>
      <c r="AC3607" s="42"/>
    </row>
    <row r="3608" spans="15:29" x14ac:dyDescent="0.25">
      <c r="O3608" s="42"/>
      <c r="R3608" s="42"/>
      <c r="AC3608" s="42"/>
    </row>
    <row r="3609" spans="15:29" x14ac:dyDescent="0.25">
      <c r="O3609" s="42"/>
      <c r="R3609" s="42"/>
      <c r="AC3609" s="42"/>
    </row>
    <row r="3610" spans="15:29" x14ac:dyDescent="0.25">
      <c r="O3610" s="42"/>
      <c r="R3610" s="42"/>
      <c r="AC3610" s="42"/>
    </row>
    <row r="3611" spans="15:29" x14ac:dyDescent="0.25">
      <c r="O3611" s="42"/>
      <c r="R3611" s="42"/>
      <c r="AC3611" s="42"/>
    </row>
    <row r="3612" spans="15:29" x14ac:dyDescent="0.25">
      <c r="O3612" s="42"/>
      <c r="R3612" s="42"/>
      <c r="AC3612" s="42"/>
    </row>
    <row r="3613" spans="15:29" x14ac:dyDescent="0.25">
      <c r="O3613" s="42"/>
      <c r="R3613" s="42"/>
      <c r="AC3613" s="42"/>
    </row>
    <row r="3614" spans="15:29" x14ac:dyDescent="0.25">
      <c r="O3614" s="42"/>
      <c r="R3614" s="42"/>
      <c r="AC3614" s="42"/>
    </row>
    <row r="3615" spans="15:29" x14ac:dyDescent="0.25">
      <c r="O3615" s="42"/>
      <c r="R3615" s="42"/>
      <c r="AC3615" s="42"/>
    </row>
    <row r="3616" spans="15:29" x14ac:dyDescent="0.25">
      <c r="O3616" s="42"/>
      <c r="R3616" s="42"/>
      <c r="AC3616" s="42"/>
    </row>
    <row r="3617" spans="15:29" x14ac:dyDescent="0.25">
      <c r="O3617" s="42"/>
      <c r="R3617" s="42"/>
      <c r="AC3617" s="42"/>
    </row>
    <row r="3618" spans="15:29" x14ac:dyDescent="0.25">
      <c r="O3618" s="42"/>
      <c r="R3618" s="42"/>
      <c r="AC3618" s="42"/>
    </row>
    <row r="3619" spans="15:29" x14ac:dyDescent="0.25">
      <c r="O3619" s="42"/>
      <c r="R3619" s="42"/>
      <c r="AC3619" s="42"/>
    </row>
    <row r="3620" spans="15:29" x14ac:dyDescent="0.25">
      <c r="O3620" s="42"/>
      <c r="R3620" s="42"/>
      <c r="AC3620" s="42"/>
    </row>
    <row r="3621" spans="15:29" x14ac:dyDescent="0.25">
      <c r="O3621" s="42"/>
      <c r="R3621" s="42"/>
      <c r="AC3621" s="42"/>
    </row>
    <row r="3622" spans="15:29" x14ac:dyDescent="0.25">
      <c r="O3622" s="42"/>
      <c r="R3622" s="42"/>
      <c r="AC3622" s="42"/>
    </row>
    <row r="3623" spans="15:29" x14ac:dyDescent="0.25">
      <c r="O3623" s="42"/>
      <c r="R3623" s="42"/>
      <c r="AC3623" s="42"/>
    </row>
    <row r="3624" spans="15:29" x14ac:dyDescent="0.25">
      <c r="O3624" s="42"/>
      <c r="R3624" s="42"/>
      <c r="AC3624" s="42"/>
    </row>
    <row r="3625" spans="15:29" x14ac:dyDescent="0.25">
      <c r="O3625" s="42"/>
      <c r="R3625" s="42"/>
      <c r="AC3625" s="42"/>
    </row>
    <row r="3626" spans="15:29" x14ac:dyDescent="0.25">
      <c r="O3626" s="42"/>
      <c r="R3626" s="42"/>
      <c r="AC3626" s="42"/>
    </row>
    <row r="3627" spans="15:29" x14ac:dyDescent="0.25">
      <c r="O3627" s="42"/>
      <c r="R3627" s="42"/>
      <c r="AC3627" s="42"/>
    </row>
    <row r="3628" spans="15:29" x14ac:dyDescent="0.25">
      <c r="O3628" s="42"/>
      <c r="R3628" s="42"/>
      <c r="AC3628" s="42"/>
    </row>
    <row r="3629" spans="15:29" x14ac:dyDescent="0.25">
      <c r="O3629" s="42"/>
      <c r="R3629" s="42"/>
      <c r="AC3629" s="42"/>
    </row>
    <row r="3630" spans="15:29" x14ac:dyDescent="0.25">
      <c r="O3630" s="42"/>
      <c r="R3630" s="42"/>
      <c r="AC3630" s="42"/>
    </row>
    <row r="3631" spans="15:29" x14ac:dyDescent="0.25">
      <c r="O3631" s="42"/>
      <c r="R3631" s="42"/>
      <c r="AC3631" s="42"/>
    </row>
    <row r="3632" spans="15:29" x14ac:dyDescent="0.25">
      <c r="O3632" s="42"/>
      <c r="R3632" s="42"/>
      <c r="AC3632" s="42"/>
    </row>
    <row r="3633" spans="15:29" x14ac:dyDescent="0.25">
      <c r="O3633" s="42"/>
      <c r="R3633" s="42"/>
      <c r="AC3633" s="42"/>
    </row>
    <row r="3634" spans="15:29" x14ac:dyDescent="0.25">
      <c r="O3634" s="42"/>
      <c r="R3634" s="42"/>
      <c r="AC3634" s="42"/>
    </row>
    <row r="3635" spans="15:29" x14ac:dyDescent="0.25">
      <c r="O3635" s="42"/>
      <c r="R3635" s="42"/>
      <c r="AC3635" s="42"/>
    </row>
    <row r="3636" spans="15:29" x14ac:dyDescent="0.25">
      <c r="O3636" s="42"/>
      <c r="R3636" s="42"/>
      <c r="AC3636" s="42"/>
    </row>
    <row r="3637" spans="15:29" x14ac:dyDescent="0.25">
      <c r="O3637" s="42"/>
      <c r="R3637" s="42"/>
      <c r="AC3637" s="42"/>
    </row>
    <row r="3638" spans="15:29" x14ac:dyDescent="0.25">
      <c r="O3638" s="42"/>
      <c r="R3638" s="42"/>
      <c r="AC3638" s="42"/>
    </row>
    <row r="3639" spans="15:29" x14ac:dyDescent="0.25">
      <c r="O3639" s="42"/>
      <c r="R3639" s="42"/>
      <c r="AC3639" s="42"/>
    </row>
    <row r="3640" spans="15:29" x14ac:dyDescent="0.25">
      <c r="O3640" s="42"/>
      <c r="R3640" s="42"/>
      <c r="AC3640" s="42"/>
    </row>
    <row r="3641" spans="15:29" x14ac:dyDescent="0.25">
      <c r="O3641" s="42"/>
      <c r="R3641" s="42"/>
      <c r="AC3641" s="42"/>
    </row>
    <row r="3642" spans="15:29" x14ac:dyDescent="0.25">
      <c r="O3642" s="42"/>
      <c r="R3642" s="42"/>
      <c r="AC3642" s="42"/>
    </row>
    <row r="3643" spans="15:29" x14ac:dyDescent="0.25">
      <c r="O3643" s="42"/>
      <c r="R3643" s="42"/>
      <c r="AC3643" s="42"/>
    </row>
    <row r="3644" spans="15:29" x14ac:dyDescent="0.25">
      <c r="O3644" s="42"/>
      <c r="R3644" s="42"/>
      <c r="AC3644" s="42"/>
    </row>
    <row r="3645" spans="15:29" x14ac:dyDescent="0.25">
      <c r="O3645" s="42"/>
      <c r="R3645" s="42"/>
      <c r="AC3645" s="42"/>
    </row>
    <row r="3646" spans="15:29" x14ac:dyDescent="0.25">
      <c r="O3646" s="42"/>
      <c r="R3646" s="42"/>
      <c r="AC3646" s="42"/>
    </row>
    <row r="3647" spans="15:29" x14ac:dyDescent="0.25">
      <c r="O3647" s="42"/>
      <c r="R3647" s="42"/>
      <c r="AC3647" s="42"/>
    </row>
    <row r="3648" spans="15:29" x14ac:dyDescent="0.25">
      <c r="O3648" s="42"/>
      <c r="R3648" s="42"/>
      <c r="AC3648" s="42"/>
    </row>
    <row r="3649" spans="15:29" x14ac:dyDescent="0.25">
      <c r="O3649" s="42"/>
      <c r="R3649" s="42"/>
      <c r="AC3649" s="42"/>
    </row>
    <row r="3650" spans="15:29" x14ac:dyDescent="0.25">
      <c r="O3650" s="42"/>
      <c r="R3650" s="42"/>
      <c r="AC3650" s="42"/>
    </row>
    <row r="3651" spans="15:29" x14ac:dyDescent="0.25">
      <c r="O3651" s="42"/>
      <c r="R3651" s="42"/>
      <c r="AC3651" s="42"/>
    </row>
    <row r="3652" spans="15:29" x14ac:dyDescent="0.25">
      <c r="O3652" s="42"/>
      <c r="R3652" s="42"/>
      <c r="AC3652" s="42"/>
    </row>
    <row r="3653" spans="15:29" x14ac:dyDescent="0.25">
      <c r="O3653" s="42"/>
      <c r="R3653" s="42"/>
      <c r="AC3653" s="42"/>
    </row>
    <row r="3654" spans="15:29" x14ac:dyDescent="0.25">
      <c r="O3654" s="42"/>
      <c r="R3654" s="42"/>
      <c r="AC3654" s="42"/>
    </row>
    <row r="3655" spans="15:29" x14ac:dyDescent="0.25">
      <c r="O3655" s="42"/>
      <c r="R3655" s="42"/>
      <c r="AC3655" s="42"/>
    </row>
    <row r="3656" spans="15:29" x14ac:dyDescent="0.25">
      <c r="O3656" s="42"/>
      <c r="R3656" s="42"/>
      <c r="AC3656" s="42"/>
    </row>
    <row r="3657" spans="15:29" x14ac:dyDescent="0.25">
      <c r="O3657" s="42"/>
      <c r="R3657" s="42"/>
      <c r="AC3657" s="42"/>
    </row>
    <row r="3658" spans="15:29" x14ac:dyDescent="0.25">
      <c r="O3658" s="42"/>
      <c r="R3658" s="42"/>
      <c r="AC3658" s="42"/>
    </row>
    <row r="3659" spans="15:29" x14ac:dyDescent="0.25">
      <c r="O3659" s="42"/>
      <c r="R3659" s="42"/>
      <c r="AC3659" s="42"/>
    </row>
    <row r="3660" spans="15:29" x14ac:dyDescent="0.25">
      <c r="O3660" s="42"/>
      <c r="R3660" s="42"/>
      <c r="AC3660" s="42"/>
    </row>
    <row r="3661" spans="15:29" x14ac:dyDescent="0.25">
      <c r="O3661" s="42"/>
      <c r="R3661" s="42"/>
      <c r="AC3661" s="42"/>
    </row>
    <row r="3662" spans="15:29" x14ac:dyDescent="0.25">
      <c r="O3662" s="42"/>
      <c r="R3662" s="42"/>
      <c r="AC3662" s="42"/>
    </row>
    <row r="3663" spans="15:29" x14ac:dyDescent="0.25">
      <c r="O3663" s="42"/>
      <c r="R3663" s="42"/>
      <c r="AC3663" s="42"/>
    </row>
    <row r="3664" spans="15:29" x14ac:dyDescent="0.25">
      <c r="O3664" s="42"/>
      <c r="R3664" s="42"/>
      <c r="AC3664" s="42"/>
    </row>
    <row r="3665" spans="15:29" x14ac:dyDescent="0.25">
      <c r="O3665" s="42"/>
      <c r="R3665" s="42"/>
      <c r="AC3665" s="42"/>
    </row>
    <row r="3666" spans="15:29" x14ac:dyDescent="0.25">
      <c r="O3666" s="42"/>
      <c r="R3666" s="42"/>
      <c r="AC3666" s="42"/>
    </row>
    <row r="3667" spans="15:29" x14ac:dyDescent="0.25">
      <c r="O3667" s="42"/>
      <c r="R3667" s="42"/>
      <c r="AC3667" s="42"/>
    </row>
    <row r="3668" spans="15:29" x14ac:dyDescent="0.25">
      <c r="O3668" s="42"/>
      <c r="R3668" s="42"/>
      <c r="AC3668" s="42"/>
    </row>
    <row r="3669" spans="15:29" x14ac:dyDescent="0.25">
      <c r="O3669" s="42"/>
      <c r="R3669" s="42"/>
      <c r="AC3669" s="42"/>
    </row>
    <row r="3670" spans="15:29" x14ac:dyDescent="0.25">
      <c r="O3670" s="42"/>
      <c r="R3670" s="42"/>
      <c r="AC3670" s="42"/>
    </row>
    <row r="3671" spans="15:29" x14ac:dyDescent="0.25">
      <c r="O3671" s="42"/>
      <c r="R3671" s="42"/>
      <c r="AC3671" s="42"/>
    </row>
    <row r="3672" spans="15:29" x14ac:dyDescent="0.25">
      <c r="O3672" s="42"/>
      <c r="R3672" s="42"/>
      <c r="AC3672" s="42"/>
    </row>
    <row r="3673" spans="15:29" x14ac:dyDescent="0.25">
      <c r="O3673" s="42"/>
      <c r="R3673" s="42"/>
      <c r="AC3673" s="42"/>
    </row>
    <row r="3674" spans="15:29" x14ac:dyDescent="0.25">
      <c r="O3674" s="42"/>
      <c r="R3674" s="42"/>
      <c r="AC3674" s="42"/>
    </row>
    <row r="3675" spans="15:29" x14ac:dyDescent="0.25">
      <c r="O3675" s="42"/>
      <c r="R3675" s="42"/>
      <c r="AC3675" s="42"/>
    </row>
    <row r="3676" spans="15:29" x14ac:dyDescent="0.25">
      <c r="O3676" s="42"/>
      <c r="R3676" s="42"/>
      <c r="AC3676" s="42"/>
    </row>
    <row r="3677" spans="15:29" x14ac:dyDescent="0.25">
      <c r="O3677" s="42"/>
      <c r="R3677" s="42"/>
      <c r="AC3677" s="42"/>
    </row>
    <row r="3678" spans="15:29" x14ac:dyDescent="0.25">
      <c r="O3678" s="42"/>
      <c r="R3678" s="42"/>
      <c r="AC3678" s="42"/>
    </row>
    <row r="3679" spans="15:29" x14ac:dyDescent="0.25">
      <c r="O3679" s="42"/>
      <c r="R3679" s="42"/>
      <c r="AC3679" s="42"/>
    </row>
    <row r="3680" spans="15:29" x14ac:dyDescent="0.25">
      <c r="O3680" s="42"/>
      <c r="R3680" s="42"/>
      <c r="AC3680" s="42"/>
    </row>
    <row r="3681" spans="15:29" x14ac:dyDescent="0.25">
      <c r="O3681" s="42"/>
      <c r="R3681" s="42"/>
      <c r="AC3681" s="42"/>
    </row>
    <row r="3682" spans="15:29" x14ac:dyDescent="0.25">
      <c r="O3682" s="42"/>
      <c r="R3682" s="42"/>
      <c r="AC3682" s="42"/>
    </row>
    <row r="3683" spans="15:29" x14ac:dyDescent="0.25">
      <c r="O3683" s="42"/>
      <c r="R3683" s="42"/>
      <c r="AC3683" s="42"/>
    </row>
    <row r="3684" spans="15:29" x14ac:dyDescent="0.25">
      <c r="O3684" s="42"/>
      <c r="R3684" s="42"/>
      <c r="AC3684" s="42"/>
    </row>
    <row r="3685" spans="15:29" x14ac:dyDescent="0.25">
      <c r="O3685" s="42"/>
      <c r="R3685" s="42"/>
      <c r="AC3685" s="42"/>
    </row>
    <row r="3686" spans="15:29" x14ac:dyDescent="0.25">
      <c r="O3686" s="42"/>
      <c r="R3686" s="42"/>
      <c r="AC3686" s="42"/>
    </row>
    <row r="3687" spans="15:29" x14ac:dyDescent="0.25">
      <c r="O3687" s="42"/>
      <c r="R3687" s="42"/>
      <c r="AC3687" s="42"/>
    </row>
    <row r="3688" spans="15:29" x14ac:dyDescent="0.25">
      <c r="O3688" s="42"/>
      <c r="R3688" s="42"/>
      <c r="AC3688" s="42"/>
    </row>
    <row r="3689" spans="15:29" x14ac:dyDescent="0.25">
      <c r="O3689" s="42"/>
      <c r="R3689" s="42"/>
      <c r="AC3689" s="42"/>
    </row>
    <row r="3690" spans="15:29" x14ac:dyDescent="0.25">
      <c r="O3690" s="42"/>
      <c r="R3690" s="42"/>
      <c r="AC3690" s="42"/>
    </row>
    <row r="3691" spans="15:29" x14ac:dyDescent="0.25">
      <c r="O3691" s="42"/>
      <c r="R3691" s="42"/>
      <c r="AC3691" s="42"/>
    </row>
    <row r="3692" spans="15:29" x14ac:dyDescent="0.25">
      <c r="O3692" s="42"/>
      <c r="R3692" s="42"/>
      <c r="AC3692" s="42"/>
    </row>
    <row r="3693" spans="15:29" x14ac:dyDescent="0.25">
      <c r="O3693" s="42"/>
      <c r="R3693" s="42"/>
      <c r="AC3693" s="42"/>
    </row>
    <row r="3694" spans="15:29" x14ac:dyDescent="0.25">
      <c r="O3694" s="42"/>
      <c r="R3694" s="42"/>
      <c r="AC3694" s="42"/>
    </row>
    <row r="3695" spans="15:29" x14ac:dyDescent="0.25">
      <c r="O3695" s="42"/>
      <c r="R3695" s="42"/>
      <c r="AC3695" s="42"/>
    </row>
    <row r="3696" spans="15:29" x14ac:dyDescent="0.25">
      <c r="O3696" s="42"/>
      <c r="R3696" s="42"/>
      <c r="AC3696" s="42"/>
    </row>
    <row r="3697" spans="15:29" x14ac:dyDescent="0.25">
      <c r="O3697" s="42"/>
      <c r="R3697" s="42"/>
      <c r="AC3697" s="42"/>
    </row>
    <row r="3698" spans="15:29" x14ac:dyDescent="0.25">
      <c r="O3698" s="42"/>
      <c r="R3698" s="42"/>
      <c r="AC3698" s="42"/>
    </row>
    <row r="3699" spans="15:29" x14ac:dyDescent="0.25">
      <c r="O3699" s="42"/>
      <c r="R3699" s="42"/>
      <c r="AC3699" s="42"/>
    </row>
    <row r="3700" spans="15:29" x14ac:dyDescent="0.25">
      <c r="O3700" s="42"/>
      <c r="R3700" s="42"/>
      <c r="AC3700" s="42"/>
    </row>
    <row r="3701" spans="15:29" x14ac:dyDescent="0.25">
      <c r="O3701" s="42"/>
      <c r="R3701" s="42"/>
      <c r="AC3701" s="42"/>
    </row>
    <row r="3702" spans="15:29" x14ac:dyDescent="0.25">
      <c r="O3702" s="42"/>
      <c r="R3702" s="42"/>
      <c r="AC3702" s="42"/>
    </row>
    <row r="3703" spans="15:29" x14ac:dyDescent="0.25">
      <c r="O3703" s="42"/>
      <c r="R3703" s="42"/>
      <c r="AC3703" s="42"/>
    </row>
    <row r="3704" spans="15:29" x14ac:dyDescent="0.25">
      <c r="O3704" s="42"/>
      <c r="R3704" s="42"/>
      <c r="AC3704" s="42"/>
    </row>
    <row r="3705" spans="15:29" x14ac:dyDescent="0.25">
      <c r="O3705" s="42"/>
      <c r="R3705" s="42"/>
      <c r="AC3705" s="42"/>
    </row>
    <row r="3706" spans="15:29" x14ac:dyDescent="0.25">
      <c r="O3706" s="42"/>
      <c r="R3706" s="42"/>
      <c r="AC3706" s="42"/>
    </row>
    <row r="3707" spans="15:29" x14ac:dyDescent="0.25">
      <c r="O3707" s="42"/>
      <c r="R3707" s="42"/>
      <c r="AC3707" s="42"/>
    </row>
    <row r="3708" spans="15:29" x14ac:dyDescent="0.25">
      <c r="O3708" s="42"/>
      <c r="R3708" s="42"/>
      <c r="AC3708" s="42"/>
    </row>
    <row r="3709" spans="15:29" x14ac:dyDescent="0.25">
      <c r="O3709" s="42"/>
      <c r="R3709" s="42"/>
      <c r="AC3709" s="42"/>
    </row>
    <row r="3710" spans="15:29" x14ac:dyDescent="0.25">
      <c r="O3710" s="42"/>
      <c r="R3710" s="42"/>
      <c r="AC3710" s="42"/>
    </row>
    <row r="3711" spans="15:29" x14ac:dyDescent="0.25">
      <c r="O3711" s="42"/>
      <c r="R3711" s="42"/>
      <c r="AC3711" s="42"/>
    </row>
    <row r="3712" spans="15:29" x14ac:dyDescent="0.25">
      <c r="O3712" s="42"/>
      <c r="R3712" s="42"/>
      <c r="AC3712" s="42"/>
    </row>
    <row r="3713" spans="15:29" x14ac:dyDescent="0.25">
      <c r="O3713" s="42"/>
      <c r="R3713" s="42"/>
      <c r="AC3713" s="42"/>
    </row>
    <row r="3714" spans="15:29" x14ac:dyDescent="0.25">
      <c r="O3714" s="42"/>
      <c r="R3714" s="42"/>
      <c r="AC3714" s="42"/>
    </row>
    <row r="3715" spans="15:29" x14ac:dyDescent="0.25">
      <c r="O3715" s="42"/>
      <c r="R3715" s="42"/>
      <c r="AC3715" s="42"/>
    </row>
    <row r="3716" spans="15:29" x14ac:dyDescent="0.25">
      <c r="O3716" s="42"/>
      <c r="R3716" s="42"/>
      <c r="AC3716" s="42"/>
    </row>
    <row r="3717" spans="15:29" x14ac:dyDescent="0.25">
      <c r="O3717" s="42"/>
      <c r="R3717" s="42"/>
      <c r="AC3717" s="42"/>
    </row>
    <row r="3718" spans="15:29" x14ac:dyDescent="0.25">
      <c r="O3718" s="42"/>
      <c r="R3718" s="42"/>
      <c r="AC3718" s="42"/>
    </row>
    <row r="3719" spans="15:29" x14ac:dyDescent="0.25">
      <c r="O3719" s="42"/>
      <c r="R3719" s="42"/>
      <c r="AC3719" s="42"/>
    </row>
    <row r="3720" spans="15:29" x14ac:dyDescent="0.25">
      <c r="O3720" s="42"/>
      <c r="R3720" s="42"/>
      <c r="AC3720" s="42"/>
    </row>
    <row r="3721" spans="15:29" x14ac:dyDescent="0.25">
      <c r="O3721" s="42"/>
      <c r="R3721" s="42"/>
      <c r="AC3721" s="42"/>
    </row>
    <row r="3722" spans="15:29" x14ac:dyDescent="0.25">
      <c r="O3722" s="42"/>
      <c r="R3722" s="42"/>
      <c r="AC3722" s="42"/>
    </row>
    <row r="3723" spans="15:29" x14ac:dyDescent="0.25">
      <c r="O3723" s="42"/>
      <c r="R3723" s="42"/>
      <c r="AC3723" s="42"/>
    </row>
    <row r="3724" spans="15:29" x14ac:dyDescent="0.25">
      <c r="O3724" s="42"/>
      <c r="R3724" s="42"/>
      <c r="AC3724" s="42"/>
    </row>
    <row r="3725" spans="15:29" x14ac:dyDescent="0.25">
      <c r="O3725" s="42"/>
      <c r="R3725" s="42"/>
      <c r="AC3725" s="42"/>
    </row>
    <row r="3726" spans="15:29" x14ac:dyDescent="0.25">
      <c r="O3726" s="42"/>
      <c r="R3726" s="42"/>
      <c r="AC3726" s="42"/>
    </row>
    <row r="3727" spans="15:29" x14ac:dyDescent="0.25">
      <c r="O3727" s="42"/>
      <c r="R3727" s="42"/>
      <c r="AC3727" s="42"/>
    </row>
    <row r="3728" spans="15:29" x14ac:dyDescent="0.25">
      <c r="O3728" s="42"/>
      <c r="R3728" s="42"/>
      <c r="AC3728" s="42"/>
    </row>
    <row r="3729" spans="15:29" x14ac:dyDescent="0.25">
      <c r="O3729" s="42"/>
      <c r="R3729" s="42"/>
      <c r="AC3729" s="42"/>
    </row>
    <row r="3730" spans="15:29" x14ac:dyDescent="0.25">
      <c r="O3730" s="42"/>
      <c r="R3730" s="42"/>
      <c r="AC3730" s="42"/>
    </row>
    <row r="3731" spans="15:29" x14ac:dyDescent="0.25">
      <c r="O3731" s="42"/>
      <c r="R3731" s="42"/>
      <c r="AC3731" s="42"/>
    </row>
    <row r="3732" spans="15:29" x14ac:dyDescent="0.25">
      <c r="O3732" s="42"/>
      <c r="R3732" s="42"/>
      <c r="AC3732" s="42"/>
    </row>
    <row r="3733" spans="15:29" x14ac:dyDescent="0.25">
      <c r="O3733" s="42"/>
      <c r="R3733" s="42"/>
      <c r="AC3733" s="42"/>
    </row>
    <row r="3734" spans="15:29" x14ac:dyDescent="0.25">
      <c r="O3734" s="42"/>
      <c r="R3734" s="42"/>
      <c r="AC3734" s="42"/>
    </row>
    <row r="3735" spans="15:29" x14ac:dyDescent="0.25">
      <c r="O3735" s="42"/>
      <c r="R3735" s="42"/>
      <c r="AC3735" s="42"/>
    </row>
    <row r="3736" spans="15:29" x14ac:dyDescent="0.25">
      <c r="O3736" s="42"/>
      <c r="R3736" s="42"/>
      <c r="AC3736" s="42"/>
    </row>
    <row r="3737" spans="15:29" x14ac:dyDescent="0.25">
      <c r="O3737" s="42"/>
      <c r="R3737" s="42"/>
      <c r="AC3737" s="42"/>
    </row>
    <row r="3738" spans="15:29" x14ac:dyDescent="0.25">
      <c r="O3738" s="42"/>
      <c r="R3738" s="42"/>
      <c r="AC3738" s="42"/>
    </row>
    <row r="3739" spans="15:29" x14ac:dyDescent="0.25">
      <c r="O3739" s="42"/>
      <c r="R3739" s="42"/>
      <c r="AC3739" s="42"/>
    </row>
    <row r="3740" spans="15:29" x14ac:dyDescent="0.25">
      <c r="O3740" s="42"/>
      <c r="R3740" s="42"/>
      <c r="AC3740" s="42"/>
    </row>
    <row r="3741" spans="15:29" x14ac:dyDescent="0.25">
      <c r="O3741" s="42"/>
      <c r="R3741" s="42"/>
      <c r="AC3741" s="42"/>
    </row>
    <row r="3742" spans="15:29" x14ac:dyDescent="0.25">
      <c r="O3742" s="42"/>
      <c r="R3742" s="42"/>
      <c r="AC3742" s="42"/>
    </row>
    <row r="3743" spans="15:29" x14ac:dyDescent="0.25">
      <c r="O3743" s="42"/>
      <c r="R3743" s="42"/>
      <c r="AC3743" s="42"/>
    </row>
    <row r="3744" spans="15:29" x14ac:dyDescent="0.25">
      <c r="O3744" s="42"/>
      <c r="R3744" s="42"/>
      <c r="AC3744" s="42"/>
    </row>
    <row r="3745" spans="15:29" x14ac:dyDescent="0.25">
      <c r="O3745" s="42"/>
      <c r="R3745" s="42"/>
      <c r="AC3745" s="42"/>
    </row>
    <row r="3746" spans="15:29" x14ac:dyDescent="0.25">
      <c r="O3746" s="42"/>
      <c r="R3746" s="42"/>
      <c r="AC3746" s="42"/>
    </row>
    <row r="3747" spans="15:29" x14ac:dyDescent="0.25">
      <c r="O3747" s="42"/>
      <c r="R3747" s="42"/>
      <c r="AC3747" s="42"/>
    </row>
    <row r="3748" spans="15:29" x14ac:dyDescent="0.25">
      <c r="O3748" s="42"/>
      <c r="R3748" s="42"/>
      <c r="AC3748" s="42"/>
    </row>
    <row r="3749" spans="15:29" x14ac:dyDescent="0.25">
      <c r="O3749" s="42"/>
      <c r="R3749" s="42"/>
      <c r="AC3749" s="42"/>
    </row>
    <row r="3750" spans="15:29" x14ac:dyDescent="0.25">
      <c r="O3750" s="42"/>
      <c r="R3750" s="42"/>
      <c r="AC3750" s="42"/>
    </row>
    <row r="3751" spans="15:29" x14ac:dyDescent="0.25">
      <c r="O3751" s="42"/>
      <c r="R3751" s="42"/>
      <c r="AC3751" s="42"/>
    </row>
    <row r="3752" spans="15:29" x14ac:dyDescent="0.25">
      <c r="O3752" s="42"/>
      <c r="R3752" s="42"/>
      <c r="AC3752" s="42"/>
    </row>
    <row r="3753" spans="15:29" x14ac:dyDescent="0.25">
      <c r="O3753" s="42"/>
      <c r="R3753" s="42"/>
      <c r="AC3753" s="42"/>
    </row>
    <row r="3754" spans="15:29" x14ac:dyDescent="0.25">
      <c r="O3754" s="42"/>
      <c r="R3754" s="42"/>
      <c r="AC3754" s="42"/>
    </row>
    <row r="3755" spans="15:29" x14ac:dyDescent="0.25">
      <c r="O3755" s="42"/>
      <c r="R3755" s="42"/>
      <c r="AC3755" s="42"/>
    </row>
    <row r="3756" spans="15:29" x14ac:dyDescent="0.25">
      <c r="O3756" s="42"/>
      <c r="R3756" s="42"/>
      <c r="AC3756" s="42"/>
    </row>
    <row r="3757" spans="15:29" x14ac:dyDescent="0.25">
      <c r="O3757" s="42"/>
      <c r="R3757" s="42"/>
      <c r="AC3757" s="42"/>
    </row>
    <row r="3758" spans="15:29" x14ac:dyDescent="0.25">
      <c r="O3758" s="42"/>
      <c r="R3758" s="42"/>
      <c r="AC3758" s="42"/>
    </row>
    <row r="3759" spans="15:29" x14ac:dyDescent="0.25">
      <c r="O3759" s="42"/>
      <c r="R3759" s="42"/>
      <c r="AC3759" s="42"/>
    </row>
    <row r="3760" spans="15:29" x14ac:dyDescent="0.25">
      <c r="O3760" s="42"/>
      <c r="R3760" s="42"/>
      <c r="AC3760" s="42"/>
    </row>
    <row r="3761" spans="15:29" x14ac:dyDescent="0.25">
      <c r="O3761" s="42"/>
      <c r="R3761" s="42"/>
      <c r="AC3761" s="42"/>
    </row>
    <row r="3762" spans="15:29" x14ac:dyDescent="0.25">
      <c r="O3762" s="42"/>
      <c r="R3762" s="42"/>
      <c r="AC3762" s="42"/>
    </row>
    <row r="3763" spans="15:29" x14ac:dyDescent="0.25">
      <c r="O3763" s="42"/>
      <c r="R3763" s="42"/>
      <c r="AC3763" s="42"/>
    </row>
    <row r="3764" spans="15:29" x14ac:dyDescent="0.25">
      <c r="O3764" s="42"/>
      <c r="R3764" s="42"/>
      <c r="AC3764" s="42"/>
    </row>
    <row r="3765" spans="15:29" x14ac:dyDescent="0.25">
      <c r="O3765" s="42"/>
      <c r="R3765" s="42"/>
      <c r="AC3765" s="42"/>
    </row>
    <row r="3766" spans="15:29" x14ac:dyDescent="0.25">
      <c r="O3766" s="42"/>
      <c r="R3766" s="42"/>
      <c r="AC3766" s="42"/>
    </row>
    <row r="3767" spans="15:29" x14ac:dyDescent="0.25">
      <c r="O3767" s="42"/>
      <c r="R3767" s="42"/>
      <c r="AC3767" s="42"/>
    </row>
    <row r="3768" spans="15:29" x14ac:dyDescent="0.25">
      <c r="O3768" s="42"/>
      <c r="R3768" s="42"/>
      <c r="AC3768" s="42"/>
    </row>
    <row r="3769" spans="15:29" x14ac:dyDescent="0.25">
      <c r="O3769" s="42"/>
      <c r="R3769" s="42"/>
      <c r="AC3769" s="42"/>
    </row>
    <row r="3770" spans="15:29" x14ac:dyDescent="0.25">
      <c r="O3770" s="42"/>
      <c r="R3770" s="42"/>
      <c r="AC3770" s="42"/>
    </row>
    <row r="3771" spans="15:29" x14ac:dyDescent="0.25">
      <c r="O3771" s="42"/>
      <c r="R3771" s="42"/>
      <c r="AC3771" s="42"/>
    </row>
    <row r="3772" spans="15:29" x14ac:dyDescent="0.25">
      <c r="O3772" s="42"/>
      <c r="R3772" s="42"/>
      <c r="AC3772" s="42"/>
    </row>
    <row r="3773" spans="15:29" x14ac:dyDescent="0.25">
      <c r="O3773" s="42"/>
      <c r="R3773" s="42"/>
      <c r="AC3773" s="42"/>
    </row>
    <row r="3774" spans="15:29" x14ac:dyDescent="0.25">
      <c r="O3774" s="42"/>
      <c r="R3774" s="42"/>
      <c r="AC3774" s="42"/>
    </row>
    <row r="3775" spans="15:29" x14ac:dyDescent="0.25">
      <c r="O3775" s="42"/>
      <c r="R3775" s="42"/>
      <c r="AC3775" s="42"/>
    </row>
    <row r="3776" spans="15:29" x14ac:dyDescent="0.25">
      <c r="O3776" s="42"/>
      <c r="R3776" s="42"/>
      <c r="AC3776" s="42"/>
    </row>
    <row r="3777" spans="15:29" x14ac:dyDescent="0.25">
      <c r="O3777" s="42"/>
      <c r="R3777" s="42"/>
      <c r="AC3777" s="42"/>
    </row>
    <row r="3778" spans="15:29" x14ac:dyDescent="0.25">
      <c r="O3778" s="42"/>
      <c r="R3778" s="42"/>
      <c r="AC3778" s="42"/>
    </row>
    <row r="3779" spans="15:29" x14ac:dyDescent="0.25">
      <c r="O3779" s="42"/>
      <c r="R3779" s="42"/>
      <c r="AC3779" s="42"/>
    </row>
    <row r="3780" spans="15:29" x14ac:dyDescent="0.25">
      <c r="O3780" s="42"/>
      <c r="R3780" s="42"/>
      <c r="AC3780" s="42"/>
    </row>
    <row r="3781" spans="15:29" x14ac:dyDescent="0.25">
      <c r="O3781" s="42"/>
      <c r="R3781" s="42"/>
      <c r="AC3781" s="42"/>
    </row>
    <row r="3782" spans="15:29" x14ac:dyDescent="0.25">
      <c r="O3782" s="42"/>
      <c r="R3782" s="42"/>
      <c r="AC3782" s="42"/>
    </row>
    <row r="3783" spans="15:29" x14ac:dyDescent="0.25">
      <c r="O3783" s="42"/>
      <c r="R3783" s="42"/>
      <c r="AC3783" s="42"/>
    </row>
    <row r="3784" spans="15:29" x14ac:dyDescent="0.25">
      <c r="O3784" s="42"/>
      <c r="R3784" s="42"/>
      <c r="AC3784" s="42"/>
    </row>
    <row r="3785" spans="15:29" x14ac:dyDescent="0.25">
      <c r="O3785" s="42"/>
      <c r="R3785" s="42"/>
      <c r="AC3785" s="42"/>
    </row>
    <row r="3786" spans="15:29" x14ac:dyDescent="0.25">
      <c r="O3786" s="42"/>
      <c r="R3786" s="42"/>
      <c r="AC3786" s="42"/>
    </row>
    <row r="3787" spans="15:29" x14ac:dyDescent="0.25">
      <c r="O3787" s="42"/>
      <c r="R3787" s="42"/>
      <c r="AC3787" s="42"/>
    </row>
    <row r="3788" spans="15:29" x14ac:dyDescent="0.25">
      <c r="O3788" s="42"/>
      <c r="R3788" s="42"/>
      <c r="AC3788" s="42"/>
    </row>
    <row r="3789" spans="15:29" x14ac:dyDescent="0.25">
      <c r="O3789" s="42"/>
      <c r="R3789" s="42"/>
      <c r="AC3789" s="42"/>
    </row>
    <row r="3790" spans="15:29" x14ac:dyDescent="0.25">
      <c r="O3790" s="42"/>
      <c r="R3790" s="42"/>
      <c r="AC3790" s="42"/>
    </row>
    <row r="3791" spans="15:29" x14ac:dyDescent="0.25">
      <c r="O3791" s="42"/>
      <c r="R3791" s="42"/>
      <c r="AC3791" s="42"/>
    </row>
    <row r="3792" spans="15:29" x14ac:dyDescent="0.25">
      <c r="O3792" s="42"/>
      <c r="R3792" s="42"/>
      <c r="AC3792" s="42"/>
    </row>
    <row r="3793" spans="15:29" x14ac:dyDescent="0.25">
      <c r="O3793" s="42"/>
      <c r="R3793" s="42"/>
      <c r="AC3793" s="42"/>
    </row>
    <row r="3794" spans="15:29" x14ac:dyDescent="0.25">
      <c r="O3794" s="42"/>
      <c r="R3794" s="42"/>
      <c r="AC3794" s="42"/>
    </row>
    <row r="3795" spans="15:29" x14ac:dyDescent="0.25">
      <c r="O3795" s="42"/>
      <c r="R3795" s="42"/>
      <c r="AC3795" s="42"/>
    </row>
    <row r="3796" spans="15:29" x14ac:dyDescent="0.25">
      <c r="O3796" s="42"/>
      <c r="R3796" s="42"/>
      <c r="AC3796" s="42"/>
    </row>
    <row r="3797" spans="15:29" x14ac:dyDescent="0.25">
      <c r="O3797" s="42"/>
      <c r="R3797" s="42"/>
      <c r="AC3797" s="42"/>
    </row>
    <row r="3798" spans="15:29" x14ac:dyDescent="0.25">
      <c r="O3798" s="42"/>
      <c r="R3798" s="42"/>
      <c r="AC3798" s="42"/>
    </row>
    <row r="3799" spans="15:29" x14ac:dyDescent="0.25">
      <c r="O3799" s="42"/>
      <c r="R3799" s="42"/>
      <c r="AC3799" s="42"/>
    </row>
    <row r="3800" spans="15:29" x14ac:dyDescent="0.25">
      <c r="O3800" s="42"/>
      <c r="R3800" s="42"/>
      <c r="AC3800" s="42"/>
    </row>
    <row r="3801" spans="15:29" x14ac:dyDescent="0.25">
      <c r="O3801" s="42"/>
      <c r="R3801" s="42"/>
      <c r="AC3801" s="42"/>
    </row>
    <row r="3802" spans="15:29" x14ac:dyDescent="0.25">
      <c r="O3802" s="42"/>
      <c r="R3802" s="42"/>
      <c r="AC3802" s="42"/>
    </row>
    <row r="3803" spans="15:29" x14ac:dyDescent="0.25">
      <c r="O3803" s="42"/>
      <c r="R3803" s="42"/>
      <c r="AC3803" s="42"/>
    </row>
    <row r="3804" spans="15:29" x14ac:dyDescent="0.25">
      <c r="O3804" s="42"/>
      <c r="R3804" s="42"/>
      <c r="AC3804" s="42"/>
    </row>
    <row r="3805" spans="15:29" x14ac:dyDescent="0.25">
      <c r="O3805" s="42"/>
      <c r="R3805" s="42"/>
      <c r="AC3805" s="42"/>
    </row>
    <row r="3806" spans="15:29" x14ac:dyDescent="0.25">
      <c r="O3806" s="42"/>
      <c r="R3806" s="42"/>
      <c r="AC3806" s="42"/>
    </row>
    <row r="3807" spans="15:29" x14ac:dyDescent="0.25">
      <c r="O3807" s="42"/>
      <c r="R3807" s="42"/>
      <c r="AC3807" s="42"/>
    </row>
    <row r="3808" spans="15:29" x14ac:dyDescent="0.25">
      <c r="O3808" s="42"/>
      <c r="R3808" s="42"/>
      <c r="AC3808" s="42"/>
    </row>
    <row r="3809" spans="15:29" x14ac:dyDescent="0.25">
      <c r="O3809" s="42"/>
      <c r="R3809" s="42"/>
      <c r="AC3809" s="42"/>
    </row>
    <row r="3810" spans="15:29" x14ac:dyDescent="0.25">
      <c r="O3810" s="42"/>
      <c r="R3810" s="42"/>
      <c r="AC3810" s="42"/>
    </row>
    <row r="3811" spans="15:29" x14ac:dyDescent="0.25">
      <c r="O3811" s="42"/>
      <c r="R3811" s="42"/>
      <c r="AC3811" s="42"/>
    </row>
    <row r="3812" spans="15:29" x14ac:dyDescent="0.25">
      <c r="O3812" s="42"/>
      <c r="R3812" s="42"/>
      <c r="AC3812" s="42"/>
    </row>
    <row r="3813" spans="15:29" x14ac:dyDescent="0.25">
      <c r="O3813" s="42"/>
      <c r="R3813" s="42"/>
      <c r="AC3813" s="42"/>
    </row>
    <row r="3814" spans="15:29" x14ac:dyDescent="0.25">
      <c r="O3814" s="42"/>
      <c r="R3814" s="42"/>
      <c r="AC3814" s="42"/>
    </row>
    <row r="3815" spans="15:29" x14ac:dyDescent="0.25">
      <c r="O3815" s="42"/>
      <c r="R3815" s="42"/>
      <c r="AC3815" s="42"/>
    </row>
    <row r="3816" spans="15:29" x14ac:dyDescent="0.25">
      <c r="O3816" s="42"/>
      <c r="R3816" s="42"/>
      <c r="AC3816" s="42"/>
    </row>
    <row r="3817" spans="15:29" x14ac:dyDescent="0.25">
      <c r="O3817" s="42"/>
      <c r="R3817" s="42"/>
      <c r="AC3817" s="42"/>
    </row>
    <row r="3818" spans="15:29" x14ac:dyDescent="0.25">
      <c r="O3818" s="42"/>
      <c r="R3818" s="42"/>
      <c r="AC3818" s="42"/>
    </row>
    <row r="3819" spans="15:29" x14ac:dyDescent="0.25">
      <c r="O3819" s="42"/>
      <c r="R3819" s="42"/>
      <c r="AC3819" s="42"/>
    </row>
    <row r="3820" spans="15:29" x14ac:dyDescent="0.25">
      <c r="O3820" s="42"/>
      <c r="R3820" s="42"/>
      <c r="AC3820" s="42"/>
    </row>
    <row r="3821" spans="15:29" x14ac:dyDescent="0.25">
      <c r="O3821" s="42"/>
      <c r="R3821" s="42"/>
      <c r="AC3821" s="42"/>
    </row>
    <row r="3822" spans="15:29" x14ac:dyDescent="0.25">
      <c r="O3822" s="42"/>
      <c r="R3822" s="42"/>
      <c r="AC3822" s="42"/>
    </row>
    <row r="3823" spans="15:29" x14ac:dyDescent="0.25">
      <c r="O3823" s="42"/>
      <c r="R3823" s="42"/>
      <c r="AC3823" s="42"/>
    </row>
    <row r="3824" spans="15:29" x14ac:dyDescent="0.25">
      <c r="O3824" s="42"/>
      <c r="R3824" s="42"/>
      <c r="AC3824" s="42"/>
    </row>
    <row r="3825" spans="15:29" x14ac:dyDescent="0.25">
      <c r="O3825" s="42"/>
      <c r="R3825" s="42"/>
      <c r="AC3825" s="42"/>
    </row>
    <row r="3826" spans="15:29" x14ac:dyDescent="0.25">
      <c r="O3826" s="42"/>
      <c r="R3826" s="42"/>
      <c r="AC3826" s="42"/>
    </row>
    <row r="3827" spans="15:29" x14ac:dyDescent="0.25">
      <c r="O3827" s="42"/>
      <c r="R3827" s="42"/>
      <c r="AC3827" s="42"/>
    </row>
    <row r="3828" spans="15:29" x14ac:dyDescent="0.25">
      <c r="O3828" s="42"/>
      <c r="R3828" s="42"/>
      <c r="AC3828" s="42"/>
    </row>
    <row r="3829" spans="15:29" x14ac:dyDescent="0.25">
      <c r="O3829" s="42"/>
      <c r="R3829" s="42"/>
      <c r="AC3829" s="42"/>
    </row>
    <row r="3830" spans="15:29" x14ac:dyDescent="0.25">
      <c r="O3830" s="42"/>
      <c r="R3830" s="42"/>
      <c r="AC3830" s="42"/>
    </row>
    <row r="3831" spans="15:29" x14ac:dyDescent="0.25">
      <c r="O3831" s="42"/>
      <c r="R3831" s="42"/>
      <c r="AC3831" s="42"/>
    </row>
    <row r="3832" spans="15:29" x14ac:dyDescent="0.25">
      <c r="O3832" s="42"/>
      <c r="R3832" s="42"/>
      <c r="AC3832" s="42"/>
    </row>
    <row r="3833" spans="15:29" x14ac:dyDescent="0.25">
      <c r="O3833" s="42"/>
      <c r="R3833" s="42"/>
      <c r="AC3833" s="42"/>
    </row>
    <row r="3834" spans="15:29" x14ac:dyDescent="0.25">
      <c r="O3834" s="42"/>
      <c r="R3834" s="42"/>
      <c r="AC3834" s="42"/>
    </row>
    <row r="3835" spans="15:29" x14ac:dyDescent="0.25">
      <c r="O3835" s="42"/>
      <c r="R3835" s="42"/>
      <c r="AC3835" s="42"/>
    </row>
    <row r="3836" spans="15:29" x14ac:dyDescent="0.25">
      <c r="O3836" s="42"/>
      <c r="R3836" s="42"/>
      <c r="AC3836" s="42"/>
    </row>
    <row r="3837" spans="15:29" x14ac:dyDescent="0.25">
      <c r="O3837" s="42"/>
      <c r="R3837" s="42"/>
      <c r="AC3837" s="42"/>
    </row>
    <row r="3838" spans="15:29" x14ac:dyDescent="0.25">
      <c r="O3838" s="42"/>
      <c r="R3838" s="42"/>
      <c r="AC3838" s="42"/>
    </row>
    <row r="3839" spans="15:29" x14ac:dyDescent="0.25">
      <c r="O3839" s="42"/>
      <c r="R3839" s="42"/>
      <c r="AC3839" s="42"/>
    </row>
    <row r="3840" spans="15:29" x14ac:dyDescent="0.25">
      <c r="O3840" s="42"/>
      <c r="R3840" s="42"/>
      <c r="AC3840" s="42"/>
    </row>
    <row r="3841" spans="15:29" x14ac:dyDescent="0.25">
      <c r="O3841" s="42"/>
      <c r="R3841" s="42"/>
      <c r="AC3841" s="42"/>
    </row>
    <row r="3842" spans="15:29" x14ac:dyDescent="0.25">
      <c r="O3842" s="42"/>
      <c r="R3842" s="42"/>
      <c r="AC3842" s="42"/>
    </row>
    <row r="3843" spans="15:29" x14ac:dyDescent="0.25">
      <c r="O3843" s="42"/>
      <c r="R3843" s="42"/>
      <c r="AC3843" s="42"/>
    </row>
    <row r="3844" spans="15:29" x14ac:dyDescent="0.25">
      <c r="O3844" s="42"/>
      <c r="R3844" s="42"/>
      <c r="AC3844" s="42"/>
    </row>
    <row r="3845" spans="15:29" x14ac:dyDescent="0.25">
      <c r="O3845" s="42"/>
      <c r="R3845" s="42"/>
      <c r="AC3845" s="42"/>
    </row>
    <row r="3846" spans="15:29" x14ac:dyDescent="0.25">
      <c r="O3846" s="42"/>
      <c r="R3846" s="42"/>
      <c r="AC3846" s="42"/>
    </row>
    <row r="3847" spans="15:29" x14ac:dyDescent="0.25">
      <c r="O3847" s="42"/>
      <c r="R3847" s="42"/>
      <c r="AC3847" s="42"/>
    </row>
    <row r="3848" spans="15:29" x14ac:dyDescent="0.25">
      <c r="O3848" s="42"/>
      <c r="R3848" s="42"/>
      <c r="AC3848" s="42"/>
    </row>
    <row r="3849" spans="15:29" x14ac:dyDescent="0.25">
      <c r="O3849" s="42"/>
      <c r="R3849" s="42"/>
      <c r="AC3849" s="42"/>
    </row>
    <row r="3850" spans="15:29" x14ac:dyDescent="0.25">
      <c r="O3850" s="42"/>
      <c r="R3850" s="42"/>
      <c r="AC3850" s="42"/>
    </row>
    <row r="3851" spans="15:29" x14ac:dyDescent="0.25">
      <c r="O3851" s="42"/>
      <c r="R3851" s="42"/>
      <c r="AC3851" s="42"/>
    </row>
    <row r="3852" spans="15:29" x14ac:dyDescent="0.25">
      <c r="O3852" s="42"/>
      <c r="R3852" s="42"/>
      <c r="AC3852" s="42"/>
    </row>
    <row r="3853" spans="15:29" x14ac:dyDescent="0.25">
      <c r="O3853" s="42"/>
      <c r="R3853" s="42"/>
      <c r="AC3853" s="42"/>
    </row>
    <row r="3854" spans="15:29" x14ac:dyDescent="0.25">
      <c r="O3854" s="42"/>
      <c r="R3854" s="42"/>
      <c r="AC3854" s="42"/>
    </row>
    <row r="3855" spans="15:29" x14ac:dyDescent="0.25">
      <c r="O3855" s="42"/>
      <c r="R3855" s="42"/>
      <c r="AC3855" s="42"/>
    </row>
    <row r="3856" spans="15:29" x14ac:dyDescent="0.25">
      <c r="O3856" s="42"/>
      <c r="R3856" s="42"/>
      <c r="AC3856" s="42"/>
    </row>
    <row r="3857" spans="15:29" x14ac:dyDescent="0.25">
      <c r="O3857" s="42"/>
      <c r="R3857" s="42"/>
      <c r="AC3857" s="42"/>
    </row>
    <row r="3858" spans="15:29" x14ac:dyDescent="0.25">
      <c r="O3858" s="42"/>
      <c r="R3858" s="42"/>
      <c r="AC3858" s="42"/>
    </row>
    <row r="3859" spans="15:29" x14ac:dyDescent="0.25">
      <c r="O3859" s="42"/>
      <c r="R3859" s="42"/>
      <c r="AC3859" s="42"/>
    </row>
    <row r="3860" spans="15:29" x14ac:dyDescent="0.25">
      <c r="O3860" s="42"/>
      <c r="R3860" s="42"/>
      <c r="AC3860" s="42"/>
    </row>
    <row r="3861" spans="15:29" x14ac:dyDescent="0.25">
      <c r="O3861" s="42"/>
      <c r="R3861" s="42"/>
      <c r="AC3861" s="42"/>
    </row>
    <row r="3862" spans="15:29" x14ac:dyDescent="0.25">
      <c r="O3862" s="42"/>
      <c r="R3862" s="42"/>
      <c r="AC3862" s="42"/>
    </row>
    <row r="3863" spans="15:29" x14ac:dyDescent="0.25">
      <c r="O3863" s="42"/>
      <c r="R3863" s="42"/>
      <c r="AC3863" s="42"/>
    </row>
    <row r="3864" spans="15:29" x14ac:dyDescent="0.25">
      <c r="O3864" s="42"/>
      <c r="R3864" s="42"/>
      <c r="AC3864" s="42"/>
    </row>
    <row r="3865" spans="15:29" x14ac:dyDescent="0.25">
      <c r="O3865" s="42"/>
      <c r="R3865" s="42"/>
      <c r="AC3865" s="42"/>
    </row>
    <row r="3866" spans="15:29" x14ac:dyDescent="0.25">
      <c r="O3866" s="42"/>
      <c r="R3866" s="42"/>
      <c r="AC3866" s="42"/>
    </row>
    <row r="3867" spans="15:29" x14ac:dyDescent="0.25">
      <c r="O3867" s="42"/>
      <c r="R3867" s="42"/>
      <c r="AC3867" s="42"/>
    </row>
    <row r="3868" spans="15:29" x14ac:dyDescent="0.25">
      <c r="O3868" s="42"/>
      <c r="R3868" s="42"/>
      <c r="AC3868" s="42"/>
    </row>
    <row r="3869" spans="15:29" x14ac:dyDescent="0.25">
      <c r="O3869" s="42"/>
      <c r="R3869" s="42"/>
      <c r="AC3869" s="42"/>
    </row>
    <row r="3870" spans="15:29" x14ac:dyDescent="0.25">
      <c r="O3870" s="42"/>
      <c r="R3870" s="42"/>
      <c r="AC3870" s="42"/>
    </row>
    <row r="3871" spans="15:29" x14ac:dyDescent="0.25">
      <c r="O3871" s="42"/>
      <c r="R3871" s="42"/>
      <c r="AC3871" s="42"/>
    </row>
    <row r="3872" spans="15:29" x14ac:dyDescent="0.25">
      <c r="O3872" s="42"/>
      <c r="R3872" s="42"/>
      <c r="AC3872" s="42"/>
    </row>
    <row r="3873" spans="15:29" x14ac:dyDescent="0.25">
      <c r="O3873" s="42"/>
      <c r="R3873" s="42"/>
      <c r="AC3873" s="42"/>
    </row>
    <row r="3874" spans="15:29" x14ac:dyDescent="0.25">
      <c r="O3874" s="42"/>
      <c r="R3874" s="42"/>
      <c r="AC3874" s="42"/>
    </row>
    <row r="3875" spans="15:29" x14ac:dyDescent="0.25">
      <c r="O3875" s="42"/>
      <c r="R3875" s="42"/>
      <c r="AC3875" s="42"/>
    </row>
    <row r="3876" spans="15:29" x14ac:dyDescent="0.25">
      <c r="O3876" s="42"/>
      <c r="R3876" s="42"/>
      <c r="AC3876" s="42"/>
    </row>
    <row r="3877" spans="15:29" x14ac:dyDescent="0.25">
      <c r="O3877" s="42"/>
      <c r="R3877" s="42"/>
      <c r="AC3877" s="42"/>
    </row>
    <row r="3878" spans="15:29" x14ac:dyDescent="0.25">
      <c r="O3878" s="42"/>
      <c r="R3878" s="42"/>
      <c r="AC3878" s="42"/>
    </row>
    <row r="3879" spans="15:29" x14ac:dyDescent="0.25">
      <c r="O3879" s="42"/>
      <c r="R3879" s="42"/>
      <c r="AC3879" s="42"/>
    </row>
    <row r="3880" spans="15:29" x14ac:dyDescent="0.25">
      <c r="O3880" s="42"/>
      <c r="R3880" s="42"/>
      <c r="AC3880" s="42"/>
    </row>
    <row r="3881" spans="15:29" x14ac:dyDescent="0.25">
      <c r="O3881" s="42"/>
      <c r="R3881" s="42"/>
      <c r="AC3881" s="42"/>
    </row>
    <row r="3882" spans="15:29" x14ac:dyDescent="0.25">
      <c r="O3882" s="42"/>
      <c r="R3882" s="42"/>
      <c r="AC3882" s="42"/>
    </row>
    <row r="3883" spans="15:29" x14ac:dyDescent="0.25">
      <c r="O3883" s="42"/>
      <c r="R3883" s="42"/>
      <c r="AC3883" s="42"/>
    </row>
    <row r="3884" spans="15:29" x14ac:dyDescent="0.25">
      <c r="O3884" s="42"/>
      <c r="R3884" s="42"/>
      <c r="AC3884" s="42"/>
    </row>
    <row r="3885" spans="15:29" x14ac:dyDescent="0.25">
      <c r="O3885" s="42"/>
      <c r="R3885" s="42"/>
      <c r="AC3885" s="42"/>
    </row>
    <row r="3886" spans="15:29" x14ac:dyDescent="0.25">
      <c r="O3886" s="42"/>
      <c r="R3886" s="42"/>
      <c r="AC3886" s="42"/>
    </row>
    <row r="3887" spans="15:29" x14ac:dyDescent="0.25">
      <c r="O3887" s="42"/>
      <c r="R3887" s="42"/>
      <c r="AC3887" s="42"/>
    </row>
    <row r="3888" spans="15:29" x14ac:dyDescent="0.25">
      <c r="O3888" s="42"/>
      <c r="R3888" s="42"/>
      <c r="AC3888" s="42"/>
    </row>
    <row r="3889" spans="15:29" x14ac:dyDescent="0.25">
      <c r="O3889" s="42"/>
      <c r="R3889" s="42"/>
      <c r="AC3889" s="42"/>
    </row>
    <row r="3890" spans="15:29" x14ac:dyDescent="0.25">
      <c r="O3890" s="42"/>
      <c r="R3890" s="42"/>
      <c r="AC3890" s="42"/>
    </row>
    <row r="3891" spans="15:29" x14ac:dyDescent="0.25">
      <c r="O3891" s="42"/>
      <c r="R3891" s="42"/>
      <c r="AC3891" s="42"/>
    </row>
    <row r="3892" spans="15:29" x14ac:dyDescent="0.25">
      <c r="O3892" s="42"/>
      <c r="R3892" s="42"/>
      <c r="AC3892" s="42"/>
    </row>
    <row r="3893" spans="15:29" x14ac:dyDescent="0.25">
      <c r="O3893" s="42"/>
      <c r="R3893" s="42"/>
      <c r="AC3893" s="42"/>
    </row>
    <row r="3894" spans="15:29" x14ac:dyDescent="0.25">
      <c r="O3894" s="42"/>
      <c r="R3894" s="42"/>
      <c r="AC3894" s="42"/>
    </row>
    <row r="3895" spans="15:29" x14ac:dyDescent="0.25">
      <c r="O3895" s="42"/>
      <c r="R3895" s="42"/>
      <c r="AC3895" s="42"/>
    </row>
    <row r="3896" spans="15:29" x14ac:dyDescent="0.25">
      <c r="O3896" s="42"/>
      <c r="R3896" s="42"/>
      <c r="AC3896" s="42"/>
    </row>
    <row r="3897" spans="15:29" x14ac:dyDescent="0.25">
      <c r="O3897" s="42"/>
      <c r="R3897" s="42"/>
      <c r="AC3897" s="42"/>
    </row>
    <row r="3898" spans="15:29" x14ac:dyDescent="0.25">
      <c r="O3898" s="42"/>
      <c r="R3898" s="42"/>
      <c r="AC3898" s="42"/>
    </row>
    <row r="3899" spans="15:29" x14ac:dyDescent="0.25">
      <c r="O3899" s="42"/>
      <c r="R3899" s="42"/>
      <c r="AC3899" s="42"/>
    </row>
    <row r="3900" spans="15:29" x14ac:dyDescent="0.25">
      <c r="O3900" s="42"/>
      <c r="R3900" s="42"/>
      <c r="AC3900" s="42"/>
    </row>
    <row r="3901" spans="15:29" x14ac:dyDescent="0.25">
      <c r="O3901" s="42"/>
      <c r="R3901" s="42"/>
      <c r="AC3901" s="42"/>
    </row>
    <row r="3902" spans="15:29" x14ac:dyDescent="0.25">
      <c r="O3902" s="42"/>
      <c r="R3902" s="42"/>
      <c r="AC3902" s="42"/>
    </row>
    <row r="3903" spans="15:29" x14ac:dyDescent="0.25">
      <c r="O3903" s="42"/>
      <c r="R3903" s="42"/>
      <c r="AC3903" s="42"/>
    </row>
    <row r="3904" spans="15:29" x14ac:dyDescent="0.25">
      <c r="O3904" s="42"/>
      <c r="R3904" s="42"/>
      <c r="AC3904" s="42"/>
    </row>
    <row r="3905" spans="15:29" x14ac:dyDescent="0.25">
      <c r="O3905" s="42"/>
      <c r="R3905" s="42"/>
      <c r="AC3905" s="42"/>
    </row>
    <row r="3906" spans="15:29" x14ac:dyDescent="0.25">
      <c r="O3906" s="42"/>
      <c r="R3906" s="42"/>
      <c r="AC3906" s="42"/>
    </row>
    <row r="3907" spans="15:29" x14ac:dyDescent="0.25">
      <c r="O3907" s="42"/>
      <c r="R3907" s="42"/>
      <c r="AC3907" s="42"/>
    </row>
    <row r="3908" spans="15:29" x14ac:dyDescent="0.25">
      <c r="O3908" s="42"/>
      <c r="R3908" s="42"/>
      <c r="AC3908" s="42"/>
    </row>
    <row r="3909" spans="15:29" x14ac:dyDescent="0.25">
      <c r="O3909" s="42"/>
      <c r="R3909" s="42"/>
      <c r="AC3909" s="42"/>
    </row>
    <row r="3910" spans="15:29" x14ac:dyDescent="0.25">
      <c r="O3910" s="42"/>
      <c r="R3910" s="42"/>
      <c r="AC3910" s="42"/>
    </row>
    <row r="3911" spans="15:29" x14ac:dyDescent="0.25">
      <c r="O3911" s="42"/>
      <c r="R3911" s="42"/>
      <c r="AC3911" s="42"/>
    </row>
    <row r="3912" spans="15:29" x14ac:dyDescent="0.25">
      <c r="O3912" s="42"/>
      <c r="R3912" s="42"/>
      <c r="AC3912" s="42"/>
    </row>
    <row r="3913" spans="15:29" x14ac:dyDescent="0.25">
      <c r="O3913" s="42"/>
      <c r="R3913" s="42"/>
      <c r="AC3913" s="42"/>
    </row>
    <row r="3914" spans="15:29" x14ac:dyDescent="0.25">
      <c r="O3914" s="42"/>
      <c r="R3914" s="42"/>
      <c r="AC3914" s="42"/>
    </row>
    <row r="3915" spans="15:29" x14ac:dyDescent="0.25">
      <c r="O3915" s="42"/>
      <c r="R3915" s="42"/>
      <c r="AC3915" s="42"/>
    </row>
    <row r="3916" spans="15:29" x14ac:dyDescent="0.25">
      <c r="O3916" s="42"/>
      <c r="R3916" s="42"/>
      <c r="AC3916" s="42"/>
    </row>
    <row r="3917" spans="15:29" x14ac:dyDescent="0.25">
      <c r="O3917" s="42"/>
      <c r="R3917" s="42"/>
      <c r="AC3917" s="42"/>
    </row>
    <row r="3918" spans="15:29" x14ac:dyDescent="0.25">
      <c r="O3918" s="42"/>
      <c r="R3918" s="42"/>
      <c r="AC3918" s="42"/>
    </row>
    <row r="3919" spans="15:29" x14ac:dyDescent="0.25">
      <c r="O3919" s="42"/>
      <c r="R3919" s="42"/>
      <c r="AC3919" s="42"/>
    </row>
    <row r="3920" spans="15:29" x14ac:dyDescent="0.25">
      <c r="O3920" s="42"/>
      <c r="R3920" s="42"/>
      <c r="AC3920" s="42"/>
    </row>
    <row r="3921" spans="15:29" x14ac:dyDescent="0.25">
      <c r="O3921" s="42"/>
      <c r="R3921" s="42"/>
      <c r="AC3921" s="42"/>
    </row>
    <row r="3922" spans="15:29" x14ac:dyDescent="0.25">
      <c r="O3922" s="42"/>
      <c r="R3922" s="42"/>
      <c r="AC3922" s="42"/>
    </row>
    <row r="3923" spans="15:29" x14ac:dyDescent="0.25">
      <c r="O3923" s="42"/>
      <c r="R3923" s="42"/>
      <c r="AC3923" s="42"/>
    </row>
    <row r="3924" spans="15:29" x14ac:dyDescent="0.25">
      <c r="O3924" s="42"/>
      <c r="R3924" s="42"/>
      <c r="AC3924" s="42"/>
    </row>
    <row r="3925" spans="15:29" x14ac:dyDescent="0.25">
      <c r="O3925" s="42"/>
      <c r="R3925" s="42"/>
      <c r="AC3925" s="42"/>
    </row>
    <row r="3926" spans="15:29" x14ac:dyDescent="0.25">
      <c r="O3926" s="42"/>
      <c r="R3926" s="42"/>
      <c r="AC3926" s="42"/>
    </row>
    <row r="3927" spans="15:29" x14ac:dyDescent="0.25">
      <c r="O3927" s="42"/>
      <c r="R3927" s="42"/>
      <c r="AC3927" s="42"/>
    </row>
    <row r="3928" spans="15:29" x14ac:dyDescent="0.25">
      <c r="O3928" s="42"/>
      <c r="R3928" s="42"/>
      <c r="AC3928" s="42"/>
    </row>
    <row r="3929" spans="15:29" x14ac:dyDescent="0.25">
      <c r="O3929" s="42"/>
      <c r="R3929" s="42"/>
      <c r="AC3929" s="42"/>
    </row>
    <row r="3930" spans="15:29" x14ac:dyDescent="0.25">
      <c r="O3930" s="42"/>
      <c r="R3930" s="42"/>
      <c r="AC3930" s="42"/>
    </row>
    <row r="3931" spans="15:29" x14ac:dyDescent="0.25">
      <c r="O3931" s="42"/>
      <c r="R3931" s="42"/>
      <c r="AC3931" s="42"/>
    </row>
    <row r="3932" spans="15:29" x14ac:dyDescent="0.25">
      <c r="O3932" s="42"/>
      <c r="R3932" s="42"/>
      <c r="AC3932" s="42"/>
    </row>
    <row r="3933" spans="15:29" x14ac:dyDescent="0.25">
      <c r="O3933" s="42"/>
      <c r="R3933" s="42"/>
      <c r="AC3933" s="42"/>
    </row>
    <row r="3934" spans="15:29" x14ac:dyDescent="0.25">
      <c r="O3934" s="42"/>
      <c r="R3934" s="42"/>
      <c r="AC3934" s="42"/>
    </row>
    <row r="3935" spans="15:29" x14ac:dyDescent="0.25">
      <c r="O3935" s="42"/>
      <c r="R3935" s="42"/>
      <c r="AC3935" s="42"/>
    </row>
    <row r="3936" spans="15:29" x14ac:dyDescent="0.25">
      <c r="O3936" s="42"/>
      <c r="R3936" s="42"/>
      <c r="AC3936" s="42"/>
    </row>
    <row r="3937" spans="15:29" x14ac:dyDescent="0.25">
      <c r="O3937" s="42"/>
      <c r="R3937" s="42"/>
      <c r="AC3937" s="42"/>
    </row>
    <row r="3938" spans="15:29" x14ac:dyDescent="0.25">
      <c r="O3938" s="42"/>
      <c r="R3938" s="42"/>
      <c r="AC3938" s="42"/>
    </row>
    <row r="3939" spans="15:29" x14ac:dyDescent="0.25">
      <c r="O3939" s="42"/>
      <c r="R3939" s="42"/>
      <c r="AC3939" s="42"/>
    </row>
    <row r="3940" spans="15:29" x14ac:dyDescent="0.25">
      <c r="O3940" s="42"/>
      <c r="R3940" s="42"/>
      <c r="AC3940" s="42"/>
    </row>
    <row r="3941" spans="15:29" x14ac:dyDescent="0.25">
      <c r="O3941" s="42"/>
      <c r="R3941" s="42"/>
      <c r="AC3941" s="42"/>
    </row>
    <row r="3942" spans="15:29" x14ac:dyDescent="0.25">
      <c r="O3942" s="42"/>
      <c r="R3942" s="42"/>
      <c r="AC3942" s="42"/>
    </row>
    <row r="3943" spans="15:29" x14ac:dyDescent="0.25">
      <c r="O3943" s="42"/>
      <c r="R3943" s="42"/>
      <c r="AC3943" s="42"/>
    </row>
    <row r="3944" spans="15:29" x14ac:dyDescent="0.25">
      <c r="O3944" s="42"/>
      <c r="R3944" s="42"/>
      <c r="AC3944" s="42"/>
    </row>
    <row r="3945" spans="15:29" x14ac:dyDescent="0.25">
      <c r="O3945" s="42"/>
      <c r="R3945" s="42"/>
      <c r="AC3945" s="42"/>
    </row>
    <row r="3946" spans="15:29" x14ac:dyDescent="0.25">
      <c r="O3946" s="42"/>
      <c r="R3946" s="42"/>
      <c r="AC3946" s="42"/>
    </row>
    <row r="3947" spans="15:29" x14ac:dyDescent="0.25">
      <c r="O3947" s="42"/>
      <c r="R3947" s="42"/>
      <c r="AC3947" s="42"/>
    </row>
    <row r="3948" spans="15:29" x14ac:dyDescent="0.25">
      <c r="O3948" s="42"/>
      <c r="R3948" s="42"/>
      <c r="AC3948" s="42"/>
    </row>
    <row r="3949" spans="15:29" x14ac:dyDescent="0.25">
      <c r="O3949" s="42"/>
      <c r="R3949" s="42"/>
      <c r="AC3949" s="42"/>
    </row>
    <row r="3950" spans="15:29" x14ac:dyDescent="0.25">
      <c r="O3950" s="42"/>
      <c r="R3950" s="42"/>
      <c r="AC3950" s="42"/>
    </row>
    <row r="3951" spans="15:29" x14ac:dyDescent="0.25">
      <c r="O3951" s="42"/>
      <c r="R3951" s="42"/>
      <c r="AC3951" s="42"/>
    </row>
    <row r="3952" spans="15:29" x14ac:dyDescent="0.25">
      <c r="O3952" s="42"/>
      <c r="R3952" s="42"/>
      <c r="AC3952" s="42"/>
    </row>
    <row r="3953" spans="15:29" x14ac:dyDescent="0.25">
      <c r="O3953" s="42"/>
      <c r="R3953" s="42"/>
      <c r="AC3953" s="42"/>
    </row>
    <row r="3954" spans="15:29" x14ac:dyDescent="0.25">
      <c r="O3954" s="42"/>
      <c r="R3954" s="42"/>
      <c r="AC3954" s="42"/>
    </row>
    <row r="3955" spans="15:29" x14ac:dyDescent="0.25">
      <c r="O3955" s="42"/>
      <c r="R3955" s="42"/>
      <c r="AC3955" s="42"/>
    </row>
    <row r="3956" spans="15:29" x14ac:dyDescent="0.25">
      <c r="O3956" s="42"/>
      <c r="R3956" s="42"/>
      <c r="AC3956" s="42"/>
    </row>
    <row r="3957" spans="15:29" x14ac:dyDescent="0.25">
      <c r="O3957" s="42"/>
      <c r="R3957" s="42"/>
      <c r="AC3957" s="42"/>
    </row>
    <row r="3958" spans="15:29" x14ac:dyDescent="0.25">
      <c r="O3958" s="42"/>
      <c r="R3958" s="42"/>
      <c r="AC3958" s="42"/>
    </row>
    <row r="3959" spans="15:29" x14ac:dyDescent="0.25">
      <c r="O3959" s="42"/>
      <c r="R3959" s="42"/>
      <c r="AC3959" s="42"/>
    </row>
    <row r="3960" spans="15:29" x14ac:dyDescent="0.25">
      <c r="O3960" s="42"/>
      <c r="R3960" s="42"/>
      <c r="AC3960" s="42"/>
    </row>
    <row r="3961" spans="15:29" x14ac:dyDescent="0.25">
      <c r="O3961" s="42"/>
      <c r="R3961" s="42"/>
      <c r="AC3961" s="42"/>
    </row>
    <row r="3962" spans="15:29" x14ac:dyDescent="0.25">
      <c r="O3962" s="42"/>
      <c r="R3962" s="42"/>
      <c r="AC3962" s="42"/>
    </row>
    <row r="3963" spans="15:29" x14ac:dyDescent="0.25">
      <c r="O3963" s="42"/>
      <c r="R3963" s="42"/>
      <c r="AC3963" s="42"/>
    </row>
    <row r="3964" spans="15:29" x14ac:dyDescent="0.25">
      <c r="O3964" s="42"/>
      <c r="R3964" s="42"/>
      <c r="AC3964" s="42"/>
    </row>
    <row r="3965" spans="15:29" x14ac:dyDescent="0.25">
      <c r="O3965" s="42"/>
      <c r="R3965" s="42"/>
      <c r="AC3965" s="42"/>
    </row>
    <row r="3966" spans="15:29" x14ac:dyDescent="0.25">
      <c r="O3966" s="42"/>
      <c r="R3966" s="42"/>
      <c r="AC3966" s="42"/>
    </row>
    <row r="3967" spans="15:29" x14ac:dyDescent="0.25">
      <c r="O3967" s="42"/>
      <c r="R3967" s="42"/>
      <c r="AC3967" s="42"/>
    </row>
    <row r="3968" spans="15:29" x14ac:dyDescent="0.25">
      <c r="O3968" s="42"/>
      <c r="R3968" s="42"/>
      <c r="AC3968" s="42"/>
    </row>
    <row r="3969" spans="15:29" x14ac:dyDescent="0.25">
      <c r="O3969" s="42"/>
      <c r="R3969" s="42"/>
      <c r="AC3969" s="42"/>
    </row>
    <row r="3970" spans="15:29" x14ac:dyDescent="0.25">
      <c r="O3970" s="42"/>
      <c r="R3970" s="42"/>
      <c r="AC3970" s="42"/>
    </row>
    <row r="3971" spans="15:29" x14ac:dyDescent="0.25">
      <c r="O3971" s="42"/>
      <c r="R3971" s="42"/>
      <c r="AC3971" s="42"/>
    </row>
    <row r="3972" spans="15:29" x14ac:dyDescent="0.25">
      <c r="O3972" s="42"/>
      <c r="R3972" s="42"/>
      <c r="AC3972" s="42"/>
    </row>
    <row r="3973" spans="15:29" x14ac:dyDescent="0.25">
      <c r="O3973" s="42"/>
      <c r="R3973" s="42"/>
      <c r="AC3973" s="42"/>
    </row>
    <row r="3974" spans="15:29" x14ac:dyDescent="0.25">
      <c r="O3974" s="42"/>
      <c r="R3974" s="42"/>
      <c r="AC3974" s="42"/>
    </row>
    <row r="3975" spans="15:29" x14ac:dyDescent="0.25">
      <c r="O3975" s="42"/>
      <c r="R3975" s="42"/>
      <c r="AC3975" s="42"/>
    </row>
    <row r="3976" spans="15:29" x14ac:dyDescent="0.25">
      <c r="O3976" s="42"/>
      <c r="R3976" s="42"/>
      <c r="AC3976" s="42"/>
    </row>
    <row r="3977" spans="15:29" x14ac:dyDescent="0.25">
      <c r="O3977" s="42"/>
      <c r="R3977" s="42"/>
      <c r="AC3977" s="42"/>
    </row>
    <row r="3978" spans="15:29" x14ac:dyDescent="0.25">
      <c r="O3978" s="42"/>
      <c r="R3978" s="42"/>
      <c r="AC3978" s="42"/>
    </row>
    <row r="3979" spans="15:29" x14ac:dyDescent="0.25">
      <c r="O3979" s="42"/>
      <c r="R3979" s="42"/>
      <c r="AC3979" s="42"/>
    </row>
    <row r="3980" spans="15:29" x14ac:dyDescent="0.25">
      <c r="O3980" s="42"/>
      <c r="R3980" s="42"/>
      <c r="AC3980" s="42"/>
    </row>
    <row r="3981" spans="15:29" x14ac:dyDescent="0.25">
      <c r="O3981" s="42"/>
      <c r="R3981" s="42"/>
      <c r="AC3981" s="42"/>
    </row>
    <row r="3982" spans="15:29" x14ac:dyDescent="0.25">
      <c r="O3982" s="42"/>
      <c r="R3982" s="42"/>
      <c r="AC3982" s="42"/>
    </row>
    <row r="3983" spans="15:29" x14ac:dyDescent="0.25">
      <c r="O3983" s="42"/>
      <c r="R3983" s="42"/>
      <c r="AC3983" s="42"/>
    </row>
    <row r="3984" spans="15:29" x14ac:dyDescent="0.25">
      <c r="O3984" s="42"/>
      <c r="R3984" s="42"/>
      <c r="AC3984" s="42"/>
    </row>
    <row r="3985" spans="15:29" x14ac:dyDescent="0.25">
      <c r="O3985" s="42"/>
      <c r="R3985" s="42"/>
      <c r="AC3985" s="42"/>
    </row>
    <row r="3986" spans="15:29" x14ac:dyDescent="0.25">
      <c r="O3986" s="42"/>
      <c r="R3986" s="42"/>
      <c r="AC3986" s="42"/>
    </row>
    <row r="3987" spans="15:29" x14ac:dyDescent="0.25">
      <c r="O3987" s="42"/>
      <c r="R3987" s="42"/>
      <c r="AC3987" s="42"/>
    </row>
    <row r="3988" spans="15:29" x14ac:dyDescent="0.25">
      <c r="O3988" s="42"/>
      <c r="R3988" s="42"/>
      <c r="AC3988" s="42"/>
    </row>
    <row r="3989" spans="15:29" x14ac:dyDescent="0.25">
      <c r="O3989" s="42"/>
      <c r="R3989" s="42"/>
      <c r="AC3989" s="42"/>
    </row>
    <row r="3990" spans="15:29" x14ac:dyDescent="0.25">
      <c r="O3990" s="42"/>
      <c r="R3990" s="42"/>
      <c r="AC3990" s="42"/>
    </row>
    <row r="3991" spans="15:29" x14ac:dyDescent="0.25">
      <c r="O3991" s="42"/>
      <c r="R3991" s="42"/>
      <c r="AC3991" s="42"/>
    </row>
    <row r="3992" spans="15:29" x14ac:dyDescent="0.25">
      <c r="O3992" s="42"/>
      <c r="R3992" s="42"/>
      <c r="AC3992" s="42"/>
    </row>
    <row r="3993" spans="15:29" x14ac:dyDescent="0.25">
      <c r="O3993" s="42"/>
      <c r="R3993" s="42"/>
      <c r="AC3993" s="42"/>
    </row>
    <row r="3994" spans="15:29" x14ac:dyDescent="0.25">
      <c r="O3994" s="42"/>
      <c r="R3994" s="42"/>
      <c r="AC3994" s="42"/>
    </row>
    <row r="3995" spans="15:29" x14ac:dyDescent="0.25">
      <c r="O3995" s="42"/>
      <c r="R3995" s="42"/>
      <c r="AC3995" s="42"/>
    </row>
    <row r="3996" spans="15:29" x14ac:dyDescent="0.25">
      <c r="O3996" s="42"/>
      <c r="R3996" s="42"/>
      <c r="AC3996" s="42"/>
    </row>
    <row r="3997" spans="15:29" x14ac:dyDescent="0.25">
      <c r="O3997" s="42"/>
      <c r="R3997" s="42"/>
      <c r="AC3997" s="42"/>
    </row>
    <row r="3998" spans="15:29" x14ac:dyDescent="0.25">
      <c r="O3998" s="42"/>
      <c r="R3998" s="42"/>
      <c r="AC3998" s="42"/>
    </row>
    <row r="3999" spans="15:29" x14ac:dyDescent="0.25">
      <c r="O3999" s="42"/>
      <c r="R3999" s="42"/>
      <c r="AC3999" s="42"/>
    </row>
    <row r="4000" spans="15:29" x14ac:dyDescent="0.25">
      <c r="O4000" s="42"/>
      <c r="R4000" s="42"/>
      <c r="AC4000" s="42"/>
    </row>
    <row r="4001" spans="15:29" x14ac:dyDescent="0.25">
      <c r="O4001" s="42"/>
      <c r="R4001" s="42"/>
      <c r="AC4001" s="42"/>
    </row>
    <row r="4002" spans="15:29" x14ac:dyDescent="0.25">
      <c r="O4002" s="42"/>
      <c r="R4002" s="42"/>
      <c r="AC4002" s="42"/>
    </row>
    <row r="4003" spans="15:29" x14ac:dyDescent="0.25">
      <c r="O4003" s="42"/>
      <c r="R4003" s="42"/>
      <c r="AC4003" s="42"/>
    </row>
    <row r="4004" spans="15:29" x14ac:dyDescent="0.25">
      <c r="O4004" s="42"/>
      <c r="R4004" s="42"/>
      <c r="AC4004" s="42"/>
    </row>
    <row r="4005" spans="15:29" x14ac:dyDescent="0.25">
      <c r="O4005" s="42"/>
      <c r="R4005" s="42"/>
      <c r="AC4005" s="42"/>
    </row>
    <row r="4006" spans="15:29" x14ac:dyDescent="0.25">
      <c r="O4006" s="42"/>
      <c r="R4006" s="42"/>
      <c r="AC4006" s="42"/>
    </row>
    <row r="4007" spans="15:29" x14ac:dyDescent="0.25">
      <c r="O4007" s="42"/>
      <c r="R4007" s="42"/>
      <c r="AC4007" s="42"/>
    </row>
    <row r="4008" spans="15:29" x14ac:dyDescent="0.25">
      <c r="O4008" s="42"/>
      <c r="R4008" s="42"/>
      <c r="AC4008" s="42"/>
    </row>
    <row r="4009" spans="15:29" x14ac:dyDescent="0.25">
      <c r="O4009" s="42"/>
      <c r="R4009" s="42"/>
      <c r="AC4009" s="42"/>
    </row>
    <row r="4010" spans="15:29" x14ac:dyDescent="0.25">
      <c r="O4010" s="42"/>
      <c r="R4010" s="42"/>
      <c r="AC4010" s="42"/>
    </row>
    <row r="4011" spans="15:29" x14ac:dyDescent="0.25">
      <c r="O4011" s="42"/>
      <c r="R4011" s="42"/>
      <c r="AC4011" s="42"/>
    </row>
    <row r="4012" spans="15:29" x14ac:dyDescent="0.25">
      <c r="O4012" s="42"/>
      <c r="R4012" s="42"/>
      <c r="AC4012" s="42"/>
    </row>
    <row r="4013" spans="15:29" x14ac:dyDescent="0.25">
      <c r="O4013" s="42"/>
      <c r="R4013" s="42"/>
      <c r="AC4013" s="42"/>
    </row>
    <row r="4014" spans="15:29" x14ac:dyDescent="0.25">
      <c r="O4014" s="42"/>
      <c r="R4014" s="42"/>
      <c r="AC4014" s="42"/>
    </row>
    <row r="4015" spans="15:29" x14ac:dyDescent="0.25">
      <c r="O4015" s="42"/>
      <c r="R4015" s="42"/>
      <c r="AC4015" s="42"/>
    </row>
    <row r="4016" spans="15:29" x14ac:dyDescent="0.25">
      <c r="O4016" s="42"/>
      <c r="R4016" s="42"/>
      <c r="AC4016" s="42"/>
    </row>
    <row r="4017" spans="15:29" x14ac:dyDescent="0.25">
      <c r="O4017" s="42"/>
      <c r="R4017" s="42"/>
      <c r="AC4017" s="42"/>
    </row>
    <row r="4018" spans="15:29" x14ac:dyDescent="0.25">
      <c r="O4018" s="42"/>
      <c r="R4018" s="42"/>
      <c r="AC4018" s="42"/>
    </row>
    <row r="4019" spans="15:29" x14ac:dyDescent="0.25">
      <c r="O4019" s="42"/>
      <c r="R4019" s="42"/>
      <c r="AC4019" s="42"/>
    </row>
    <row r="4020" spans="15:29" x14ac:dyDescent="0.25">
      <c r="O4020" s="42"/>
      <c r="R4020" s="42"/>
      <c r="AC4020" s="42"/>
    </row>
    <row r="4021" spans="15:29" x14ac:dyDescent="0.25">
      <c r="O4021" s="42"/>
      <c r="R4021" s="42"/>
      <c r="AC4021" s="42"/>
    </row>
    <row r="4022" spans="15:29" x14ac:dyDescent="0.25">
      <c r="O4022" s="42"/>
      <c r="R4022" s="42"/>
      <c r="AC4022" s="42"/>
    </row>
    <row r="4023" spans="15:29" x14ac:dyDescent="0.25">
      <c r="O4023" s="42"/>
      <c r="R4023" s="42"/>
      <c r="AC4023" s="42"/>
    </row>
    <row r="4024" spans="15:29" x14ac:dyDescent="0.25">
      <c r="O4024" s="42"/>
      <c r="R4024" s="42"/>
      <c r="AC4024" s="42"/>
    </row>
    <row r="4025" spans="15:29" x14ac:dyDescent="0.25">
      <c r="O4025" s="42"/>
      <c r="R4025" s="42"/>
      <c r="AC4025" s="42"/>
    </row>
    <row r="4026" spans="15:29" x14ac:dyDescent="0.25">
      <c r="O4026" s="42"/>
      <c r="R4026" s="42"/>
      <c r="AC4026" s="42"/>
    </row>
    <row r="4027" spans="15:29" x14ac:dyDescent="0.25">
      <c r="O4027" s="42"/>
      <c r="R4027" s="42"/>
      <c r="AC4027" s="42"/>
    </row>
    <row r="4028" spans="15:29" x14ac:dyDescent="0.25">
      <c r="O4028" s="42"/>
      <c r="R4028" s="42"/>
      <c r="AC4028" s="42"/>
    </row>
    <row r="4029" spans="15:29" x14ac:dyDescent="0.25">
      <c r="O4029" s="42"/>
      <c r="R4029" s="42"/>
      <c r="AC4029" s="42"/>
    </row>
    <row r="4030" spans="15:29" x14ac:dyDescent="0.25">
      <c r="O4030" s="42"/>
      <c r="R4030" s="42"/>
      <c r="AC4030" s="42"/>
    </row>
    <row r="4031" spans="15:29" x14ac:dyDescent="0.25">
      <c r="O4031" s="42"/>
      <c r="R4031" s="42"/>
      <c r="AC4031" s="42"/>
    </row>
    <row r="4032" spans="15:29" x14ac:dyDescent="0.25">
      <c r="O4032" s="42"/>
      <c r="R4032" s="42"/>
      <c r="AC4032" s="42"/>
    </row>
    <row r="4033" spans="15:29" x14ac:dyDescent="0.25">
      <c r="O4033" s="42"/>
      <c r="R4033" s="42"/>
      <c r="AC4033" s="42"/>
    </row>
    <row r="4034" spans="15:29" x14ac:dyDescent="0.25">
      <c r="O4034" s="42"/>
      <c r="R4034" s="42"/>
      <c r="AC4034" s="42"/>
    </row>
    <row r="4035" spans="15:29" x14ac:dyDescent="0.25">
      <c r="O4035" s="42"/>
      <c r="R4035" s="42"/>
      <c r="AC4035" s="42"/>
    </row>
    <row r="4036" spans="15:29" x14ac:dyDescent="0.25">
      <c r="O4036" s="42"/>
      <c r="R4036" s="42"/>
      <c r="AC4036" s="42"/>
    </row>
    <row r="4037" spans="15:29" x14ac:dyDescent="0.25">
      <c r="O4037" s="42"/>
      <c r="R4037" s="42"/>
      <c r="AC4037" s="42"/>
    </row>
    <row r="4038" spans="15:29" x14ac:dyDescent="0.25">
      <c r="O4038" s="42"/>
      <c r="R4038" s="42"/>
      <c r="AC4038" s="42"/>
    </row>
    <row r="4039" spans="15:29" x14ac:dyDescent="0.25">
      <c r="O4039" s="42"/>
      <c r="R4039" s="42"/>
      <c r="AC4039" s="42"/>
    </row>
    <row r="4040" spans="15:29" x14ac:dyDescent="0.25">
      <c r="O4040" s="42"/>
      <c r="R4040" s="42"/>
      <c r="AC4040" s="42"/>
    </row>
    <row r="4041" spans="15:29" x14ac:dyDescent="0.25">
      <c r="O4041" s="42"/>
      <c r="R4041" s="42"/>
      <c r="AC4041" s="42"/>
    </row>
    <row r="4042" spans="15:29" x14ac:dyDescent="0.25">
      <c r="O4042" s="42"/>
      <c r="R4042" s="42"/>
      <c r="AC4042" s="42"/>
    </row>
    <row r="4043" spans="15:29" x14ac:dyDescent="0.25">
      <c r="O4043" s="42"/>
      <c r="R4043" s="42"/>
      <c r="AC4043" s="42"/>
    </row>
    <row r="4044" spans="15:29" x14ac:dyDescent="0.25">
      <c r="O4044" s="42"/>
      <c r="R4044" s="42"/>
      <c r="AC4044" s="42"/>
    </row>
    <row r="4045" spans="15:29" x14ac:dyDescent="0.25">
      <c r="O4045" s="42"/>
      <c r="R4045" s="42"/>
      <c r="AC4045" s="42"/>
    </row>
    <row r="4046" spans="15:29" x14ac:dyDescent="0.25">
      <c r="O4046" s="42"/>
      <c r="R4046" s="42"/>
      <c r="AC4046" s="42"/>
    </row>
    <row r="4047" spans="15:29" x14ac:dyDescent="0.25">
      <c r="O4047" s="42"/>
      <c r="R4047" s="42"/>
      <c r="AC4047" s="42"/>
    </row>
    <row r="4048" spans="15:29" x14ac:dyDescent="0.25">
      <c r="O4048" s="42"/>
      <c r="R4048" s="42"/>
      <c r="AC4048" s="42"/>
    </row>
    <row r="4049" spans="15:29" x14ac:dyDescent="0.25">
      <c r="O4049" s="42"/>
      <c r="R4049" s="42"/>
      <c r="AC4049" s="42"/>
    </row>
    <row r="4050" spans="15:29" x14ac:dyDescent="0.25">
      <c r="O4050" s="42"/>
      <c r="R4050" s="42"/>
      <c r="AC4050" s="42"/>
    </row>
    <row r="4051" spans="15:29" x14ac:dyDescent="0.25">
      <c r="O4051" s="42"/>
      <c r="R4051" s="42"/>
      <c r="AC4051" s="42"/>
    </row>
    <row r="4052" spans="15:29" x14ac:dyDescent="0.25">
      <c r="O4052" s="42"/>
      <c r="R4052" s="42"/>
      <c r="AC4052" s="42"/>
    </row>
    <row r="4053" spans="15:29" x14ac:dyDescent="0.25">
      <c r="O4053" s="42"/>
      <c r="R4053" s="42"/>
      <c r="AC4053" s="42"/>
    </row>
    <row r="4054" spans="15:29" x14ac:dyDescent="0.25">
      <c r="O4054" s="42"/>
      <c r="R4054" s="42"/>
      <c r="AC4054" s="42"/>
    </row>
    <row r="4055" spans="15:29" x14ac:dyDescent="0.25">
      <c r="O4055" s="42"/>
      <c r="R4055" s="42"/>
      <c r="AC4055" s="42"/>
    </row>
    <row r="4056" spans="15:29" x14ac:dyDescent="0.25">
      <c r="O4056" s="42"/>
      <c r="R4056" s="42"/>
      <c r="AC4056" s="42"/>
    </row>
    <row r="4057" spans="15:29" x14ac:dyDescent="0.25">
      <c r="O4057" s="42"/>
      <c r="R4057" s="42"/>
      <c r="AC4057" s="42"/>
    </row>
    <row r="4058" spans="15:29" x14ac:dyDescent="0.25">
      <c r="O4058" s="42"/>
      <c r="R4058" s="42"/>
      <c r="AC4058" s="42"/>
    </row>
    <row r="4059" spans="15:29" x14ac:dyDescent="0.25">
      <c r="O4059" s="42"/>
      <c r="R4059" s="42"/>
      <c r="AC4059" s="42"/>
    </row>
    <row r="4060" spans="15:29" x14ac:dyDescent="0.25">
      <c r="O4060" s="42"/>
      <c r="R4060" s="42"/>
      <c r="AC4060" s="42"/>
    </row>
    <row r="4061" spans="15:29" x14ac:dyDescent="0.25">
      <c r="O4061" s="42"/>
      <c r="R4061" s="42"/>
      <c r="AC4061" s="42"/>
    </row>
    <row r="4062" spans="15:29" x14ac:dyDescent="0.25">
      <c r="O4062" s="42"/>
      <c r="R4062" s="42"/>
      <c r="AC4062" s="42"/>
    </row>
    <row r="4063" spans="15:29" x14ac:dyDescent="0.25">
      <c r="O4063" s="42"/>
      <c r="R4063" s="42"/>
      <c r="AC4063" s="42"/>
    </row>
    <row r="4064" spans="15:29" x14ac:dyDescent="0.25">
      <c r="O4064" s="42"/>
      <c r="R4064" s="42"/>
      <c r="AC4064" s="42"/>
    </row>
    <row r="4065" spans="15:29" x14ac:dyDescent="0.25">
      <c r="O4065" s="42"/>
      <c r="R4065" s="42"/>
      <c r="AC4065" s="42"/>
    </row>
    <row r="4066" spans="15:29" x14ac:dyDescent="0.25">
      <c r="O4066" s="42"/>
      <c r="R4066" s="42"/>
      <c r="AC4066" s="42"/>
    </row>
    <row r="4067" spans="15:29" x14ac:dyDescent="0.25">
      <c r="O4067" s="42"/>
      <c r="R4067" s="42"/>
      <c r="AC4067" s="42"/>
    </row>
    <row r="4068" spans="15:29" x14ac:dyDescent="0.25">
      <c r="O4068" s="42"/>
      <c r="R4068" s="42"/>
      <c r="AC4068" s="42"/>
    </row>
    <row r="4069" spans="15:29" x14ac:dyDescent="0.25">
      <c r="O4069" s="42"/>
      <c r="R4069" s="42"/>
      <c r="AC4069" s="42"/>
    </row>
    <row r="4070" spans="15:29" x14ac:dyDescent="0.25">
      <c r="O4070" s="42"/>
      <c r="R4070" s="42"/>
      <c r="AC4070" s="42"/>
    </row>
    <row r="4071" spans="15:29" x14ac:dyDescent="0.25">
      <c r="O4071" s="42"/>
      <c r="R4071" s="42"/>
      <c r="AC4071" s="42"/>
    </row>
    <row r="4072" spans="15:29" x14ac:dyDescent="0.25">
      <c r="O4072" s="42"/>
      <c r="R4072" s="42"/>
      <c r="AC4072" s="42"/>
    </row>
    <row r="4073" spans="15:29" x14ac:dyDescent="0.25">
      <c r="O4073" s="42"/>
      <c r="R4073" s="42"/>
      <c r="AC4073" s="42"/>
    </row>
    <row r="4074" spans="15:29" x14ac:dyDescent="0.25">
      <c r="O4074" s="42"/>
      <c r="R4074" s="42"/>
      <c r="AC4074" s="42"/>
    </row>
    <row r="4075" spans="15:29" x14ac:dyDescent="0.25">
      <c r="O4075" s="42"/>
      <c r="R4075" s="42"/>
      <c r="AC4075" s="42"/>
    </row>
    <row r="4076" spans="15:29" x14ac:dyDescent="0.25">
      <c r="O4076" s="42"/>
      <c r="R4076" s="42"/>
      <c r="AC4076" s="42"/>
    </row>
    <row r="4077" spans="15:29" x14ac:dyDescent="0.25">
      <c r="O4077" s="42"/>
      <c r="R4077" s="42"/>
      <c r="AC4077" s="42"/>
    </row>
    <row r="4078" spans="15:29" x14ac:dyDescent="0.25">
      <c r="O4078" s="42"/>
      <c r="R4078" s="42"/>
      <c r="AC4078" s="42"/>
    </row>
    <row r="4079" spans="15:29" x14ac:dyDescent="0.25">
      <c r="O4079" s="42"/>
      <c r="R4079" s="42"/>
      <c r="AC4079" s="42"/>
    </row>
    <row r="4080" spans="15:29" x14ac:dyDescent="0.25">
      <c r="O4080" s="42"/>
      <c r="R4080" s="42"/>
      <c r="AC4080" s="42"/>
    </row>
    <row r="4081" spans="15:29" x14ac:dyDescent="0.25">
      <c r="O4081" s="42"/>
      <c r="R4081" s="42"/>
      <c r="AC4081" s="42"/>
    </row>
    <row r="4082" spans="15:29" x14ac:dyDescent="0.25">
      <c r="O4082" s="42"/>
      <c r="R4082" s="42"/>
      <c r="AC4082" s="42"/>
    </row>
    <row r="4083" spans="15:29" x14ac:dyDescent="0.25">
      <c r="O4083" s="42"/>
      <c r="R4083" s="42"/>
      <c r="AC4083" s="42"/>
    </row>
    <row r="4084" spans="15:29" x14ac:dyDescent="0.25">
      <c r="O4084" s="42"/>
      <c r="R4084" s="42"/>
      <c r="AC4084" s="42"/>
    </row>
    <row r="4085" spans="15:29" x14ac:dyDescent="0.25">
      <c r="O4085" s="42"/>
      <c r="R4085" s="42"/>
      <c r="AC4085" s="42"/>
    </row>
    <row r="4086" spans="15:29" x14ac:dyDescent="0.25">
      <c r="O4086" s="42"/>
      <c r="R4086" s="42"/>
      <c r="AC4086" s="42"/>
    </row>
    <row r="4087" spans="15:29" x14ac:dyDescent="0.25">
      <c r="O4087" s="42"/>
      <c r="R4087" s="42"/>
      <c r="AC4087" s="42"/>
    </row>
    <row r="4088" spans="15:29" x14ac:dyDescent="0.25">
      <c r="O4088" s="42"/>
      <c r="R4088" s="42"/>
      <c r="AC4088" s="42"/>
    </row>
    <row r="4089" spans="15:29" x14ac:dyDescent="0.25">
      <c r="O4089" s="42"/>
      <c r="R4089" s="42"/>
      <c r="AC4089" s="42"/>
    </row>
    <row r="4090" spans="15:29" x14ac:dyDescent="0.25">
      <c r="O4090" s="42"/>
      <c r="R4090" s="42"/>
      <c r="AC4090" s="42"/>
    </row>
    <row r="4091" spans="15:29" x14ac:dyDescent="0.25">
      <c r="O4091" s="42"/>
      <c r="R4091" s="42"/>
      <c r="AC4091" s="42"/>
    </row>
    <row r="4092" spans="15:29" x14ac:dyDescent="0.25">
      <c r="O4092" s="42"/>
      <c r="R4092" s="42"/>
      <c r="AC4092" s="42"/>
    </row>
    <row r="4093" spans="15:29" x14ac:dyDescent="0.25">
      <c r="O4093" s="42"/>
      <c r="R4093" s="42"/>
      <c r="AC4093" s="42"/>
    </row>
    <row r="4094" spans="15:29" x14ac:dyDescent="0.25">
      <c r="O4094" s="42"/>
      <c r="R4094" s="42"/>
      <c r="AC4094" s="42"/>
    </row>
    <row r="4095" spans="15:29" x14ac:dyDescent="0.25">
      <c r="O4095" s="42"/>
      <c r="R4095" s="42"/>
      <c r="AC4095" s="42"/>
    </row>
    <row r="4096" spans="15:29" x14ac:dyDescent="0.25">
      <c r="O4096" s="42"/>
      <c r="R4096" s="42"/>
      <c r="AC4096" s="42"/>
    </row>
    <row r="4097" spans="15:29" x14ac:dyDescent="0.25">
      <c r="O4097" s="42"/>
      <c r="R4097" s="42"/>
      <c r="AC4097" s="42"/>
    </row>
    <row r="4098" spans="15:29" x14ac:dyDescent="0.25">
      <c r="O4098" s="42"/>
      <c r="R4098" s="42"/>
      <c r="AC4098" s="42"/>
    </row>
    <row r="4099" spans="15:29" x14ac:dyDescent="0.25">
      <c r="O4099" s="42"/>
      <c r="R4099" s="42"/>
      <c r="AC4099" s="42"/>
    </row>
    <row r="4100" spans="15:29" x14ac:dyDescent="0.25">
      <c r="O4100" s="42"/>
      <c r="R4100" s="42"/>
      <c r="AC4100" s="42"/>
    </row>
    <row r="4101" spans="15:29" x14ac:dyDescent="0.25">
      <c r="O4101" s="42"/>
      <c r="R4101" s="42"/>
      <c r="AC4101" s="42"/>
    </row>
    <row r="4102" spans="15:29" x14ac:dyDescent="0.25">
      <c r="O4102" s="42"/>
      <c r="R4102" s="42"/>
      <c r="AC4102" s="42"/>
    </row>
    <row r="4103" spans="15:29" x14ac:dyDescent="0.25">
      <c r="O4103" s="42"/>
      <c r="R4103" s="42"/>
      <c r="AC4103" s="42"/>
    </row>
    <row r="4104" spans="15:29" x14ac:dyDescent="0.25">
      <c r="O4104" s="42"/>
      <c r="R4104" s="42"/>
      <c r="AC4104" s="42"/>
    </row>
    <row r="4105" spans="15:29" x14ac:dyDescent="0.25">
      <c r="O4105" s="42"/>
      <c r="R4105" s="42"/>
      <c r="AC4105" s="42"/>
    </row>
    <row r="4106" spans="15:29" x14ac:dyDescent="0.25">
      <c r="O4106" s="42"/>
      <c r="R4106" s="42"/>
      <c r="AC4106" s="42"/>
    </row>
    <row r="4107" spans="15:29" x14ac:dyDescent="0.25">
      <c r="O4107" s="42"/>
      <c r="R4107" s="42"/>
      <c r="AC4107" s="42"/>
    </row>
    <row r="4108" spans="15:29" x14ac:dyDescent="0.25">
      <c r="O4108" s="42"/>
      <c r="R4108" s="42"/>
      <c r="AC4108" s="42"/>
    </row>
    <row r="4109" spans="15:29" x14ac:dyDescent="0.25">
      <c r="O4109" s="42"/>
      <c r="R4109" s="42"/>
      <c r="AC4109" s="42"/>
    </row>
    <row r="4110" spans="15:29" x14ac:dyDescent="0.25">
      <c r="O4110" s="42"/>
      <c r="R4110" s="42"/>
      <c r="AC4110" s="42"/>
    </row>
    <row r="4111" spans="15:29" x14ac:dyDescent="0.25">
      <c r="O4111" s="42"/>
      <c r="R4111" s="42"/>
      <c r="AC4111" s="42"/>
    </row>
    <row r="4112" spans="15:29" x14ac:dyDescent="0.25">
      <c r="O4112" s="42"/>
      <c r="R4112" s="42"/>
      <c r="AC4112" s="42"/>
    </row>
    <row r="4113" spans="15:29" x14ac:dyDescent="0.25">
      <c r="O4113" s="42"/>
      <c r="R4113" s="42"/>
      <c r="AC4113" s="42"/>
    </row>
    <row r="4114" spans="15:29" x14ac:dyDescent="0.25">
      <c r="O4114" s="42"/>
      <c r="R4114" s="42"/>
      <c r="AC4114" s="42"/>
    </row>
    <row r="4115" spans="15:29" x14ac:dyDescent="0.25">
      <c r="O4115" s="42"/>
      <c r="R4115" s="42"/>
      <c r="AC4115" s="42"/>
    </row>
    <row r="4116" spans="15:29" x14ac:dyDescent="0.25">
      <c r="O4116" s="42"/>
      <c r="R4116" s="42"/>
      <c r="AC4116" s="42"/>
    </row>
    <row r="4117" spans="15:29" x14ac:dyDescent="0.25">
      <c r="O4117" s="42"/>
      <c r="R4117" s="42"/>
      <c r="AC4117" s="42"/>
    </row>
    <row r="4118" spans="15:29" x14ac:dyDescent="0.25">
      <c r="O4118" s="42"/>
      <c r="R4118" s="42"/>
      <c r="AC4118" s="42"/>
    </row>
    <row r="4119" spans="15:29" x14ac:dyDescent="0.25">
      <c r="O4119" s="42"/>
      <c r="R4119" s="42"/>
      <c r="AC4119" s="42"/>
    </row>
    <row r="4120" spans="15:29" x14ac:dyDescent="0.25">
      <c r="O4120" s="42"/>
      <c r="R4120" s="42"/>
      <c r="AC4120" s="42"/>
    </row>
    <row r="4121" spans="15:29" x14ac:dyDescent="0.25">
      <c r="O4121" s="42"/>
      <c r="R4121" s="42"/>
      <c r="AC4121" s="42"/>
    </row>
    <row r="4122" spans="15:29" x14ac:dyDescent="0.25">
      <c r="O4122" s="42"/>
      <c r="R4122" s="42"/>
      <c r="AC4122" s="42"/>
    </row>
    <row r="4123" spans="15:29" x14ac:dyDescent="0.25">
      <c r="O4123" s="42"/>
      <c r="R4123" s="42"/>
      <c r="AC4123" s="42"/>
    </row>
    <row r="4124" spans="15:29" x14ac:dyDescent="0.25">
      <c r="O4124" s="42"/>
      <c r="R4124" s="42"/>
      <c r="AC4124" s="42"/>
    </row>
    <row r="4125" spans="15:29" x14ac:dyDescent="0.25">
      <c r="O4125" s="42"/>
      <c r="R4125" s="42"/>
      <c r="AC4125" s="42"/>
    </row>
    <row r="4126" spans="15:29" x14ac:dyDescent="0.25">
      <c r="O4126" s="42"/>
      <c r="R4126" s="42"/>
      <c r="AC4126" s="42"/>
    </row>
    <row r="4127" spans="15:29" x14ac:dyDescent="0.25">
      <c r="O4127" s="42"/>
      <c r="R4127" s="42"/>
      <c r="AC4127" s="42"/>
    </row>
    <row r="4128" spans="15:29" x14ac:dyDescent="0.25">
      <c r="O4128" s="42"/>
      <c r="R4128" s="42"/>
      <c r="AC4128" s="42"/>
    </row>
    <row r="4129" spans="15:29" x14ac:dyDescent="0.25">
      <c r="O4129" s="42"/>
      <c r="R4129" s="42"/>
      <c r="AC4129" s="42"/>
    </row>
    <row r="4130" spans="15:29" x14ac:dyDescent="0.25">
      <c r="O4130" s="42"/>
      <c r="R4130" s="42"/>
      <c r="AC4130" s="42"/>
    </row>
    <row r="4131" spans="15:29" x14ac:dyDescent="0.25">
      <c r="O4131" s="42"/>
      <c r="R4131" s="42"/>
      <c r="AC4131" s="42"/>
    </row>
    <row r="4132" spans="15:29" x14ac:dyDescent="0.25">
      <c r="O4132" s="42"/>
      <c r="R4132" s="42"/>
      <c r="AC4132" s="42"/>
    </row>
    <row r="4133" spans="15:29" x14ac:dyDescent="0.25">
      <c r="O4133" s="42"/>
      <c r="R4133" s="42"/>
      <c r="AC4133" s="42"/>
    </row>
    <row r="4134" spans="15:29" x14ac:dyDescent="0.25">
      <c r="O4134" s="42"/>
      <c r="R4134" s="42"/>
      <c r="AC4134" s="42"/>
    </row>
    <row r="4135" spans="15:29" x14ac:dyDescent="0.25">
      <c r="O4135" s="42"/>
      <c r="R4135" s="42"/>
      <c r="AC4135" s="42"/>
    </row>
    <row r="4136" spans="15:29" x14ac:dyDescent="0.25">
      <c r="O4136" s="42"/>
      <c r="R4136" s="42"/>
      <c r="AC4136" s="42"/>
    </row>
    <row r="4137" spans="15:29" x14ac:dyDescent="0.25">
      <c r="O4137" s="42"/>
      <c r="R4137" s="42"/>
      <c r="AC4137" s="42"/>
    </row>
    <row r="4138" spans="15:29" x14ac:dyDescent="0.25">
      <c r="O4138" s="42"/>
      <c r="R4138" s="42"/>
      <c r="AC4138" s="42"/>
    </row>
    <row r="4139" spans="15:29" x14ac:dyDescent="0.25">
      <c r="O4139" s="42"/>
      <c r="R4139" s="42"/>
      <c r="AC4139" s="42"/>
    </row>
    <row r="4140" spans="15:29" x14ac:dyDescent="0.25">
      <c r="O4140" s="42"/>
      <c r="R4140" s="42"/>
      <c r="AC4140" s="42"/>
    </row>
    <row r="4141" spans="15:29" x14ac:dyDescent="0.25">
      <c r="O4141" s="42"/>
      <c r="R4141" s="42"/>
      <c r="AC4141" s="42"/>
    </row>
    <row r="4142" spans="15:29" x14ac:dyDescent="0.25">
      <c r="O4142" s="42"/>
      <c r="R4142" s="42"/>
      <c r="AC4142" s="42"/>
    </row>
    <row r="4143" spans="15:29" x14ac:dyDescent="0.25">
      <c r="O4143" s="42"/>
      <c r="R4143" s="42"/>
      <c r="AC4143" s="42"/>
    </row>
    <row r="4144" spans="15:29" x14ac:dyDescent="0.25">
      <c r="O4144" s="42"/>
      <c r="R4144" s="42"/>
      <c r="AC4144" s="42"/>
    </row>
    <row r="4145" spans="15:29" x14ac:dyDescent="0.25">
      <c r="O4145" s="42"/>
      <c r="R4145" s="42"/>
      <c r="AC4145" s="42"/>
    </row>
    <row r="4146" spans="15:29" x14ac:dyDescent="0.25">
      <c r="O4146" s="42"/>
      <c r="R4146" s="42"/>
      <c r="AC4146" s="42"/>
    </row>
    <row r="4147" spans="15:29" x14ac:dyDescent="0.25">
      <c r="O4147" s="42"/>
      <c r="R4147" s="42"/>
      <c r="AC4147" s="42"/>
    </row>
    <row r="4148" spans="15:29" x14ac:dyDescent="0.25">
      <c r="O4148" s="42"/>
      <c r="R4148" s="42"/>
      <c r="AC4148" s="42"/>
    </row>
    <row r="4149" spans="15:29" x14ac:dyDescent="0.25">
      <c r="O4149" s="42"/>
      <c r="R4149" s="42"/>
      <c r="AC4149" s="42"/>
    </row>
    <row r="4150" spans="15:29" x14ac:dyDescent="0.25">
      <c r="O4150" s="42"/>
      <c r="R4150" s="42"/>
      <c r="AC4150" s="42"/>
    </row>
    <row r="4151" spans="15:29" x14ac:dyDescent="0.25">
      <c r="O4151" s="42"/>
      <c r="R4151" s="42"/>
      <c r="AC4151" s="42"/>
    </row>
    <row r="4152" spans="15:29" x14ac:dyDescent="0.25">
      <c r="O4152" s="42"/>
      <c r="R4152" s="42"/>
      <c r="AC4152" s="42"/>
    </row>
    <row r="4153" spans="15:29" x14ac:dyDescent="0.25">
      <c r="O4153" s="42"/>
      <c r="R4153" s="42"/>
      <c r="AC4153" s="42"/>
    </row>
    <row r="4154" spans="15:29" x14ac:dyDescent="0.25">
      <c r="O4154" s="42"/>
      <c r="R4154" s="42"/>
      <c r="AC4154" s="42"/>
    </row>
    <row r="4155" spans="15:29" x14ac:dyDescent="0.25">
      <c r="O4155" s="42"/>
      <c r="R4155" s="42"/>
      <c r="AC4155" s="42"/>
    </row>
    <row r="4156" spans="15:29" x14ac:dyDescent="0.25">
      <c r="O4156" s="42"/>
      <c r="R4156" s="42"/>
      <c r="AC4156" s="42"/>
    </row>
    <row r="4157" spans="15:29" x14ac:dyDescent="0.25">
      <c r="O4157" s="42"/>
      <c r="R4157" s="42"/>
      <c r="AC4157" s="42"/>
    </row>
    <row r="4158" spans="15:29" x14ac:dyDescent="0.25">
      <c r="O4158" s="42"/>
      <c r="R4158" s="42"/>
      <c r="AC4158" s="42"/>
    </row>
    <row r="4159" spans="15:29" x14ac:dyDescent="0.25">
      <c r="O4159" s="42"/>
      <c r="R4159" s="42"/>
      <c r="AC4159" s="42"/>
    </row>
    <row r="4160" spans="15:29" x14ac:dyDescent="0.25">
      <c r="O4160" s="42"/>
      <c r="R4160" s="42"/>
      <c r="AC4160" s="42"/>
    </row>
    <row r="4161" spans="15:29" x14ac:dyDescent="0.25">
      <c r="O4161" s="42"/>
      <c r="R4161" s="42"/>
      <c r="AC4161" s="42"/>
    </row>
    <row r="4162" spans="15:29" x14ac:dyDescent="0.25">
      <c r="O4162" s="42"/>
      <c r="R4162" s="42"/>
      <c r="AC4162" s="42"/>
    </row>
    <row r="4163" spans="15:29" x14ac:dyDescent="0.25">
      <c r="O4163" s="42"/>
      <c r="R4163" s="42"/>
      <c r="AC4163" s="42"/>
    </row>
    <row r="4164" spans="15:29" x14ac:dyDescent="0.25">
      <c r="O4164" s="42"/>
      <c r="R4164" s="42"/>
      <c r="AC4164" s="42"/>
    </row>
    <row r="4165" spans="15:29" x14ac:dyDescent="0.25">
      <c r="O4165" s="42"/>
      <c r="R4165" s="42"/>
      <c r="AC4165" s="42"/>
    </row>
    <row r="4166" spans="15:29" x14ac:dyDescent="0.25">
      <c r="O4166" s="42"/>
      <c r="R4166" s="42"/>
      <c r="AC4166" s="42"/>
    </row>
    <row r="4167" spans="15:29" x14ac:dyDescent="0.25">
      <c r="O4167" s="42"/>
      <c r="R4167" s="42"/>
      <c r="AC4167" s="42"/>
    </row>
    <row r="4168" spans="15:29" x14ac:dyDescent="0.25">
      <c r="O4168" s="42"/>
      <c r="R4168" s="42"/>
      <c r="AC4168" s="42"/>
    </row>
    <row r="4169" spans="15:29" x14ac:dyDescent="0.25">
      <c r="O4169" s="42"/>
      <c r="R4169" s="42"/>
      <c r="AC4169" s="42"/>
    </row>
    <row r="4170" spans="15:29" x14ac:dyDescent="0.25">
      <c r="O4170" s="42"/>
      <c r="R4170" s="42"/>
      <c r="AC4170" s="42"/>
    </row>
    <row r="4171" spans="15:29" x14ac:dyDescent="0.25">
      <c r="O4171" s="42"/>
      <c r="R4171" s="42"/>
      <c r="AC4171" s="42"/>
    </row>
    <row r="4172" spans="15:29" x14ac:dyDescent="0.25">
      <c r="O4172" s="42"/>
      <c r="R4172" s="42"/>
      <c r="AC4172" s="42"/>
    </row>
    <row r="4173" spans="15:29" x14ac:dyDescent="0.25">
      <c r="O4173" s="42"/>
      <c r="R4173" s="42"/>
      <c r="AC4173" s="42"/>
    </row>
    <row r="4174" spans="15:29" x14ac:dyDescent="0.25">
      <c r="O4174" s="42"/>
      <c r="R4174" s="42"/>
      <c r="AC4174" s="42"/>
    </row>
    <row r="4175" spans="15:29" x14ac:dyDescent="0.25">
      <c r="O4175" s="42"/>
      <c r="R4175" s="42"/>
      <c r="AC4175" s="42"/>
    </row>
    <row r="4176" spans="15:29" x14ac:dyDescent="0.25">
      <c r="O4176" s="42"/>
      <c r="R4176" s="42"/>
      <c r="AC4176" s="42"/>
    </row>
    <row r="4177" spans="15:29" x14ac:dyDescent="0.25">
      <c r="O4177" s="42"/>
      <c r="R4177" s="42"/>
      <c r="AC4177" s="42"/>
    </row>
    <row r="4178" spans="15:29" x14ac:dyDescent="0.25">
      <c r="O4178" s="42"/>
      <c r="R4178" s="42"/>
      <c r="AC4178" s="42"/>
    </row>
    <row r="4179" spans="15:29" x14ac:dyDescent="0.25">
      <c r="O4179" s="42"/>
      <c r="R4179" s="42"/>
      <c r="AC4179" s="42"/>
    </row>
    <row r="4180" spans="15:29" x14ac:dyDescent="0.25">
      <c r="O4180" s="42"/>
      <c r="R4180" s="42"/>
      <c r="AC4180" s="42"/>
    </row>
    <row r="4181" spans="15:29" x14ac:dyDescent="0.25">
      <c r="O4181" s="42"/>
      <c r="R4181" s="42"/>
      <c r="AC4181" s="42"/>
    </row>
    <row r="4182" spans="15:29" x14ac:dyDescent="0.25">
      <c r="O4182" s="42"/>
      <c r="R4182" s="42"/>
      <c r="AC4182" s="42"/>
    </row>
    <row r="4183" spans="15:29" x14ac:dyDescent="0.25">
      <c r="O4183" s="42"/>
      <c r="R4183" s="42"/>
      <c r="AC4183" s="42"/>
    </row>
    <row r="4184" spans="15:29" x14ac:dyDescent="0.25">
      <c r="O4184" s="42"/>
      <c r="R4184" s="42"/>
      <c r="AC4184" s="42"/>
    </row>
    <row r="4185" spans="15:29" x14ac:dyDescent="0.25">
      <c r="O4185" s="42"/>
      <c r="R4185" s="42"/>
      <c r="AC4185" s="42"/>
    </row>
    <row r="4186" spans="15:29" x14ac:dyDescent="0.25">
      <c r="O4186" s="42"/>
      <c r="R4186" s="42"/>
      <c r="AC4186" s="42"/>
    </row>
    <row r="4187" spans="15:29" x14ac:dyDescent="0.25">
      <c r="O4187" s="42"/>
      <c r="R4187" s="42"/>
      <c r="AC4187" s="42"/>
    </row>
    <row r="4188" spans="15:29" x14ac:dyDescent="0.25">
      <c r="O4188" s="42"/>
      <c r="R4188" s="42"/>
      <c r="AC4188" s="42"/>
    </row>
    <row r="4189" spans="15:29" x14ac:dyDescent="0.25">
      <c r="O4189" s="42"/>
      <c r="R4189" s="42"/>
      <c r="AC4189" s="42"/>
    </row>
    <row r="4190" spans="15:29" x14ac:dyDescent="0.25">
      <c r="O4190" s="42"/>
      <c r="R4190" s="42"/>
      <c r="AC4190" s="42"/>
    </row>
    <row r="4191" spans="15:29" x14ac:dyDescent="0.25">
      <c r="O4191" s="42"/>
      <c r="R4191" s="42"/>
      <c r="AC4191" s="42"/>
    </row>
    <row r="4192" spans="15:29" x14ac:dyDescent="0.25">
      <c r="O4192" s="42"/>
      <c r="R4192" s="42"/>
      <c r="AC4192" s="42"/>
    </row>
    <row r="4193" spans="15:29" x14ac:dyDescent="0.25">
      <c r="O4193" s="42"/>
      <c r="R4193" s="42"/>
      <c r="AC4193" s="42"/>
    </row>
    <row r="4194" spans="15:29" x14ac:dyDescent="0.25">
      <c r="O4194" s="42"/>
      <c r="R4194" s="42"/>
      <c r="AC4194" s="42"/>
    </row>
    <row r="4195" spans="15:29" x14ac:dyDescent="0.25">
      <c r="O4195" s="42"/>
      <c r="R4195" s="42"/>
      <c r="AC4195" s="42"/>
    </row>
    <row r="4196" spans="15:29" x14ac:dyDescent="0.25">
      <c r="O4196" s="42"/>
      <c r="R4196" s="42"/>
      <c r="AC4196" s="42"/>
    </row>
    <row r="4197" spans="15:29" x14ac:dyDescent="0.25">
      <c r="O4197" s="42"/>
      <c r="R4197" s="42"/>
      <c r="AC4197" s="42"/>
    </row>
    <row r="4198" spans="15:29" x14ac:dyDescent="0.25">
      <c r="O4198" s="42"/>
      <c r="R4198" s="42"/>
      <c r="AC4198" s="42"/>
    </row>
    <row r="4199" spans="15:29" x14ac:dyDescent="0.25">
      <c r="O4199" s="42"/>
      <c r="R4199" s="42"/>
      <c r="AC4199" s="42"/>
    </row>
    <row r="4200" spans="15:29" x14ac:dyDescent="0.25">
      <c r="O4200" s="42"/>
      <c r="R4200" s="42"/>
      <c r="AC4200" s="42"/>
    </row>
    <row r="4201" spans="15:29" x14ac:dyDescent="0.25">
      <c r="O4201" s="42"/>
      <c r="R4201" s="42"/>
      <c r="AC4201" s="42"/>
    </row>
    <row r="4202" spans="15:29" x14ac:dyDescent="0.25">
      <c r="O4202" s="42"/>
      <c r="R4202" s="42"/>
      <c r="AC4202" s="42"/>
    </row>
    <row r="4203" spans="15:29" x14ac:dyDescent="0.25">
      <c r="O4203" s="42"/>
      <c r="R4203" s="42"/>
      <c r="AC4203" s="42"/>
    </row>
    <row r="4204" spans="15:29" x14ac:dyDescent="0.25">
      <c r="O4204" s="42"/>
      <c r="R4204" s="42"/>
      <c r="AC4204" s="42"/>
    </row>
    <row r="4205" spans="15:29" x14ac:dyDescent="0.25">
      <c r="O4205" s="42"/>
      <c r="R4205" s="42"/>
      <c r="AC4205" s="42"/>
    </row>
    <row r="4206" spans="15:29" x14ac:dyDescent="0.25">
      <c r="O4206" s="42"/>
      <c r="R4206" s="42"/>
      <c r="AC4206" s="42"/>
    </row>
    <row r="4207" spans="15:29" x14ac:dyDescent="0.25">
      <c r="O4207" s="42"/>
      <c r="R4207" s="42"/>
      <c r="AC4207" s="42"/>
    </row>
    <row r="4208" spans="15:29" x14ac:dyDescent="0.25">
      <c r="O4208" s="42"/>
      <c r="R4208" s="42"/>
      <c r="AC4208" s="42"/>
    </row>
    <row r="4209" spans="15:29" x14ac:dyDescent="0.25">
      <c r="O4209" s="42"/>
      <c r="R4209" s="42"/>
      <c r="AC4209" s="42"/>
    </row>
    <row r="4210" spans="15:29" x14ac:dyDescent="0.25">
      <c r="O4210" s="42"/>
      <c r="R4210" s="42"/>
      <c r="AC4210" s="42"/>
    </row>
    <row r="4211" spans="15:29" x14ac:dyDescent="0.25">
      <c r="O4211" s="42"/>
      <c r="R4211" s="42"/>
      <c r="AC4211" s="42"/>
    </row>
    <row r="4212" spans="15:29" x14ac:dyDescent="0.25">
      <c r="O4212" s="42"/>
      <c r="R4212" s="42"/>
      <c r="AC4212" s="42"/>
    </row>
    <row r="4213" spans="15:29" x14ac:dyDescent="0.25">
      <c r="O4213" s="42"/>
      <c r="R4213" s="42"/>
      <c r="AC4213" s="42"/>
    </row>
    <row r="4214" spans="15:29" x14ac:dyDescent="0.25">
      <c r="O4214" s="42"/>
      <c r="R4214" s="42"/>
      <c r="AC4214" s="42"/>
    </row>
    <row r="4215" spans="15:29" x14ac:dyDescent="0.25">
      <c r="O4215" s="42"/>
      <c r="R4215" s="42"/>
      <c r="AC4215" s="42"/>
    </row>
    <row r="4216" spans="15:29" x14ac:dyDescent="0.25">
      <c r="O4216" s="42"/>
      <c r="R4216" s="42"/>
      <c r="AC4216" s="42"/>
    </row>
    <row r="4217" spans="15:29" x14ac:dyDescent="0.25">
      <c r="O4217" s="42"/>
      <c r="R4217" s="42"/>
      <c r="AC4217" s="42"/>
    </row>
    <row r="4218" spans="15:29" x14ac:dyDescent="0.25">
      <c r="O4218" s="42"/>
      <c r="R4218" s="42"/>
      <c r="AC4218" s="42"/>
    </row>
    <row r="4219" spans="15:29" x14ac:dyDescent="0.25">
      <c r="O4219" s="42"/>
      <c r="R4219" s="42"/>
      <c r="AC4219" s="42"/>
    </row>
    <row r="4220" spans="15:29" x14ac:dyDescent="0.25">
      <c r="O4220" s="42"/>
      <c r="R4220" s="42"/>
      <c r="AC4220" s="42"/>
    </row>
    <row r="4221" spans="15:29" x14ac:dyDescent="0.25">
      <c r="O4221" s="42"/>
      <c r="R4221" s="42"/>
      <c r="AC4221" s="42"/>
    </row>
    <row r="4222" spans="15:29" x14ac:dyDescent="0.25">
      <c r="O4222" s="42"/>
      <c r="R4222" s="42"/>
      <c r="AC4222" s="42"/>
    </row>
    <row r="4223" spans="15:29" x14ac:dyDescent="0.25">
      <c r="O4223" s="42"/>
      <c r="R4223" s="42"/>
      <c r="AC4223" s="42"/>
    </row>
    <row r="4224" spans="15:29" x14ac:dyDescent="0.25">
      <c r="O4224" s="42"/>
      <c r="R4224" s="42"/>
      <c r="AC4224" s="42"/>
    </row>
    <row r="4225" spans="15:29" x14ac:dyDescent="0.25">
      <c r="O4225" s="42"/>
      <c r="R4225" s="42"/>
      <c r="AC4225" s="42"/>
    </row>
    <row r="4226" spans="15:29" x14ac:dyDescent="0.25">
      <c r="O4226" s="42"/>
      <c r="R4226" s="42"/>
      <c r="AC4226" s="42"/>
    </row>
    <row r="4227" spans="15:29" x14ac:dyDescent="0.25">
      <c r="O4227" s="42"/>
      <c r="R4227" s="42"/>
      <c r="AC4227" s="42"/>
    </row>
    <row r="4228" spans="15:29" x14ac:dyDescent="0.25">
      <c r="O4228" s="42"/>
      <c r="R4228" s="42"/>
      <c r="AC4228" s="42"/>
    </row>
    <row r="4229" spans="15:29" x14ac:dyDescent="0.25">
      <c r="O4229" s="42"/>
      <c r="R4229" s="42"/>
      <c r="AC4229" s="42"/>
    </row>
    <row r="4230" spans="15:29" x14ac:dyDescent="0.25">
      <c r="O4230" s="42"/>
      <c r="R4230" s="42"/>
      <c r="AC4230" s="42"/>
    </row>
    <row r="4231" spans="15:29" x14ac:dyDescent="0.25">
      <c r="O4231" s="42"/>
      <c r="R4231" s="42"/>
      <c r="AC4231" s="42"/>
    </row>
    <row r="4232" spans="15:29" x14ac:dyDescent="0.25">
      <c r="O4232" s="42"/>
      <c r="R4232" s="42"/>
      <c r="AC4232" s="42"/>
    </row>
    <row r="4233" spans="15:29" x14ac:dyDescent="0.25">
      <c r="O4233" s="42"/>
      <c r="R4233" s="42"/>
      <c r="AC4233" s="42"/>
    </row>
    <row r="4234" spans="15:29" x14ac:dyDescent="0.25">
      <c r="O4234" s="42"/>
      <c r="R4234" s="42"/>
      <c r="AC4234" s="42"/>
    </row>
    <row r="4235" spans="15:29" x14ac:dyDescent="0.25">
      <c r="O4235" s="42"/>
      <c r="R4235" s="42"/>
      <c r="AC4235" s="42"/>
    </row>
    <row r="4236" spans="15:29" x14ac:dyDescent="0.25">
      <c r="O4236" s="42"/>
      <c r="R4236" s="42"/>
      <c r="AC4236" s="42"/>
    </row>
    <row r="4237" spans="15:29" x14ac:dyDescent="0.25">
      <c r="O4237" s="42"/>
      <c r="R4237" s="42"/>
      <c r="AC4237" s="42"/>
    </row>
    <row r="4238" spans="15:29" x14ac:dyDescent="0.25">
      <c r="O4238" s="42"/>
      <c r="R4238" s="42"/>
      <c r="AC4238" s="42"/>
    </row>
    <row r="4239" spans="15:29" x14ac:dyDescent="0.25">
      <c r="O4239" s="42"/>
      <c r="R4239" s="42"/>
      <c r="AC4239" s="42"/>
    </row>
    <row r="4240" spans="15:29" x14ac:dyDescent="0.25">
      <c r="O4240" s="42"/>
      <c r="R4240" s="42"/>
      <c r="AC4240" s="42"/>
    </row>
    <row r="4241" spans="15:29" x14ac:dyDescent="0.25">
      <c r="O4241" s="42"/>
      <c r="R4241" s="42"/>
      <c r="AC4241" s="42"/>
    </row>
    <row r="4242" spans="15:29" x14ac:dyDescent="0.25">
      <c r="O4242" s="42"/>
      <c r="R4242" s="42"/>
      <c r="AC4242" s="42"/>
    </row>
    <row r="4243" spans="15:29" x14ac:dyDescent="0.25">
      <c r="O4243" s="42"/>
      <c r="R4243" s="42"/>
      <c r="AC4243" s="42"/>
    </row>
    <row r="4244" spans="15:29" x14ac:dyDescent="0.25">
      <c r="O4244" s="42"/>
      <c r="R4244" s="42"/>
      <c r="AC4244" s="42"/>
    </row>
    <row r="4245" spans="15:29" x14ac:dyDescent="0.25">
      <c r="O4245" s="42"/>
      <c r="R4245" s="42"/>
      <c r="AC4245" s="42"/>
    </row>
    <row r="4246" spans="15:29" x14ac:dyDescent="0.25">
      <c r="O4246" s="42"/>
      <c r="R4246" s="42"/>
      <c r="AC4246" s="42"/>
    </row>
    <row r="4247" spans="15:29" x14ac:dyDescent="0.25">
      <c r="O4247" s="42"/>
      <c r="R4247" s="42"/>
      <c r="AC4247" s="42"/>
    </row>
    <row r="4248" spans="15:29" x14ac:dyDescent="0.25">
      <c r="O4248" s="42"/>
      <c r="R4248" s="42"/>
      <c r="AC4248" s="42"/>
    </row>
    <row r="4249" spans="15:29" x14ac:dyDescent="0.25">
      <c r="O4249" s="42"/>
      <c r="R4249" s="42"/>
      <c r="AC4249" s="42"/>
    </row>
    <row r="4250" spans="15:29" x14ac:dyDescent="0.25">
      <c r="O4250" s="42"/>
      <c r="R4250" s="42"/>
      <c r="AC4250" s="42"/>
    </row>
    <row r="4251" spans="15:29" x14ac:dyDescent="0.25">
      <c r="O4251" s="42"/>
      <c r="R4251" s="42"/>
      <c r="AC4251" s="42"/>
    </row>
    <row r="4252" spans="15:29" x14ac:dyDescent="0.25">
      <c r="O4252" s="42"/>
      <c r="R4252" s="42"/>
      <c r="AC4252" s="42"/>
    </row>
    <row r="4253" spans="15:29" x14ac:dyDescent="0.25">
      <c r="O4253" s="42"/>
      <c r="R4253" s="42"/>
      <c r="AC4253" s="42"/>
    </row>
    <row r="4254" spans="15:29" x14ac:dyDescent="0.25">
      <c r="O4254" s="42"/>
      <c r="R4254" s="42"/>
      <c r="AC4254" s="42"/>
    </row>
    <row r="4255" spans="15:29" x14ac:dyDescent="0.25">
      <c r="O4255" s="42"/>
      <c r="R4255" s="42"/>
      <c r="AC4255" s="42"/>
    </row>
    <row r="4256" spans="15:29" x14ac:dyDescent="0.25">
      <c r="O4256" s="42"/>
      <c r="R4256" s="42"/>
      <c r="AC4256" s="42"/>
    </row>
    <row r="4257" spans="15:29" x14ac:dyDescent="0.25">
      <c r="O4257" s="42"/>
      <c r="R4257" s="42"/>
      <c r="AC4257" s="42"/>
    </row>
    <row r="4258" spans="15:29" x14ac:dyDescent="0.25">
      <c r="O4258" s="42"/>
      <c r="R4258" s="42"/>
      <c r="AC4258" s="42"/>
    </row>
    <row r="4259" spans="15:29" x14ac:dyDescent="0.25">
      <c r="O4259" s="42"/>
      <c r="R4259" s="42"/>
      <c r="AC4259" s="42"/>
    </row>
    <row r="4260" spans="15:29" x14ac:dyDescent="0.25">
      <c r="O4260" s="42"/>
      <c r="R4260" s="42"/>
      <c r="AC4260" s="42"/>
    </row>
    <row r="4261" spans="15:29" x14ac:dyDescent="0.25">
      <c r="O4261" s="42"/>
      <c r="R4261" s="42"/>
      <c r="AC4261" s="42"/>
    </row>
    <row r="4262" spans="15:29" x14ac:dyDescent="0.25">
      <c r="O4262" s="42"/>
      <c r="R4262" s="42"/>
      <c r="AC4262" s="42"/>
    </row>
    <row r="4263" spans="15:29" x14ac:dyDescent="0.25">
      <c r="O4263" s="42"/>
      <c r="R4263" s="42"/>
      <c r="AC4263" s="42"/>
    </row>
    <row r="4264" spans="15:29" x14ac:dyDescent="0.25">
      <c r="O4264" s="42"/>
      <c r="R4264" s="42"/>
      <c r="AC4264" s="42"/>
    </row>
    <row r="4265" spans="15:29" x14ac:dyDescent="0.25">
      <c r="O4265" s="42"/>
      <c r="R4265" s="42"/>
      <c r="AC4265" s="42"/>
    </row>
    <row r="4266" spans="15:29" x14ac:dyDescent="0.25">
      <c r="O4266" s="42"/>
      <c r="R4266" s="42"/>
      <c r="AC4266" s="42"/>
    </row>
    <row r="4267" spans="15:29" x14ac:dyDescent="0.25">
      <c r="O4267" s="42"/>
      <c r="R4267" s="42"/>
      <c r="AC4267" s="42"/>
    </row>
    <row r="4268" spans="15:29" x14ac:dyDescent="0.25">
      <c r="O4268" s="42"/>
      <c r="R4268" s="42"/>
      <c r="AC4268" s="42"/>
    </row>
    <row r="4269" spans="15:29" x14ac:dyDescent="0.25">
      <c r="O4269" s="42"/>
      <c r="R4269" s="42"/>
      <c r="AC4269" s="42"/>
    </row>
    <row r="4270" spans="15:29" x14ac:dyDescent="0.25">
      <c r="O4270" s="42"/>
      <c r="R4270" s="42"/>
      <c r="AC4270" s="42"/>
    </row>
    <row r="4271" spans="15:29" x14ac:dyDescent="0.25">
      <c r="O4271" s="42"/>
      <c r="R4271" s="42"/>
      <c r="AC4271" s="42"/>
    </row>
    <row r="4272" spans="15:29" x14ac:dyDescent="0.25">
      <c r="O4272" s="42"/>
      <c r="R4272" s="42"/>
      <c r="AC4272" s="42"/>
    </row>
    <row r="4273" spans="15:29" x14ac:dyDescent="0.25">
      <c r="O4273" s="42"/>
      <c r="R4273" s="42"/>
      <c r="AC4273" s="42"/>
    </row>
    <row r="4274" spans="15:29" x14ac:dyDescent="0.25">
      <c r="O4274" s="42"/>
      <c r="R4274" s="42"/>
      <c r="AC4274" s="42"/>
    </row>
    <row r="4275" spans="15:29" x14ac:dyDescent="0.25">
      <c r="O4275" s="42"/>
      <c r="R4275" s="42"/>
      <c r="AC4275" s="42"/>
    </row>
    <row r="4276" spans="15:29" x14ac:dyDescent="0.25">
      <c r="O4276" s="42"/>
      <c r="R4276" s="42"/>
      <c r="AC4276" s="42"/>
    </row>
    <row r="4277" spans="15:29" x14ac:dyDescent="0.25">
      <c r="O4277" s="42"/>
      <c r="R4277" s="42"/>
      <c r="AC4277" s="42"/>
    </row>
    <row r="4278" spans="15:29" x14ac:dyDescent="0.25">
      <c r="O4278" s="42"/>
      <c r="R4278" s="42"/>
      <c r="AC4278" s="42"/>
    </row>
    <row r="4279" spans="15:29" x14ac:dyDescent="0.25">
      <c r="O4279" s="42"/>
      <c r="R4279" s="42"/>
      <c r="AC4279" s="42"/>
    </row>
    <row r="4280" spans="15:29" x14ac:dyDescent="0.25">
      <c r="O4280" s="42"/>
      <c r="R4280" s="42"/>
      <c r="AC4280" s="42"/>
    </row>
    <row r="4281" spans="15:29" x14ac:dyDescent="0.25">
      <c r="O4281" s="42"/>
      <c r="R4281" s="42"/>
      <c r="AC4281" s="42"/>
    </row>
    <row r="4282" spans="15:29" x14ac:dyDescent="0.25">
      <c r="O4282" s="42"/>
      <c r="R4282" s="42"/>
      <c r="AC4282" s="42"/>
    </row>
    <row r="4283" spans="15:29" x14ac:dyDescent="0.25">
      <c r="O4283" s="42"/>
      <c r="R4283" s="42"/>
      <c r="AC4283" s="42"/>
    </row>
    <row r="4284" spans="15:29" x14ac:dyDescent="0.25">
      <c r="O4284" s="42"/>
      <c r="R4284" s="42"/>
      <c r="AC4284" s="42"/>
    </row>
    <row r="4285" spans="15:29" x14ac:dyDescent="0.25">
      <c r="O4285" s="42"/>
      <c r="R4285" s="42"/>
      <c r="AC4285" s="42"/>
    </row>
    <row r="4286" spans="15:29" x14ac:dyDescent="0.25">
      <c r="O4286" s="42"/>
      <c r="R4286" s="42"/>
      <c r="AC4286" s="42"/>
    </row>
    <row r="4287" spans="15:29" x14ac:dyDescent="0.25">
      <c r="O4287" s="42"/>
      <c r="R4287" s="42"/>
      <c r="AC4287" s="42"/>
    </row>
    <row r="4288" spans="15:29" x14ac:dyDescent="0.25">
      <c r="O4288" s="42"/>
      <c r="R4288" s="42"/>
      <c r="AC4288" s="42"/>
    </row>
    <row r="4289" spans="15:29" x14ac:dyDescent="0.25">
      <c r="O4289" s="42"/>
      <c r="R4289" s="42"/>
      <c r="AC4289" s="42"/>
    </row>
    <row r="4290" spans="15:29" x14ac:dyDescent="0.25">
      <c r="O4290" s="42"/>
      <c r="R4290" s="42"/>
      <c r="AC4290" s="42"/>
    </row>
    <row r="4291" spans="15:29" x14ac:dyDescent="0.25">
      <c r="O4291" s="42"/>
      <c r="R4291" s="42"/>
      <c r="AC4291" s="42"/>
    </row>
    <row r="4292" spans="15:29" x14ac:dyDescent="0.25">
      <c r="O4292" s="42"/>
      <c r="R4292" s="42"/>
      <c r="AC4292" s="42"/>
    </row>
    <row r="4293" spans="15:29" x14ac:dyDescent="0.25">
      <c r="O4293" s="42"/>
      <c r="R4293" s="42"/>
      <c r="AC4293" s="42"/>
    </row>
    <row r="4294" spans="15:29" x14ac:dyDescent="0.25">
      <c r="O4294" s="42"/>
      <c r="R4294" s="42"/>
      <c r="AC4294" s="42"/>
    </row>
    <row r="4295" spans="15:29" x14ac:dyDescent="0.25">
      <c r="O4295" s="42"/>
      <c r="R4295" s="42"/>
      <c r="AC4295" s="42"/>
    </row>
    <row r="4296" spans="15:29" x14ac:dyDescent="0.25">
      <c r="O4296" s="42"/>
      <c r="R4296" s="42"/>
      <c r="AC4296" s="42"/>
    </row>
    <row r="4297" spans="15:29" x14ac:dyDescent="0.25">
      <c r="O4297" s="42"/>
      <c r="R4297" s="42"/>
      <c r="AC4297" s="42"/>
    </row>
    <row r="4298" spans="15:29" x14ac:dyDescent="0.25">
      <c r="O4298" s="42"/>
      <c r="R4298" s="42"/>
      <c r="AC4298" s="42"/>
    </row>
    <row r="4299" spans="15:29" x14ac:dyDescent="0.25">
      <c r="O4299" s="42"/>
      <c r="R4299" s="42"/>
      <c r="AC4299" s="42"/>
    </row>
    <row r="4300" spans="15:29" x14ac:dyDescent="0.25">
      <c r="O4300" s="42"/>
      <c r="R4300" s="42"/>
      <c r="AC4300" s="42"/>
    </row>
    <row r="4301" spans="15:29" x14ac:dyDescent="0.25">
      <c r="O4301" s="42"/>
      <c r="R4301" s="42"/>
      <c r="AC4301" s="42"/>
    </row>
    <row r="4302" spans="15:29" x14ac:dyDescent="0.25">
      <c r="O4302" s="42"/>
      <c r="R4302" s="42"/>
      <c r="AC4302" s="42"/>
    </row>
    <row r="4303" spans="15:29" x14ac:dyDescent="0.25">
      <c r="O4303" s="42"/>
      <c r="R4303" s="42"/>
      <c r="AC4303" s="42"/>
    </row>
    <row r="4304" spans="15:29" x14ac:dyDescent="0.25">
      <c r="O4304" s="42"/>
      <c r="R4304" s="42"/>
      <c r="AC4304" s="42"/>
    </row>
    <row r="4305" spans="15:29" x14ac:dyDescent="0.25">
      <c r="O4305" s="42"/>
      <c r="R4305" s="42"/>
      <c r="AC4305" s="42"/>
    </row>
    <row r="4306" spans="15:29" x14ac:dyDescent="0.25">
      <c r="O4306" s="42"/>
      <c r="R4306" s="42"/>
      <c r="AC4306" s="42"/>
    </row>
    <row r="4307" spans="15:29" x14ac:dyDescent="0.25">
      <c r="O4307" s="42"/>
      <c r="R4307" s="42"/>
      <c r="AC4307" s="42"/>
    </row>
    <row r="4308" spans="15:29" x14ac:dyDescent="0.25">
      <c r="O4308" s="42"/>
      <c r="R4308" s="42"/>
      <c r="AC4308" s="42"/>
    </row>
    <row r="4309" spans="15:29" x14ac:dyDescent="0.25">
      <c r="O4309" s="42"/>
      <c r="R4309" s="42"/>
      <c r="AC4309" s="42"/>
    </row>
    <row r="4310" spans="15:29" x14ac:dyDescent="0.25">
      <c r="O4310" s="42"/>
      <c r="R4310" s="42"/>
      <c r="AC4310" s="42"/>
    </row>
    <row r="4311" spans="15:29" x14ac:dyDescent="0.25">
      <c r="O4311" s="42"/>
      <c r="R4311" s="42"/>
      <c r="AC4311" s="42"/>
    </row>
    <row r="4312" spans="15:29" x14ac:dyDescent="0.25">
      <c r="O4312" s="42"/>
      <c r="R4312" s="42"/>
      <c r="AC4312" s="42"/>
    </row>
    <row r="4313" spans="15:29" x14ac:dyDescent="0.25">
      <c r="O4313" s="42"/>
      <c r="R4313" s="42"/>
      <c r="AC4313" s="42"/>
    </row>
    <row r="4314" spans="15:29" x14ac:dyDescent="0.25">
      <c r="O4314" s="42"/>
      <c r="R4314" s="42"/>
      <c r="AC4314" s="42"/>
    </row>
    <row r="4315" spans="15:29" x14ac:dyDescent="0.25">
      <c r="O4315" s="42"/>
      <c r="R4315" s="42"/>
      <c r="AC4315" s="42"/>
    </row>
    <row r="4316" spans="15:29" x14ac:dyDescent="0.25">
      <c r="O4316" s="42"/>
      <c r="R4316" s="42"/>
      <c r="AC4316" s="42"/>
    </row>
    <row r="4317" spans="15:29" x14ac:dyDescent="0.25">
      <c r="O4317" s="42"/>
      <c r="R4317" s="42"/>
      <c r="AC4317" s="42"/>
    </row>
    <row r="4318" spans="15:29" x14ac:dyDescent="0.25">
      <c r="O4318" s="42"/>
      <c r="R4318" s="42"/>
      <c r="AC4318" s="42"/>
    </row>
    <row r="4319" spans="15:29" x14ac:dyDescent="0.25">
      <c r="O4319" s="42"/>
      <c r="R4319" s="42"/>
      <c r="AC4319" s="42"/>
    </row>
    <row r="4320" spans="15:29" x14ac:dyDescent="0.25">
      <c r="O4320" s="42"/>
      <c r="R4320" s="42"/>
      <c r="AC4320" s="42"/>
    </row>
    <row r="4321" spans="15:29" x14ac:dyDescent="0.25">
      <c r="O4321" s="42"/>
      <c r="R4321" s="42"/>
      <c r="AC4321" s="42"/>
    </row>
    <row r="4322" spans="15:29" x14ac:dyDescent="0.25">
      <c r="O4322" s="42"/>
      <c r="R4322" s="42"/>
      <c r="AC4322" s="42"/>
    </row>
    <row r="4323" spans="15:29" x14ac:dyDescent="0.25">
      <c r="O4323" s="42"/>
      <c r="R4323" s="42"/>
      <c r="AC4323" s="42"/>
    </row>
    <row r="4324" spans="15:29" x14ac:dyDescent="0.25">
      <c r="O4324" s="42"/>
      <c r="R4324" s="42"/>
      <c r="AC4324" s="42"/>
    </row>
    <row r="4325" spans="15:29" x14ac:dyDescent="0.25">
      <c r="O4325" s="42"/>
      <c r="R4325" s="42"/>
      <c r="AC4325" s="42"/>
    </row>
    <row r="4326" spans="15:29" x14ac:dyDescent="0.25">
      <c r="O4326" s="42"/>
      <c r="R4326" s="42"/>
      <c r="AC4326" s="42"/>
    </row>
    <row r="4327" spans="15:29" x14ac:dyDescent="0.25">
      <c r="O4327" s="42"/>
      <c r="R4327" s="42"/>
      <c r="AC4327" s="42"/>
    </row>
    <row r="4328" spans="15:29" x14ac:dyDescent="0.25">
      <c r="O4328" s="42"/>
      <c r="R4328" s="42"/>
      <c r="AC4328" s="42"/>
    </row>
    <row r="4329" spans="15:29" x14ac:dyDescent="0.25">
      <c r="O4329" s="42"/>
      <c r="R4329" s="42"/>
      <c r="AC4329" s="42"/>
    </row>
    <row r="4330" spans="15:29" x14ac:dyDescent="0.25">
      <c r="O4330" s="42"/>
      <c r="R4330" s="42"/>
      <c r="AC4330" s="42"/>
    </row>
    <row r="4331" spans="15:29" x14ac:dyDescent="0.25">
      <c r="O4331" s="42"/>
      <c r="R4331" s="42"/>
      <c r="AC4331" s="42"/>
    </row>
    <row r="4332" spans="15:29" x14ac:dyDescent="0.25">
      <c r="O4332" s="42"/>
      <c r="R4332" s="42"/>
      <c r="AC4332" s="42"/>
    </row>
    <row r="4333" spans="15:29" x14ac:dyDescent="0.25">
      <c r="O4333" s="42"/>
      <c r="R4333" s="42"/>
      <c r="AC4333" s="42"/>
    </row>
    <row r="4334" spans="15:29" x14ac:dyDescent="0.25">
      <c r="O4334" s="42"/>
      <c r="R4334" s="42"/>
      <c r="AC4334" s="42"/>
    </row>
    <row r="4335" spans="15:29" x14ac:dyDescent="0.25">
      <c r="O4335" s="42"/>
      <c r="R4335" s="42"/>
      <c r="AC4335" s="42"/>
    </row>
    <row r="4336" spans="15:29" x14ac:dyDescent="0.25">
      <c r="O4336" s="42"/>
      <c r="R4336" s="42"/>
      <c r="AC4336" s="42"/>
    </row>
    <row r="4337" spans="15:29" x14ac:dyDescent="0.25">
      <c r="O4337" s="42"/>
      <c r="R4337" s="42"/>
      <c r="AC4337" s="42"/>
    </row>
    <row r="4338" spans="15:29" x14ac:dyDescent="0.25">
      <c r="O4338" s="42"/>
      <c r="R4338" s="42"/>
      <c r="AC4338" s="42"/>
    </row>
    <row r="4339" spans="15:29" x14ac:dyDescent="0.25">
      <c r="O4339" s="42"/>
      <c r="R4339" s="42"/>
      <c r="AC4339" s="42"/>
    </row>
    <row r="4340" spans="15:29" x14ac:dyDescent="0.25">
      <c r="O4340" s="42"/>
      <c r="R4340" s="42"/>
      <c r="AC4340" s="42"/>
    </row>
    <row r="4341" spans="15:29" x14ac:dyDescent="0.25">
      <c r="O4341" s="42"/>
      <c r="R4341" s="42"/>
      <c r="AC4341" s="42"/>
    </row>
    <row r="4342" spans="15:29" x14ac:dyDescent="0.25">
      <c r="O4342" s="42"/>
      <c r="R4342" s="42"/>
      <c r="AC4342" s="42"/>
    </row>
    <row r="4343" spans="15:29" x14ac:dyDescent="0.25">
      <c r="O4343" s="42"/>
      <c r="R4343" s="42"/>
      <c r="AC4343" s="42"/>
    </row>
    <row r="4344" spans="15:29" x14ac:dyDescent="0.25">
      <c r="O4344" s="42"/>
      <c r="R4344" s="42"/>
      <c r="AC4344" s="42"/>
    </row>
    <row r="4345" spans="15:29" x14ac:dyDescent="0.25">
      <c r="O4345" s="42"/>
      <c r="R4345" s="42"/>
      <c r="AC4345" s="42"/>
    </row>
    <row r="4346" spans="15:29" x14ac:dyDescent="0.25">
      <c r="O4346" s="42"/>
      <c r="R4346" s="42"/>
      <c r="AC4346" s="42"/>
    </row>
    <row r="4347" spans="15:29" x14ac:dyDescent="0.25">
      <c r="O4347" s="42"/>
      <c r="R4347" s="42"/>
      <c r="AC4347" s="42"/>
    </row>
    <row r="4348" spans="15:29" x14ac:dyDescent="0.25">
      <c r="O4348" s="42"/>
      <c r="R4348" s="42"/>
      <c r="AC4348" s="42"/>
    </row>
    <row r="4349" spans="15:29" x14ac:dyDescent="0.25">
      <c r="O4349" s="42"/>
      <c r="R4349" s="42"/>
      <c r="AC4349" s="42"/>
    </row>
    <row r="4350" spans="15:29" x14ac:dyDescent="0.25">
      <c r="O4350" s="42"/>
      <c r="R4350" s="42"/>
      <c r="AC4350" s="42"/>
    </row>
    <row r="4351" spans="15:29" x14ac:dyDescent="0.25">
      <c r="O4351" s="42"/>
      <c r="R4351" s="42"/>
      <c r="AC4351" s="42"/>
    </row>
    <row r="4352" spans="15:29" x14ac:dyDescent="0.25">
      <c r="O4352" s="42"/>
      <c r="R4352" s="42"/>
      <c r="AC4352" s="42"/>
    </row>
    <row r="4353" spans="15:29" x14ac:dyDescent="0.25">
      <c r="O4353" s="42"/>
      <c r="R4353" s="42"/>
      <c r="AC4353" s="42"/>
    </row>
    <row r="4354" spans="15:29" x14ac:dyDescent="0.25">
      <c r="O4354" s="42"/>
      <c r="R4354" s="42"/>
      <c r="AC4354" s="42"/>
    </row>
    <row r="4355" spans="15:29" x14ac:dyDescent="0.25">
      <c r="O4355" s="42"/>
      <c r="R4355" s="42"/>
      <c r="AC4355" s="42"/>
    </row>
    <row r="4356" spans="15:29" x14ac:dyDescent="0.25">
      <c r="O4356" s="42"/>
      <c r="R4356" s="42"/>
      <c r="AC4356" s="42"/>
    </row>
    <row r="4357" spans="15:29" x14ac:dyDescent="0.25">
      <c r="O4357" s="42"/>
      <c r="R4357" s="42"/>
      <c r="AC4357" s="42"/>
    </row>
    <row r="4358" spans="15:29" x14ac:dyDescent="0.25">
      <c r="O4358" s="42"/>
      <c r="R4358" s="42"/>
      <c r="AC4358" s="42"/>
    </row>
    <row r="4359" spans="15:29" x14ac:dyDescent="0.25">
      <c r="O4359" s="42"/>
      <c r="R4359" s="42"/>
      <c r="AC4359" s="42"/>
    </row>
    <row r="4360" spans="15:29" x14ac:dyDescent="0.25">
      <c r="O4360" s="42"/>
      <c r="R4360" s="42"/>
      <c r="AC4360" s="42"/>
    </row>
    <row r="4361" spans="15:29" x14ac:dyDescent="0.25">
      <c r="O4361" s="42"/>
      <c r="R4361" s="42"/>
      <c r="AC4361" s="42"/>
    </row>
    <row r="4362" spans="15:29" x14ac:dyDescent="0.25">
      <c r="O4362" s="42"/>
      <c r="R4362" s="42"/>
      <c r="AC4362" s="42"/>
    </row>
    <row r="4363" spans="15:29" x14ac:dyDescent="0.25">
      <c r="O4363" s="42"/>
      <c r="R4363" s="42"/>
      <c r="AC4363" s="42"/>
    </row>
    <row r="4364" spans="15:29" x14ac:dyDescent="0.25">
      <c r="O4364" s="42"/>
      <c r="R4364" s="42"/>
      <c r="AC4364" s="42"/>
    </row>
    <row r="4365" spans="15:29" x14ac:dyDescent="0.25">
      <c r="O4365" s="42"/>
      <c r="R4365" s="42"/>
      <c r="AC4365" s="42"/>
    </row>
    <row r="4366" spans="15:29" x14ac:dyDescent="0.25">
      <c r="O4366" s="42"/>
      <c r="R4366" s="42"/>
      <c r="AC4366" s="42"/>
    </row>
    <row r="4367" spans="15:29" x14ac:dyDescent="0.25">
      <c r="O4367" s="42"/>
      <c r="R4367" s="42"/>
      <c r="AC4367" s="42"/>
    </row>
    <row r="4368" spans="15:29" x14ac:dyDescent="0.25">
      <c r="O4368" s="42"/>
      <c r="R4368" s="42"/>
      <c r="AC4368" s="42"/>
    </row>
    <row r="4369" spans="15:29" x14ac:dyDescent="0.25">
      <c r="O4369" s="42"/>
      <c r="R4369" s="42"/>
      <c r="AC4369" s="42"/>
    </row>
    <row r="4370" spans="15:29" x14ac:dyDescent="0.25">
      <c r="O4370" s="42"/>
      <c r="R4370" s="42"/>
      <c r="AC4370" s="42"/>
    </row>
    <row r="4371" spans="15:29" x14ac:dyDescent="0.25">
      <c r="O4371" s="42"/>
      <c r="R4371" s="42"/>
      <c r="AC4371" s="42"/>
    </row>
    <row r="4372" spans="15:29" x14ac:dyDescent="0.25">
      <c r="O4372" s="42"/>
      <c r="R4372" s="42"/>
      <c r="AC4372" s="42"/>
    </row>
    <row r="4373" spans="15:29" x14ac:dyDescent="0.25">
      <c r="O4373" s="42"/>
      <c r="R4373" s="42"/>
      <c r="AC4373" s="42"/>
    </row>
    <row r="4374" spans="15:29" x14ac:dyDescent="0.25">
      <c r="O4374" s="42"/>
      <c r="R4374" s="42"/>
      <c r="AC4374" s="42"/>
    </row>
    <row r="4375" spans="15:29" x14ac:dyDescent="0.25">
      <c r="O4375" s="42"/>
      <c r="R4375" s="42"/>
      <c r="AC4375" s="42"/>
    </row>
    <row r="4376" spans="15:29" x14ac:dyDescent="0.25">
      <c r="O4376" s="42"/>
      <c r="R4376" s="42"/>
      <c r="AC4376" s="42"/>
    </row>
    <row r="4377" spans="15:29" x14ac:dyDescent="0.25">
      <c r="O4377" s="42"/>
      <c r="R4377" s="42"/>
      <c r="AC4377" s="42"/>
    </row>
    <row r="4378" spans="15:29" x14ac:dyDescent="0.25">
      <c r="O4378" s="42"/>
      <c r="R4378" s="42"/>
      <c r="AC4378" s="42"/>
    </row>
    <row r="4379" spans="15:29" x14ac:dyDescent="0.25">
      <c r="O4379" s="42"/>
      <c r="R4379" s="42"/>
      <c r="AC4379" s="42"/>
    </row>
    <row r="4380" spans="15:29" x14ac:dyDescent="0.25">
      <c r="O4380" s="42"/>
      <c r="R4380" s="42"/>
      <c r="AC4380" s="42"/>
    </row>
    <row r="4381" spans="15:29" x14ac:dyDescent="0.25">
      <c r="O4381" s="42"/>
      <c r="R4381" s="42"/>
      <c r="AC4381" s="42"/>
    </row>
    <row r="4382" spans="15:29" x14ac:dyDescent="0.25">
      <c r="O4382" s="42"/>
      <c r="R4382" s="42"/>
      <c r="AC4382" s="42"/>
    </row>
    <row r="4383" spans="15:29" x14ac:dyDescent="0.25">
      <c r="O4383" s="42"/>
      <c r="R4383" s="42"/>
      <c r="AC4383" s="42"/>
    </row>
    <row r="4384" spans="15:29" x14ac:dyDescent="0.25">
      <c r="O4384" s="42"/>
      <c r="R4384" s="42"/>
      <c r="AC4384" s="42"/>
    </row>
    <row r="4385" spans="15:29" x14ac:dyDescent="0.25">
      <c r="O4385" s="42"/>
      <c r="R4385" s="42"/>
      <c r="AC4385" s="42"/>
    </row>
    <row r="4386" spans="15:29" x14ac:dyDescent="0.25">
      <c r="O4386" s="42"/>
      <c r="R4386" s="42"/>
      <c r="AC4386" s="42"/>
    </row>
    <row r="4387" spans="15:29" x14ac:dyDescent="0.25">
      <c r="O4387" s="42"/>
      <c r="R4387" s="42"/>
      <c r="AC4387" s="42"/>
    </row>
    <row r="4388" spans="15:29" x14ac:dyDescent="0.25">
      <c r="O4388" s="42"/>
      <c r="R4388" s="42"/>
      <c r="AC4388" s="42"/>
    </row>
    <row r="4389" spans="15:29" x14ac:dyDescent="0.25">
      <c r="O4389" s="42"/>
      <c r="R4389" s="42"/>
      <c r="AC4389" s="42"/>
    </row>
    <row r="4390" spans="15:29" x14ac:dyDescent="0.25">
      <c r="O4390" s="42"/>
      <c r="R4390" s="42"/>
      <c r="AC4390" s="42"/>
    </row>
    <row r="4391" spans="15:29" x14ac:dyDescent="0.25">
      <c r="O4391" s="42"/>
      <c r="R4391" s="42"/>
      <c r="AC4391" s="42"/>
    </row>
    <row r="4392" spans="15:29" x14ac:dyDescent="0.25">
      <c r="O4392" s="42"/>
      <c r="R4392" s="42"/>
      <c r="AC4392" s="42"/>
    </row>
    <row r="4393" spans="15:29" x14ac:dyDescent="0.25">
      <c r="O4393" s="42"/>
      <c r="R4393" s="42"/>
      <c r="AC4393" s="42"/>
    </row>
    <row r="4394" spans="15:29" x14ac:dyDescent="0.25">
      <c r="O4394" s="42"/>
      <c r="R4394" s="42"/>
      <c r="AC4394" s="42"/>
    </row>
    <row r="4395" spans="15:29" x14ac:dyDescent="0.25">
      <c r="O4395" s="42"/>
      <c r="R4395" s="42"/>
      <c r="AC4395" s="42"/>
    </row>
    <row r="4396" spans="15:29" x14ac:dyDescent="0.25">
      <c r="O4396" s="42"/>
      <c r="R4396" s="42"/>
      <c r="AC4396" s="42"/>
    </row>
    <row r="4397" spans="15:29" x14ac:dyDescent="0.25">
      <c r="O4397" s="42"/>
      <c r="R4397" s="42"/>
      <c r="AC4397" s="42"/>
    </row>
    <row r="4398" spans="15:29" x14ac:dyDescent="0.25">
      <c r="O4398" s="42"/>
      <c r="R4398" s="42"/>
      <c r="AC4398" s="42"/>
    </row>
    <row r="4399" spans="15:29" x14ac:dyDescent="0.25">
      <c r="O4399" s="42"/>
      <c r="R4399" s="42"/>
      <c r="AC4399" s="42"/>
    </row>
    <row r="4400" spans="15:29" x14ac:dyDescent="0.25">
      <c r="O4400" s="42"/>
      <c r="R4400" s="42"/>
      <c r="AC4400" s="42"/>
    </row>
    <row r="4401" spans="15:29" x14ac:dyDescent="0.25">
      <c r="O4401" s="42"/>
      <c r="R4401" s="42"/>
      <c r="AC4401" s="42"/>
    </row>
    <row r="4402" spans="15:29" x14ac:dyDescent="0.25">
      <c r="O4402" s="42"/>
      <c r="R4402" s="42"/>
      <c r="AC4402" s="42"/>
    </row>
    <row r="4403" spans="15:29" x14ac:dyDescent="0.25">
      <c r="O4403" s="42"/>
      <c r="R4403" s="42"/>
      <c r="AC4403" s="42"/>
    </row>
    <row r="4404" spans="15:29" x14ac:dyDescent="0.25">
      <c r="O4404" s="42"/>
      <c r="R4404" s="42"/>
      <c r="AC4404" s="42"/>
    </row>
    <row r="4405" spans="15:29" x14ac:dyDescent="0.25">
      <c r="O4405" s="42"/>
      <c r="R4405" s="42"/>
      <c r="AC4405" s="42"/>
    </row>
    <row r="4406" spans="15:29" x14ac:dyDescent="0.25">
      <c r="O4406" s="42"/>
      <c r="R4406" s="42"/>
      <c r="AC4406" s="42"/>
    </row>
    <row r="4407" spans="15:29" x14ac:dyDescent="0.25">
      <c r="O4407" s="42"/>
      <c r="R4407" s="42"/>
      <c r="AC4407" s="42"/>
    </row>
    <row r="4408" spans="15:29" x14ac:dyDescent="0.25">
      <c r="O4408" s="42"/>
      <c r="R4408" s="42"/>
      <c r="AC4408" s="42"/>
    </row>
    <row r="4409" spans="15:29" x14ac:dyDescent="0.25">
      <c r="O4409" s="42"/>
      <c r="R4409" s="42"/>
      <c r="AC4409" s="42"/>
    </row>
    <row r="4410" spans="15:29" x14ac:dyDescent="0.25">
      <c r="O4410" s="42"/>
      <c r="R4410" s="42"/>
      <c r="AC4410" s="42"/>
    </row>
    <row r="4411" spans="15:29" x14ac:dyDescent="0.25">
      <c r="O4411" s="42"/>
      <c r="R4411" s="42"/>
      <c r="AC4411" s="42"/>
    </row>
    <row r="4412" spans="15:29" x14ac:dyDescent="0.25">
      <c r="O4412" s="42"/>
      <c r="R4412" s="42"/>
      <c r="AC4412" s="42"/>
    </row>
    <row r="4413" spans="15:29" x14ac:dyDescent="0.25">
      <c r="O4413" s="42"/>
      <c r="R4413" s="42"/>
      <c r="AC4413" s="42"/>
    </row>
    <row r="4414" spans="15:29" x14ac:dyDescent="0.25">
      <c r="O4414" s="42"/>
      <c r="R4414" s="42"/>
      <c r="AC4414" s="42"/>
    </row>
    <row r="4415" spans="15:29" x14ac:dyDescent="0.25">
      <c r="O4415" s="42"/>
      <c r="R4415" s="42"/>
      <c r="AC4415" s="42"/>
    </row>
    <row r="4416" spans="15:29" x14ac:dyDescent="0.25">
      <c r="O4416" s="42"/>
      <c r="R4416" s="42"/>
      <c r="AC4416" s="42"/>
    </row>
    <row r="4417" spans="15:29" x14ac:dyDescent="0.25">
      <c r="O4417" s="42"/>
      <c r="R4417" s="42"/>
      <c r="AC4417" s="42"/>
    </row>
    <row r="4418" spans="15:29" x14ac:dyDescent="0.25">
      <c r="O4418" s="42"/>
      <c r="R4418" s="42"/>
      <c r="AC4418" s="42"/>
    </row>
    <row r="4419" spans="15:29" x14ac:dyDescent="0.25">
      <c r="O4419" s="42"/>
      <c r="R4419" s="42"/>
      <c r="AC4419" s="42"/>
    </row>
    <row r="4420" spans="15:29" x14ac:dyDescent="0.25">
      <c r="O4420" s="42"/>
      <c r="R4420" s="42"/>
      <c r="AC4420" s="42"/>
    </row>
    <row r="4421" spans="15:29" x14ac:dyDescent="0.25">
      <c r="O4421" s="42"/>
      <c r="R4421" s="42"/>
      <c r="AC4421" s="42"/>
    </row>
    <row r="4422" spans="15:29" x14ac:dyDescent="0.25">
      <c r="O4422" s="42"/>
      <c r="R4422" s="42"/>
      <c r="AC4422" s="42"/>
    </row>
    <row r="4423" spans="15:29" x14ac:dyDescent="0.25">
      <c r="O4423" s="42"/>
      <c r="R4423" s="42"/>
      <c r="AC4423" s="42"/>
    </row>
    <row r="4424" spans="15:29" x14ac:dyDescent="0.25">
      <c r="O4424" s="42"/>
      <c r="R4424" s="42"/>
      <c r="AC4424" s="42"/>
    </row>
    <row r="4425" spans="15:29" x14ac:dyDescent="0.25">
      <c r="O4425" s="42"/>
      <c r="R4425" s="42"/>
      <c r="AC4425" s="42"/>
    </row>
    <row r="4426" spans="15:29" x14ac:dyDescent="0.25">
      <c r="O4426" s="42"/>
      <c r="R4426" s="42"/>
      <c r="AC4426" s="42"/>
    </row>
    <row r="4427" spans="15:29" x14ac:dyDescent="0.25">
      <c r="O4427" s="42"/>
      <c r="R4427" s="42"/>
      <c r="AC4427" s="42"/>
    </row>
    <row r="4428" spans="15:29" x14ac:dyDescent="0.25">
      <c r="O4428" s="42"/>
      <c r="R4428" s="42"/>
      <c r="AC4428" s="42"/>
    </row>
    <row r="4429" spans="15:29" x14ac:dyDescent="0.25">
      <c r="O4429" s="42"/>
      <c r="R4429" s="42"/>
      <c r="AC4429" s="42"/>
    </row>
    <row r="4430" spans="15:29" x14ac:dyDescent="0.25">
      <c r="O4430" s="42"/>
      <c r="R4430" s="42"/>
      <c r="AC4430" s="42"/>
    </row>
    <row r="4431" spans="15:29" x14ac:dyDescent="0.25">
      <c r="O4431" s="42"/>
      <c r="R4431" s="42"/>
      <c r="AC4431" s="42"/>
    </row>
    <row r="4432" spans="15:29" x14ac:dyDescent="0.25">
      <c r="O4432" s="42"/>
      <c r="R4432" s="42"/>
      <c r="AC4432" s="42"/>
    </row>
    <row r="4433" spans="15:29" x14ac:dyDescent="0.25">
      <c r="O4433" s="42"/>
      <c r="R4433" s="42"/>
      <c r="AC4433" s="42"/>
    </row>
    <row r="4434" spans="15:29" x14ac:dyDescent="0.25">
      <c r="O4434" s="42"/>
      <c r="R4434" s="42"/>
      <c r="AC4434" s="42"/>
    </row>
    <row r="4435" spans="15:29" x14ac:dyDescent="0.25">
      <c r="O4435" s="42"/>
      <c r="R4435" s="42"/>
      <c r="AC4435" s="42"/>
    </row>
    <row r="4436" spans="15:29" x14ac:dyDescent="0.25">
      <c r="O4436" s="42"/>
      <c r="R4436" s="42"/>
      <c r="AC4436" s="42"/>
    </row>
    <row r="4437" spans="15:29" x14ac:dyDescent="0.25">
      <c r="O4437" s="42"/>
      <c r="R4437" s="42"/>
      <c r="AC4437" s="42"/>
    </row>
    <row r="4438" spans="15:29" x14ac:dyDescent="0.25">
      <c r="O4438" s="42"/>
      <c r="R4438" s="42"/>
      <c r="AC4438" s="42"/>
    </row>
    <row r="4439" spans="15:29" x14ac:dyDescent="0.25">
      <c r="O4439" s="42"/>
      <c r="R4439" s="42"/>
      <c r="AC4439" s="42"/>
    </row>
    <row r="4440" spans="15:29" x14ac:dyDescent="0.25">
      <c r="O4440" s="42"/>
      <c r="R4440" s="42"/>
      <c r="AC4440" s="42"/>
    </row>
    <row r="4441" spans="15:29" x14ac:dyDescent="0.25">
      <c r="O4441" s="42"/>
      <c r="R4441" s="42"/>
      <c r="AC4441" s="42"/>
    </row>
    <row r="4442" spans="15:29" x14ac:dyDescent="0.25">
      <c r="O4442" s="42"/>
      <c r="R4442" s="42"/>
      <c r="AC4442" s="42"/>
    </row>
    <row r="4443" spans="15:29" x14ac:dyDescent="0.25">
      <c r="O4443" s="42"/>
      <c r="R4443" s="42"/>
      <c r="AC4443" s="42"/>
    </row>
    <row r="4444" spans="15:29" x14ac:dyDescent="0.25">
      <c r="O4444" s="42"/>
      <c r="R4444" s="42"/>
      <c r="AC4444" s="42"/>
    </row>
    <row r="4445" spans="15:29" x14ac:dyDescent="0.25">
      <c r="O4445" s="42"/>
      <c r="R4445" s="42"/>
      <c r="AC4445" s="42"/>
    </row>
    <row r="4446" spans="15:29" x14ac:dyDescent="0.25">
      <c r="O4446" s="42"/>
      <c r="R4446" s="42"/>
      <c r="AC4446" s="42"/>
    </row>
    <row r="4447" spans="15:29" x14ac:dyDescent="0.25">
      <c r="O4447" s="42"/>
      <c r="R4447" s="42"/>
      <c r="AC4447" s="42"/>
    </row>
    <row r="4448" spans="15:29" x14ac:dyDescent="0.25">
      <c r="O4448" s="42"/>
      <c r="R4448" s="42"/>
      <c r="AC4448" s="42"/>
    </row>
    <row r="4449" spans="15:29" x14ac:dyDescent="0.25">
      <c r="O4449" s="42"/>
      <c r="R4449" s="42"/>
      <c r="AC4449" s="42"/>
    </row>
    <row r="4450" spans="15:29" x14ac:dyDescent="0.25">
      <c r="O4450" s="42"/>
      <c r="R4450" s="42"/>
      <c r="AC4450" s="42"/>
    </row>
    <row r="4451" spans="15:29" x14ac:dyDescent="0.25">
      <c r="O4451" s="42"/>
      <c r="R4451" s="42"/>
      <c r="AC4451" s="42"/>
    </row>
    <row r="4452" spans="15:29" x14ac:dyDescent="0.25">
      <c r="O4452" s="42"/>
      <c r="R4452" s="42"/>
      <c r="AC4452" s="42"/>
    </row>
    <row r="4453" spans="15:29" x14ac:dyDescent="0.25">
      <c r="O4453" s="42"/>
      <c r="R4453" s="42"/>
      <c r="AC4453" s="42"/>
    </row>
    <row r="4454" spans="15:29" x14ac:dyDescent="0.25">
      <c r="O4454" s="42"/>
      <c r="R4454" s="42"/>
      <c r="AC4454" s="42"/>
    </row>
    <row r="4455" spans="15:29" x14ac:dyDescent="0.25">
      <c r="O4455" s="42"/>
      <c r="R4455" s="42"/>
      <c r="AC4455" s="42"/>
    </row>
    <row r="4456" spans="15:29" x14ac:dyDescent="0.25">
      <c r="O4456" s="42"/>
      <c r="R4456" s="42"/>
      <c r="AC4456" s="42"/>
    </row>
    <row r="4457" spans="15:29" x14ac:dyDescent="0.25">
      <c r="O4457" s="42"/>
      <c r="R4457" s="42"/>
      <c r="AC4457" s="42"/>
    </row>
    <row r="4458" spans="15:29" x14ac:dyDescent="0.25">
      <c r="O4458" s="42"/>
      <c r="R4458" s="42"/>
      <c r="AC4458" s="42"/>
    </row>
    <row r="4459" spans="15:29" x14ac:dyDescent="0.25">
      <c r="O4459" s="42"/>
      <c r="R4459" s="42"/>
      <c r="AC4459" s="42"/>
    </row>
    <row r="4460" spans="15:29" x14ac:dyDescent="0.25">
      <c r="O4460" s="42"/>
      <c r="R4460" s="42"/>
      <c r="AC4460" s="42"/>
    </row>
    <row r="4461" spans="15:29" x14ac:dyDescent="0.25">
      <c r="O4461" s="42"/>
      <c r="R4461" s="42"/>
      <c r="AC4461" s="42"/>
    </row>
    <row r="4462" spans="15:29" x14ac:dyDescent="0.25">
      <c r="O4462" s="42"/>
      <c r="R4462" s="42"/>
      <c r="AC4462" s="42"/>
    </row>
    <row r="4463" spans="15:29" x14ac:dyDescent="0.25">
      <c r="O4463" s="42"/>
      <c r="R4463" s="42"/>
      <c r="AC4463" s="42"/>
    </row>
    <row r="4464" spans="15:29" x14ac:dyDescent="0.25">
      <c r="O4464" s="42"/>
      <c r="R4464" s="42"/>
      <c r="AC4464" s="42"/>
    </row>
    <row r="4465" spans="15:29" x14ac:dyDescent="0.25">
      <c r="O4465" s="42"/>
      <c r="R4465" s="42"/>
      <c r="AC4465" s="42"/>
    </row>
    <row r="4466" spans="15:29" x14ac:dyDescent="0.25">
      <c r="O4466" s="42"/>
      <c r="R4466" s="42"/>
      <c r="AC4466" s="42"/>
    </row>
    <row r="4467" spans="15:29" x14ac:dyDescent="0.25">
      <c r="O4467" s="42"/>
      <c r="R4467" s="42"/>
      <c r="AC4467" s="42"/>
    </row>
    <row r="4468" spans="15:29" x14ac:dyDescent="0.25">
      <c r="O4468" s="42"/>
      <c r="R4468" s="42"/>
      <c r="AC4468" s="42"/>
    </row>
    <row r="4469" spans="15:29" x14ac:dyDescent="0.25">
      <c r="O4469" s="42"/>
      <c r="R4469" s="42"/>
      <c r="AC4469" s="42"/>
    </row>
    <row r="4470" spans="15:29" x14ac:dyDescent="0.25">
      <c r="O4470" s="42"/>
      <c r="R4470" s="42"/>
      <c r="AC4470" s="42"/>
    </row>
    <row r="4471" spans="15:29" x14ac:dyDescent="0.25">
      <c r="O4471" s="42"/>
      <c r="R4471" s="42"/>
      <c r="AC4471" s="42"/>
    </row>
    <row r="4472" spans="15:29" x14ac:dyDescent="0.25">
      <c r="O4472" s="42"/>
      <c r="R4472" s="42"/>
      <c r="AC4472" s="42"/>
    </row>
    <row r="4473" spans="15:29" x14ac:dyDescent="0.25">
      <c r="O4473" s="42"/>
      <c r="R4473" s="42"/>
      <c r="AC4473" s="42"/>
    </row>
    <row r="4474" spans="15:29" x14ac:dyDescent="0.25">
      <c r="O4474" s="42"/>
      <c r="R4474" s="42"/>
      <c r="AC4474" s="42"/>
    </row>
    <row r="4475" spans="15:29" x14ac:dyDescent="0.25">
      <c r="O4475" s="42"/>
      <c r="R4475" s="42"/>
      <c r="AC4475" s="42"/>
    </row>
    <row r="4476" spans="15:29" x14ac:dyDescent="0.25">
      <c r="O4476" s="42"/>
      <c r="R4476" s="42"/>
      <c r="AC4476" s="42"/>
    </row>
    <row r="4477" spans="15:29" x14ac:dyDescent="0.25">
      <c r="O4477" s="42"/>
      <c r="R4477" s="42"/>
      <c r="AC4477" s="42"/>
    </row>
    <row r="4478" spans="15:29" x14ac:dyDescent="0.25">
      <c r="O4478" s="42"/>
      <c r="R4478" s="42"/>
      <c r="AC4478" s="42"/>
    </row>
    <row r="4479" spans="15:29" x14ac:dyDescent="0.25">
      <c r="O4479" s="42"/>
      <c r="R4479" s="42"/>
      <c r="AC4479" s="42"/>
    </row>
    <row r="4480" spans="15:29" x14ac:dyDescent="0.25">
      <c r="O4480" s="42"/>
      <c r="R4480" s="42"/>
      <c r="AC4480" s="42"/>
    </row>
    <row r="4481" spans="15:29" x14ac:dyDescent="0.25">
      <c r="O4481" s="42"/>
      <c r="R4481" s="42"/>
      <c r="AC4481" s="42"/>
    </row>
    <row r="4482" spans="15:29" x14ac:dyDescent="0.25">
      <c r="O4482" s="42"/>
      <c r="R4482" s="42"/>
      <c r="AC4482" s="42"/>
    </row>
    <row r="4483" spans="15:29" x14ac:dyDescent="0.25">
      <c r="O4483" s="42"/>
      <c r="R4483" s="42"/>
      <c r="AC4483" s="42"/>
    </row>
    <row r="4484" spans="15:29" x14ac:dyDescent="0.25">
      <c r="O4484" s="42"/>
      <c r="R4484" s="42"/>
      <c r="AC4484" s="42"/>
    </row>
    <row r="4485" spans="15:29" x14ac:dyDescent="0.25">
      <c r="O4485" s="42"/>
      <c r="R4485" s="42"/>
      <c r="AC4485" s="42"/>
    </row>
    <row r="4486" spans="15:29" x14ac:dyDescent="0.25">
      <c r="O4486" s="42"/>
      <c r="R4486" s="42"/>
      <c r="AC4486" s="42"/>
    </row>
    <row r="4487" spans="15:29" x14ac:dyDescent="0.25">
      <c r="O4487" s="42"/>
      <c r="R4487" s="42"/>
      <c r="AC4487" s="42"/>
    </row>
    <row r="4488" spans="15:29" x14ac:dyDescent="0.25">
      <c r="O4488" s="42"/>
      <c r="R4488" s="42"/>
      <c r="AC4488" s="42"/>
    </row>
    <row r="4489" spans="15:29" x14ac:dyDescent="0.25">
      <c r="O4489" s="42"/>
      <c r="R4489" s="42"/>
      <c r="AC4489" s="42"/>
    </row>
    <row r="4490" spans="15:29" x14ac:dyDescent="0.25">
      <c r="O4490" s="42"/>
      <c r="R4490" s="42"/>
      <c r="AC4490" s="42"/>
    </row>
    <row r="4491" spans="15:29" x14ac:dyDescent="0.25">
      <c r="O4491" s="42"/>
      <c r="R4491" s="42"/>
      <c r="AC4491" s="42"/>
    </row>
    <row r="4492" spans="15:29" x14ac:dyDescent="0.25">
      <c r="O4492" s="42"/>
      <c r="R4492" s="42"/>
      <c r="AC4492" s="42"/>
    </row>
    <row r="4493" spans="15:29" x14ac:dyDescent="0.25">
      <c r="O4493" s="42"/>
      <c r="R4493" s="42"/>
      <c r="AC4493" s="42"/>
    </row>
    <row r="4494" spans="15:29" x14ac:dyDescent="0.25">
      <c r="O4494" s="42"/>
      <c r="R4494" s="42"/>
      <c r="AC4494" s="42"/>
    </row>
    <row r="4495" spans="15:29" x14ac:dyDescent="0.25">
      <c r="O4495" s="42"/>
      <c r="R4495" s="42"/>
      <c r="AC4495" s="42"/>
    </row>
    <row r="4496" spans="15:29" x14ac:dyDescent="0.25">
      <c r="O4496" s="42"/>
      <c r="R4496" s="42"/>
      <c r="AC4496" s="42"/>
    </row>
    <row r="4497" spans="15:29" x14ac:dyDescent="0.25">
      <c r="O4497" s="42"/>
      <c r="R4497" s="42"/>
      <c r="AC4497" s="42"/>
    </row>
    <row r="4498" spans="15:29" x14ac:dyDescent="0.25">
      <c r="O4498" s="42"/>
      <c r="R4498" s="42"/>
      <c r="AC4498" s="42"/>
    </row>
    <row r="4499" spans="15:29" x14ac:dyDescent="0.25">
      <c r="O4499" s="42"/>
      <c r="R4499" s="42"/>
      <c r="AC4499" s="42"/>
    </row>
    <row r="4500" spans="15:29" x14ac:dyDescent="0.25">
      <c r="O4500" s="42"/>
      <c r="R4500" s="42"/>
      <c r="AC4500" s="42"/>
    </row>
    <row r="4501" spans="15:29" x14ac:dyDescent="0.25">
      <c r="O4501" s="42"/>
      <c r="R4501" s="42"/>
      <c r="AC4501" s="42"/>
    </row>
    <row r="4502" spans="15:29" x14ac:dyDescent="0.25">
      <c r="O4502" s="42"/>
      <c r="R4502" s="42"/>
      <c r="AC4502" s="42"/>
    </row>
    <row r="4503" spans="15:29" x14ac:dyDescent="0.25">
      <c r="O4503" s="42"/>
      <c r="R4503" s="42"/>
      <c r="AC4503" s="42"/>
    </row>
    <row r="4504" spans="15:29" x14ac:dyDescent="0.25">
      <c r="O4504" s="42"/>
      <c r="R4504" s="42"/>
      <c r="AC4504" s="42"/>
    </row>
    <row r="4505" spans="15:29" x14ac:dyDescent="0.25">
      <c r="O4505" s="42"/>
      <c r="R4505" s="42"/>
      <c r="AC4505" s="42"/>
    </row>
    <row r="4506" spans="15:29" x14ac:dyDescent="0.25">
      <c r="O4506" s="42"/>
      <c r="R4506" s="42"/>
      <c r="AC4506" s="42"/>
    </row>
    <row r="4507" spans="15:29" x14ac:dyDescent="0.25">
      <c r="O4507" s="42"/>
      <c r="R4507" s="42"/>
      <c r="AC4507" s="42"/>
    </row>
    <row r="4508" spans="15:29" x14ac:dyDescent="0.25">
      <c r="O4508" s="42"/>
      <c r="R4508" s="42"/>
      <c r="AC4508" s="42"/>
    </row>
    <row r="4509" spans="15:29" x14ac:dyDescent="0.25">
      <c r="O4509" s="42"/>
      <c r="R4509" s="42"/>
      <c r="AC4509" s="42"/>
    </row>
    <row r="4510" spans="15:29" x14ac:dyDescent="0.25">
      <c r="O4510" s="42"/>
      <c r="R4510" s="42"/>
      <c r="AC4510" s="42"/>
    </row>
    <row r="4511" spans="15:29" x14ac:dyDescent="0.25">
      <c r="O4511" s="42"/>
      <c r="R4511" s="42"/>
      <c r="AC4511" s="42"/>
    </row>
    <row r="4512" spans="15:29" x14ac:dyDescent="0.25">
      <c r="O4512" s="42"/>
      <c r="R4512" s="42"/>
      <c r="AC4512" s="42"/>
    </row>
    <row r="4513" spans="15:29" x14ac:dyDescent="0.25">
      <c r="O4513" s="42"/>
      <c r="R4513" s="42"/>
      <c r="AC4513" s="42"/>
    </row>
    <row r="4514" spans="15:29" x14ac:dyDescent="0.25">
      <c r="O4514" s="42"/>
      <c r="R4514" s="42"/>
      <c r="AC4514" s="42"/>
    </row>
    <row r="4515" spans="15:29" x14ac:dyDescent="0.25">
      <c r="O4515" s="42"/>
      <c r="R4515" s="42"/>
      <c r="AC4515" s="42"/>
    </row>
    <row r="4516" spans="15:29" x14ac:dyDescent="0.25">
      <c r="O4516" s="42"/>
      <c r="R4516" s="42"/>
      <c r="AC4516" s="42"/>
    </row>
    <row r="4517" spans="15:29" x14ac:dyDescent="0.25">
      <c r="O4517" s="42"/>
      <c r="R4517" s="42"/>
      <c r="AC4517" s="42"/>
    </row>
    <row r="4518" spans="15:29" x14ac:dyDescent="0.25">
      <c r="O4518" s="42"/>
      <c r="R4518" s="42"/>
      <c r="AC4518" s="42"/>
    </row>
    <row r="4519" spans="15:29" x14ac:dyDescent="0.25">
      <c r="O4519" s="42"/>
      <c r="R4519" s="42"/>
      <c r="AC4519" s="42"/>
    </row>
    <row r="4520" spans="15:29" x14ac:dyDescent="0.25">
      <c r="O4520" s="42"/>
      <c r="R4520" s="42"/>
      <c r="AC4520" s="42"/>
    </row>
    <row r="4521" spans="15:29" x14ac:dyDescent="0.25">
      <c r="O4521" s="42"/>
      <c r="R4521" s="42"/>
      <c r="AC4521" s="42"/>
    </row>
    <row r="4522" spans="15:29" x14ac:dyDescent="0.25">
      <c r="O4522" s="42"/>
      <c r="R4522" s="42"/>
      <c r="AC4522" s="42"/>
    </row>
    <row r="4523" spans="15:29" x14ac:dyDescent="0.25">
      <c r="O4523" s="42"/>
      <c r="R4523" s="42"/>
      <c r="AC4523" s="42"/>
    </row>
    <row r="4524" spans="15:29" x14ac:dyDescent="0.25">
      <c r="O4524" s="42"/>
      <c r="R4524" s="42"/>
      <c r="AC4524" s="42"/>
    </row>
    <row r="4525" spans="15:29" x14ac:dyDescent="0.25">
      <c r="O4525" s="42"/>
      <c r="R4525" s="42"/>
      <c r="AC4525" s="42"/>
    </row>
    <row r="4526" spans="15:29" x14ac:dyDescent="0.25">
      <c r="O4526" s="42"/>
      <c r="R4526" s="42"/>
      <c r="AC4526" s="42"/>
    </row>
    <row r="4527" spans="15:29" x14ac:dyDescent="0.25">
      <c r="O4527" s="42"/>
      <c r="R4527" s="42"/>
      <c r="AC4527" s="42"/>
    </row>
    <row r="4528" spans="15:29" x14ac:dyDescent="0.25">
      <c r="O4528" s="42"/>
      <c r="R4528" s="42"/>
      <c r="AC4528" s="42"/>
    </row>
    <row r="4529" spans="15:29" x14ac:dyDescent="0.25">
      <c r="O4529" s="42"/>
      <c r="R4529" s="42"/>
      <c r="AC4529" s="42"/>
    </row>
    <row r="4530" spans="15:29" x14ac:dyDescent="0.25">
      <c r="O4530" s="42"/>
      <c r="R4530" s="42"/>
      <c r="AC4530" s="42"/>
    </row>
    <row r="4531" spans="15:29" x14ac:dyDescent="0.25">
      <c r="O4531" s="42"/>
      <c r="R4531" s="42"/>
      <c r="AC4531" s="42"/>
    </row>
    <row r="4532" spans="15:29" x14ac:dyDescent="0.25">
      <c r="O4532" s="42"/>
      <c r="R4532" s="42"/>
      <c r="AC4532" s="42"/>
    </row>
    <row r="4533" spans="15:29" x14ac:dyDescent="0.25">
      <c r="O4533" s="42"/>
      <c r="R4533" s="42"/>
      <c r="AC4533" s="42"/>
    </row>
    <row r="4534" spans="15:29" x14ac:dyDescent="0.25">
      <c r="O4534" s="42"/>
      <c r="R4534" s="42"/>
      <c r="AC4534" s="42"/>
    </row>
    <row r="4535" spans="15:29" x14ac:dyDescent="0.25">
      <c r="O4535" s="42"/>
      <c r="R4535" s="42"/>
      <c r="AC4535" s="42"/>
    </row>
    <row r="4536" spans="15:29" x14ac:dyDescent="0.25">
      <c r="O4536" s="42"/>
      <c r="R4536" s="42"/>
      <c r="AC4536" s="42"/>
    </row>
    <row r="4537" spans="15:29" x14ac:dyDescent="0.25">
      <c r="O4537" s="42"/>
      <c r="R4537" s="42"/>
      <c r="AC4537" s="42"/>
    </row>
    <row r="4538" spans="15:29" x14ac:dyDescent="0.25">
      <c r="O4538" s="42"/>
      <c r="R4538" s="42"/>
      <c r="AC4538" s="42"/>
    </row>
    <row r="4539" spans="15:29" x14ac:dyDescent="0.25">
      <c r="O4539" s="42"/>
      <c r="R4539" s="42"/>
      <c r="AC4539" s="42"/>
    </row>
    <row r="4540" spans="15:29" x14ac:dyDescent="0.25">
      <c r="O4540" s="42"/>
      <c r="R4540" s="42"/>
      <c r="AC4540" s="42"/>
    </row>
    <row r="4541" spans="15:29" x14ac:dyDescent="0.25">
      <c r="O4541" s="42"/>
      <c r="R4541" s="42"/>
      <c r="AC4541" s="42"/>
    </row>
    <row r="4542" spans="15:29" x14ac:dyDescent="0.25">
      <c r="O4542" s="42"/>
      <c r="R4542" s="42"/>
      <c r="AC4542" s="42"/>
    </row>
    <row r="4543" spans="15:29" x14ac:dyDescent="0.25">
      <c r="O4543" s="42"/>
      <c r="R4543" s="42"/>
      <c r="AC4543" s="42"/>
    </row>
    <row r="4544" spans="15:29" x14ac:dyDescent="0.25">
      <c r="O4544" s="42"/>
      <c r="R4544" s="42"/>
      <c r="AC4544" s="42"/>
    </row>
    <row r="4545" spans="15:29" x14ac:dyDescent="0.25">
      <c r="O4545" s="42"/>
      <c r="R4545" s="42"/>
      <c r="AC4545" s="42"/>
    </row>
    <row r="4546" spans="15:29" x14ac:dyDescent="0.25">
      <c r="O4546" s="42"/>
      <c r="R4546" s="42"/>
      <c r="AC4546" s="42"/>
    </row>
    <row r="4547" spans="15:29" x14ac:dyDescent="0.25">
      <c r="O4547" s="42"/>
      <c r="R4547" s="42"/>
      <c r="AC4547" s="42"/>
    </row>
    <row r="4548" spans="15:29" x14ac:dyDescent="0.25">
      <c r="O4548" s="42"/>
      <c r="R4548" s="42"/>
      <c r="AC4548" s="42"/>
    </row>
    <row r="4549" spans="15:29" x14ac:dyDescent="0.25">
      <c r="O4549" s="42"/>
      <c r="R4549" s="42"/>
      <c r="AC4549" s="42"/>
    </row>
    <row r="4550" spans="15:29" x14ac:dyDescent="0.25">
      <c r="O4550" s="42"/>
      <c r="R4550" s="42"/>
      <c r="AC4550" s="42"/>
    </row>
    <row r="4551" spans="15:29" x14ac:dyDescent="0.25">
      <c r="O4551" s="42"/>
      <c r="R4551" s="42"/>
      <c r="AC4551" s="42"/>
    </row>
    <row r="4552" spans="15:29" x14ac:dyDescent="0.25">
      <c r="O4552" s="42"/>
      <c r="R4552" s="42"/>
      <c r="AC4552" s="42"/>
    </row>
    <row r="4553" spans="15:29" x14ac:dyDescent="0.25">
      <c r="O4553" s="42"/>
      <c r="R4553" s="42"/>
      <c r="AC4553" s="42"/>
    </row>
    <row r="4554" spans="15:29" x14ac:dyDescent="0.25">
      <c r="O4554" s="42"/>
      <c r="R4554" s="42"/>
      <c r="AC4554" s="42"/>
    </row>
    <row r="4555" spans="15:29" x14ac:dyDescent="0.25">
      <c r="O4555" s="42"/>
      <c r="R4555" s="42"/>
      <c r="AC4555" s="42"/>
    </row>
    <row r="4556" spans="15:29" x14ac:dyDescent="0.25">
      <c r="O4556" s="42"/>
      <c r="R4556" s="42"/>
      <c r="AC4556" s="42"/>
    </row>
    <row r="4557" spans="15:29" x14ac:dyDescent="0.25">
      <c r="O4557" s="42"/>
      <c r="R4557" s="42"/>
      <c r="AC4557" s="42"/>
    </row>
    <row r="4558" spans="15:29" x14ac:dyDescent="0.25">
      <c r="O4558" s="42"/>
      <c r="R4558" s="42"/>
      <c r="AC4558" s="42"/>
    </row>
    <row r="4559" spans="15:29" x14ac:dyDescent="0.25">
      <c r="O4559" s="42"/>
      <c r="R4559" s="42"/>
      <c r="AC4559" s="42"/>
    </row>
    <row r="4560" spans="15:29" x14ac:dyDescent="0.25">
      <c r="O4560" s="42"/>
      <c r="R4560" s="42"/>
      <c r="AC4560" s="42"/>
    </row>
    <row r="4561" spans="15:29" x14ac:dyDescent="0.25">
      <c r="O4561" s="42"/>
      <c r="R4561" s="42"/>
      <c r="AC4561" s="42"/>
    </row>
    <row r="4562" spans="15:29" x14ac:dyDescent="0.25">
      <c r="O4562" s="42"/>
      <c r="R4562" s="42"/>
      <c r="AC4562" s="42"/>
    </row>
    <row r="4563" spans="15:29" x14ac:dyDescent="0.25">
      <c r="O4563" s="42"/>
      <c r="R4563" s="42"/>
      <c r="AC4563" s="42"/>
    </row>
    <row r="4564" spans="15:29" x14ac:dyDescent="0.25">
      <c r="O4564" s="42"/>
      <c r="R4564" s="42"/>
      <c r="AC4564" s="42"/>
    </row>
    <row r="4565" spans="15:29" x14ac:dyDescent="0.25">
      <c r="O4565" s="42"/>
      <c r="R4565" s="42"/>
      <c r="AC4565" s="42"/>
    </row>
    <row r="4566" spans="15:29" x14ac:dyDescent="0.25">
      <c r="O4566" s="42"/>
      <c r="R4566" s="42"/>
      <c r="AC4566" s="42"/>
    </row>
    <row r="4567" spans="15:29" x14ac:dyDescent="0.25">
      <c r="O4567" s="42"/>
      <c r="R4567" s="42"/>
      <c r="AC4567" s="42"/>
    </row>
    <row r="4568" spans="15:29" x14ac:dyDescent="0.25">
      <c r="O4568" s="42"/>
      <c r="R4568" s="42"/>
      <c r="AC4568" s="42"/>
    </row>
    <row r="4569" spans="15:29" x14ac:dyDescent="0.25">
      <c r="O4569" s="42"/>
      <c r="R4569" s="42"/>
      <c r="AC4569" s="42"/>
    </row>
    <row r="4570" spans="15:29" x14ac:dyDescent="0.25">
      <c r="O4570" s="42"/>
      <c r="R4570" s="42"/>
      <c r="AC4570" s="42"/>
    </row>
    <row r="4571" spans="15:29" x14ac:dyDescent="0.25">
      <c r="O4571" s="42"/>
      <c r="R4571" s="42"/>
      <c r="AC4571" s="42"/>
    </row>
    <row r="4572" spans="15:29" x14ac:dyDescent="0.25">
      <c r="O4572" s="42"/>
      <c r="R4572" s="42"/>
      <c r="AC4572" s="42"/>
    </row>
    <row r="4573" spans="15:29" x14ac:dyDescent="0.25">
      <c r="O4573" s="42"/>
      <c r="R4573" s="42"/>
      <c r="AC4573" s="42"/>
    </row>
    <row r="4574" spans="15:29" x14ac:dyDescent="0.25">
      <c r="O4574" s="42"/>
      <c r="R4574" s="42"/>
      <c r="AC4574" s="42"/>
    </row>
    <row r="4575" spans="15:29" x14ac:dyDescent="0.25">
      <c r="O4575" s="42"/>
      <c r="R4575" s="42"/>
      <c r="AC4575" s="42"/>
    </row>
    <row r="4576" spans="15:29" x14ac:dyDescent="0.25">
      <c r="O4576" s="42"/>
      <c r="R4576" s="42"/>
      <c r="AC4576" s="42"/>
    </row>
    <row r="4577" spans="15:29" x14ac:dyDescent="0.25">
      <c r="O4577" s="42"/>
      <c r="R4577" s="42"/>
      <c r="AC4577" s="42"/>
    </row>
    <row r="4578" spans="15:29" x14ac:dyDescent="0.25">
      <c r="O4578" s="42"/>
      <c r="R4578" s="42"/>
      <c r="AC4578" s="42"/>
    </row>
    <row r="4579" spans="15:29" x14ac:dyDescent="0.25">
      <c r="O4579" s="42"/>
      <c r="R4579" s="42"/>
      <c r="AC4579" s="42"/>
    </row>
    <row r="4580" spans="15:29" x14ac:dyDescent="0.25">
      <c r="O4580" s="42"/>
      <c r="R4580" s="42"/>
      <c r="AC4580" s="42"/>
    </row>
    <row r="4581" spans="15:29" x14ac:dyDescent="0.25">
      <c r="O4581" s="42"/>
      <c r="R4581" s="42"/>
      <c r="AC4581" s="42"/>
    </row>
    <row r="4582" spans="15:29" x14ac:dyDescent="0.25">
      <c r="O4582" s="42"/>
      <c r="R4582" s="42"/>
      <c r="AC4582" s="42"/>
    </row>
    <row r="4583" spans="15:29" x14ac:dyDescent="0.25">
      <c r="O4583" s="42"/>
      <c r="R4583" s="42"/>
      <c r="AC4583" s="42"/>
    </row>
    <row r="4584" spans="15:29" x14ac:dyDescent="0.25">
      <c r="O4584" s="42"/>
      <c r="R4584" s="42"/>
      <c r="AC4584" s="42"/>
    </row>
    <row r="4585" spans="15:29" x14ac:dyDescent="0.25">
      <c r="O4585" s="42"/>
      <c r="R4585" s="42"/>
      <c r="AC4585" s="42"/>
    </row>
    <row r="4586" spans="15:29" x14ac:dyDescent="0.25">
      <c r="O4586" s="42"/>
      <c r="R4586" s="42"/>
      <c r="AC4586" s="42"/>
    </row>
    <row r="4587" spans="15:29" x14ac:dyDescent="0.25">
      <c r="O4587" s="42"/>
      <c r="R4587" s="42"/>
      <c r="AC4587" s="42"/>
    </row>
    <row r="4588" spans="15:29" x14ac:dyDescent="0.25">
      <c r="O4588" s="42"/>
      <c r="R4588" s="42"/>
      <c r="AC4588" s="42"/>
    </row>
    <row r="4589" spans="15:29" x14ac:dyDescent="0.25">
      <c r="O4589" s="42"/>
      <c r="R4589" s="42"/>
      <c r="AC4589" s="42"/>
    </row>
    <row r="4590" spans="15:29" x14ac:dyDescent="0.25">
      <c r="O4590" s="42"/>
      <c r="R4590" s="42"/>
      <c r="AC4590" s="42"/>
    </row>
    <row r="4591" spans="15:29" x14ac:dyDescent="0.25">
      <c r="O4591" s="42"/>
      <c r="R4591" s="42"/>
      <c r="AC4591" s="42"/>
    </row>
    <row r="4592" spans="15:29" x14ac:dyDescent="0.25">
      <c r="O4592" s="42"/>
      <c r="R4592" s="42"/>
      <c r="AC4592" s="42"/>
    </row>
    <row r="4593" spans="15:29" x14ac:dyDescent="0.25">
      <c r="O4593" s="42"/>
      <c r="R4593" s="42"/>
      <c r="AC4593" s="42"/>
    </row>
    <row r="4594" spans="15:29" x14ac:dyDescent="0.25">
      <c r="O4594" s="42"/>
      <c r="R4594" s="42"/>
      <c r="AC4594" s="42"/>
    </row>
    <row r="4595" spans="15:29" x14ac:dyDescent="0.25">
      <c r="O4595" s="42"/>
      <c r="R4595" s="42"/>
      <c r="AC4595" s="42"/>
    </row>
    <row r="4596" spans="15:29" x14ac:dyDescent="0.25">
      <c r="O4596" s="42"/>
      <c r="R4596" s="42"/>
      <c r="AC4596" s="42"/>
    </row>
    <row r="4597" spans="15:29" x14ac:dyDescent="0.25">
      <c r="O4597" s="42"/>
      <c r="R4597" s="42"/>
      <c r="AC4597" s="42"/>
    </row>
    <row r="4598" spans="15:29" x14ac:dyDescent="0.25">
      <c r="O4598" s="42"/>
      <c r="R4598" s="42"/>
      <c r="AC4598" s="42"/>
    </row>
    <row r="4599" spans="15:29" x14ac:dyDescent="0.25">
      <c r="O4599" s="42"/>
      <c r="R4599" s="42"/>
      <c r="AC4599" s="42"/>
    </row>
    <row r="4600" spans="15:29" x14ac:dyDescent="0.25">
      <c r="O4600" s="42"/>
      <c r="R4600" s="42"/>
      <c r="AC4600" s="42"/>
    </row>
    <row r="4601" spans="15:29" x14ac:dyDescent="0.25">
      <c r="O4601" s="42"/>
      <c r="R4601" s="42"/>
      <c r="AC4601" s="42"/>
    </row>
    <row r="4602" spans="15:29" x14ac:dyDescent="0.25">
      <c r="O4602" s="42"/>
      <c r="R4602" s="42"/>
      <c r="AC4602" s="42"/>
    </row>
    <row r="4603" spans="15:29" x14ac:dyDescent="0.25">
      <c r="O4603" s="42"/>
      <c r="R4603" s="42"/>
      <c r="AC4603" s="42"/>
    </row>
    <row r="4604" spans="15:29" x14ac:dyDescent="0.25">
      <c r="O4604" s="42"/>
      <c r="R4604" s="42"/>
      <c r="AC4604" s="42"/>
    </row>
    <row r="4605" spans="15:29" x14ac:dyDescent="0.25">
      <c r="O4605" s="42"/>
      <c r="R4605" s="42"/>
      <c r="AC4605" s="42"/>
    </row>
    <row r="4606" spans="15:29" x14ac:dyDescent="0.25">
      <c r="O4606" s="42"/>
      <c r="R4606" s="42"/>
      <c r="AC4606" s="42"/>
    </row>
    <row r="4607" spans="15:29" x14ac:dyDescent="0.25">
      <c r="O4607" s="42"/>
      <c r="R4607" s="42"/>
      <c r="AC4607" s="42"/>
    </row>
    <row r="4608" spans="15:29" x14ac:dyDescent="0.25">
      <c r="O4608" s="42"/>
      <c r="R4608" s="42"/>
      <c r="AC4608" s="42"/>
    </row>
    <row r="4609" spans="15:29" x14ac:dyDescent="0.25">
      <c r="O4609" s="42"/>
      <c r="R4609" s="42"/>
      <c r="AC4609" s="42"/>
    </row>
    <row r="4610" spans="15:29" x14ac:dyDescent="0.25">
      <c r="O4610" s="42"/>
      <c r="R4610" s="42"/>
      <c r="AC4610" s="42"/>
    </row>
    <row r="4611" spans="15:29" x14ac:dyDescent="0.25">
      <c r="O4611" s="42"/>
      <c r="R4611" s="42"/>
      <c r="AC4611" s="42"/>
    </row>
    <row r="4612" spans="15:29" x14ac:dyDescent="0.25">
      <c r="O4612" s="42"/>
      <c r="R4612" s="42"/>
      <c r="AC4612" s="42"/>
    </row>
    <row r="4613" spans="15:29" x14ac:dyDescent="0.25">
      <c r="O4613" s="42"/>
      <c r="R4613" s="42"/>
      <c r="AC4613" s="42"/>
    </row>
    <row r="4614" spans="15:29" x14ac:dyDescent="0.25">
      <c r="O4614" s="42"/>
      <c r="R4614" s="42"/>
      <c r="AC4614" s="42"/>
    </row>
    <row r="4615" spans="15:29" x14ac:dyDescent="0.25">
      <c r="O4615" s="42"/>
      <c r="R4615" s="42"/>
      <c r="AC4615" s="42"/>
    </row>
    <row r="4616" spans="15:29" x14ac:dyDescent="0.25">
      <c r="O4616" s="42"/>
      <c r="R4616" s="42"/>
      <c r="AC4616" s="42"/>
    </row>
    <row r="4617" spans="15:29" x14ac:dyDescent="0.25">
      <c r="O4617" s="42"/>
      <c r="R4617" s="42"/>
      <c r="AC4617" s="42"/>
    </row>
    <row r="4618" spans="15:29" x14ac:dyDescent="0.25">
      <c r="O4618" s="42"/>
      <c r="R4618" s="42"/>
      <c r="AC4618" s="42"/>
    </row>
    <row r="4619" spans="15:29" x14ac:dyDescent="0.25">
      <c r="O4619" s="42"/>
      <c r="R4619" s="42"/>
      <c r="AC4619" s="42"/>
    </row>
    <row r="4620" spans="15:29" x14ac:dyDescent="0.25">
      <c r="O4620" s="42"/>
      <c r="R4620" s="42"/>
      <c r="AC4620" s="42"/>
    </row>
    <row r="4621" spans="15:29" x14ac:dyDescent="0.25">
      <c r="O4621" s="42"/>
      <c r="R4621" s="42"/>
      <c r="AC4621" s="42"/>
    </row>
    <row r="4622" spans="15:29" x14ac:dyDescent="0.25">
      <c r="O4622" s="42"/>
      <c r="R4622" s="42"/>
      <c r="AC4622" s="42"/>
    </row>
    <row r="4623" spans="15:29" x14ac:dyDescent="0.25">
      <c r="O4623" s="42"/>
      <c r="R4623" s="42"/>
      <c r="AC4623" s="42"/>
    </row>
    <row r="4624" spans="15:29" x14ac:dyDescent="0.25">
      <c r="O4624" s="42"/>
      <c r="R4624" s="42"/>
      <c r="AC4624" s="42"/>
    </row>
    <row r="4625" spans="15:29" x14ac:dyDescent="0.25">
      <c r="O4625" s="42"/>
      <c r="R4625" s="42"/>
      <c r="AC4625" s="42"/>
    </row>
    <row r="4626" spans="15:29" x14ac:dyDescent="0.25">
      <c r="O4626" s="42"/>
      <c r="R4626" s="42"/>
      <c r="AC4626" s="42"/>
    </row>
    <row r="4627" spans="15:29" x14ac:dyDescent="0.25">
      <c r="O4627" s="42"/>
      <c r="R4627" s="42"/>
      <c r="AC4627" s="42"/>
    </row>
    <row r="4628" spans="15:29" x14ac:dyDescent="0.25">
      <c r="O4628" s="42"/>
      <c r="R4628" s="42"/>
      <c r="AC4628" s="42"/>
    </row>
    <row r="4629" spans="15:29" x14ac:dyDescent="0.25">
      <c r="O4629" s="42"/>
      <c r="R4629" s="42"/>
      <c r="AC4629" s="42"/>
    </row>
    <row r="4630" spans="15:29" x14ac:dyDescent="0.25">
      <c r="O4630" s="42"/>
      <c r="R4630" s="42"/>
      <c r="AC4630" s="42"/>
    </row>
    <row r="4631" spans="15:29" x14ac:dyDescent="0.25">
      <c r="O4631" s="42"/>
      <c r="R4631" s="42"/>
      <c r="AC4631" s="42"/>
    </row>
    <row r="4632" spans="15:29" x14ac:dyDescent="0.25">
      <c r="O4632" s="42"/>
      <c r="R4632" s="42"/>
      <c r="AC4632" s="42"/>
    </row>
    <row r="4633" spans="15:29" x14ac:dyDescent="0.25">
      <c r="O4633" s="42"/>
      <c r="R4633" s="42"/>
      <c r="AC4633" s="42"/>
    </row>
    <row r="4634" spans="15:29" x14ac:dyDescent="0.25">
      <c r="O4634" s="42"/>
      <c r="R4634" s="42"/>
      <c r="AC4634" s="42"/>
    </row>
    <row r="4635" spans="15:29" x14ac:dyDescent="0.25">
      <c r="O4635" s="42"/>
      <c r="R4635" s="42"/>
      <c r="AC4635" s="42"/>
    </row>
    <row r="4636" spans="15:29" x14ac:dyDescent="0.25">
      <c r="O4636" s="42"/>
      <c r="R4636" s="42"/>
      <c r="AC4636" s="42"/>
    </row>
    <row r="4637" spans="15:29" x14ac:dyDescent="0.25">
      <c r="O4637" s="42"/>
      <c r="R4637" s="42"/>
      <c r="AC4637" s="42"/>
    </row>
    <row r="4638" spans="15:29" x14ac:dyDescent="0.25">
      <c r="O4638" s="42"/>
      <c r="R4638" s="42"/>
      <c r="AC4638" s="42"/>
    </row>
    <row r="4639" spans="15:29" x14ac:dyDescent="0.25">
      <c r="O4639" s="42"/>
      <c r="R4639" s="42"/>
      <c r="AC4639" s="42"/>
    </row>
    <row r="4640" spans="15:29" x14ac:dyDescent="0.25">
      <c r="O4640" s="42"/>
      <c r="R4640" s="42"/>
      <c r="AC4640" s="42"/>
    </row>
    <row r="4641" spans="15:29" x14ac:dyDescent="0.25">
      <c r="O4641" s="42"/>
      <c r="R4641" s="42"/>
      <c r="AC4641" s="42"/>
    </row>
    <row r="4642" spans="15:29" x14ac:dyDescent="0.25">
      <c r="O4642" s="42"/>
      <c r="R4642" s="42"/>
      <c r="AC4642" s="42"/>
    </row>
    <row r="4643" spans="15:29" x14ac:dyDescent="0.25">
      <c r="O4643" s="42"/>
      <c r="R4643" s="42"/>
      <c r="AC4643" s="42"/>
    </row>
    <row r="4644" spans="15:29" x14ac:dyDescent="0.25">
      <c r="O4644" s="42"/>
      <c r="R4644" s="42"/>
      <c r="AC4644" s="42"/>
    </row>
    <row r="4645" spans="15:29" x14ac:dyDescent="0.25">
      <c r="O4645" s="42"/>
      <c r="R4645" s="42"/>
      <c r="AC4645" s="42"/>
    </row>
    <row r="4646" spans="15:29" x14ac:dyDescent="0.25">
      <c r="O4646" s="42"/>
      <c r="R4646" s="42"/>
      <c r="AC4646" s="42"/>
    </row>
    <row r="4647" spans="15:29" x14ac:dyDescent="0.25">
      <c r="O4647" s="42"/>
      <c r="R4647" s="42"/>
      <c r="AC4647" s="42"/>
    </row>
    <row r="4648" spans="15:29" x14ac:dyDescent="0.25">
      <c r="O4648" s="42"/>
      <c r="R4648" s="42"/>
      <c r="AC4648" s="42"/>
    </row>
    <row r="4649" spans="15:29" x14ac:dyDescent="0.25">
      <c r="O4649" s="42"/>
      <c r="R4649" s="42"/>
      <c r="AC4649" s="42"/>
    </row>
    <row r="4650" spans="15:29" x14ac:dyDescent="0.25">
      <c r="O4650" s="42"/>
      <c r="R4650" s="42"/>
      <c r="AC4650" s="42"/>
    </row>
    <row r="4651" spans="15:29" x14ac:dyDescent="0.25">
      <c r="O4651" s="42"/>
      <c r="R4651" s="42"/>
      <c r="AC4651" s="42"/>
    </row>
    <row r="4652" spans="15:29" x14ac:dyDescent="0.25">
      <c r="O4652" s="42"/>
      <c r="R4652" s="42"/>
      <c r="AC4652" s="42"/>
    </row>
    <row r="4653" spans="15:29" x14ac:dyDescent="0.25">
      <c r="O4653" s="42"/>
      <c r="R4653" s="42"/>
      <c r="AC4653" s="42"/>
    </row>
    <row r="4654" spans="15:29" x14ac:dyDescent="0.25">
      <c r="O4654" s="42"/>
      <c r="R4654" s="42"/>
      <c r="AC4654" s="42"/>
    </row>
    <row r="4655" spans="15:29" x14ac:dyDescent="0.25">
      <c r="O4655" s="42"/>
      <c r="R4655" s="42"/>
      <c r="AC4655" s="42"/>
    </row>
    <row r="4656" spans="15:29" x14ac:dyDescent="0.25">
      <c r="O4656" s="42"/>
      <c r="R4656" s="42"/>
      <c r="AC4656" s="42"/>
    </row>
    <row r="4657" spans="15:29" x14ac:dyDescent="0.25">
      <c r="O4657" s="42"/>
      <c r="R4657" s="42"/>
      <c r="AC4657" s="42"/>
    </row>
    <row r="4658" spans="15:29" x14ac:dyDescent="0.25">
      <c r="O4658" s="42"/>
      <c r="R4658" s="42"/>
      <c r="AC4658" s="42"/>
    </row>
    <row r="4659" spans="15:29" x14ac:dyDescent="0.25">
      <c r="O4659" s="42"/>
      <c r="R4659" s="42"/>
      <c r="AC4659" s="42"/>
    </row>
    <row r="4660" spans="15:29" x14ac:dyDescent="0.25">
      <c r="O4660" s="42"/>
      <c r="R4660" s="42"/>
      <c r="AC4660" s="42"/>
    </row>
    <row r="4661" spans="15:29" x14ac:dyDescent="0.25">
      <c r="O4661" s="42"/>
      <c r="R4661" s="42"/>
      <c r="AC4661" s="42"/>
    </row>
    <row r="4662" spans="15:29" x14ac:dyDescent="0.25">
      <c r="O4662" s="42"/>
      <c r="R4662" s="42"/>
      <c r="AC4662" s="42"/>
    </row>
    <row r="4663" spans="15:29" x14ac:dyDescent="0.25">
      <c r="O4663" s="42"/>
      <c r="R4663" s="42"/>
      <c r="AC4663" s="42"/>
    </row>
    <row r="4664" spans="15:29" x14ac:dyDescent="0.25">
      <c r="O4664" s="42"/>
      <c r="R4664" s="42"/>
      <c r="AC4664" s="42"/>
    </row>
    <row r="4665" spans="15:29" x14ac:dyDescent="0.25">
      <c r="O4665" s="42"/>
      <c r="R4665" s="42"/>
      <c r="AC4665" s="42"/>
    </row>
    <row r="4666" spans="15:29" x14ac:dyDescent="0.25">
      <c r="O4666" s="42"/>
      <c r="R4666" s="42"/>
      <c r="AC4666" s="42"/>
    </row>
    <row r="4667" spans="15:29" x14ac:dyDescent="0.25">
      <c r="O4667" s="42"/>
      <c r="R4667" s="42"/>
      <c r="AC4667" s="42"/>
    </row>
    <row r="4668" spans="15:29" x14ac:dyDescent="0.25">
      <c r="O4668" s="42"/>
      <c r="R4668" s="42"/>
      <c r="AC4668" s="42"/>
    </row>
    <row r="4669" spans="15:29" x14ac:dyDescent="0.25">
      <c r="O4669" s="42"/>
      <c r="R4669" s="42"/>
      <c r="AC4669" s="42"/>
    </row>
    <row r="4670" spans="15:29" x14ac:dyDescent="0.25">
      <c r="O4670" s="42"/>
      <c r="R4670" s="42"/>
      <c r="AC4670" s="42"/>
    </row>
    <row r="4671" spans="15:29" x14ac:dyDescent="0.25">
      <c r="O4671" s="42"/>
      <c r="R4671" s="42"/>
      <c r="AC4671" s="42"/>
    </row>
    <row r="4672" spans="15:29" x14ac:dyDescent="0.25">
      <c r="O4672" s="42"/>
      <c r="R4672" s="42"/>
      <c r="AC4672" s="42"/>
    </row>
    <row r="4673" spans="15:29" x14ac:dyDescent="0.25">
      <c r="O4673" s="42"/>
      <c r="R4673" s="42"/>
      <c r="AC4673" s="42"/>
    </row>
    <row r="4674" spans="15:29" x14ac:dyDescent="0.25">
      <c r="O4674" s="42"/>
      <c r="R4674" s="42"/>
      <c r="AC4674" s="42"/>
    </row>
    <row r="4675" spans="15:29" x14ac:dyDescent="0.25">
      <c r="O4675" s="42"/>
      <c r="R4675" s="42"/>
      <c r="AC4675" s="42"/>
    </row>
    <row r="4676" spans="15:29" x14ac:dyDescent="0.25">
      <c r="O4676" s="42"/>
      <c r="R4676" s="42"/>
      <c r="AC4676" s="42"/>
    </row>
    <row r="4677" spans="15:29" x14ac:dyDescent="0.25">
      <c r="O4677" s="42"/>
      <c r="R4677" s="42"/>
      <c r="AC4677" s="42"/>
    </row>
    <row r="4678" spans="15:29" x14ac:dyDescent="0.25">
      <c r="O4678" s="42"/>
      <c r="R4678" s="42"/>
      <c r="AC4678" s="42"/>
    </row>
    <row r="4679" spans="15:29" x14ac:dyDescent="0.25">
      <c r="O4679" s="42"/>
      <c r="R4679" s="42"/>
      <c r="AC4679" s="42"/>
    </row>
    <row r="4680" spans="15:29" x14ac:dyDescent="0.25">
      <c r="O4680" s="42"/>
      <c r="R4680" s="42"/>
      <c r="AC4680" s="42"/>
    </row>
    <row r="4681" spans="15:29" x14ac:dyDescent="0.25">
      <c r="O4681" s="42"/>
      <c r="R4681" s="42"/>
      <c r="AC4681" s="42"/>
    </row>
    <row r="4682" spans="15:29" x14ac:dyDescent="0.25">
      <c r="O4682" s="42"/>
      <c r="R4682" s="42"/>
      <c r="AC4682" s="42"/>
    </row>
    <row r="4683" spans="15:29" x14ac:dyDescent="0.25">
      <c r="O4683" s="42"/>
      <c r="R4683" s="42"/>
      <c r="AC4683" s="42"/>
    </row>
    <row r="4684" spans="15:29" x14ac:dyDescent="0.25">
      <c r="O4684" s="42"/>
      <c r="R4684" s="42"/>
      <c r="AC4684" s="42"/>
    </row>
    <row r="4685" spans="15:29" x14ac:dyDescent="0.25">
      <c r="O4685" s="42"/>
      <c r="R4685" s="42"/>
      <c r="AC4685" s="42"/>
    </row>
    <row r="4686" spans="15:29" x14ac:dyDescent="0.25">
      <c r="O4686" s="42"/>
      <c r="R4686" s="42"/>
      <c r="AC4686" s="42"/>
    </row>
    <row r="4687" spans="15:29" x14ac:dyDescent="0.25">
      <c r="O4687" s="42"/>
      <c r="R4687" s="42"/>
      <c r="AC4687" s="42"/>
    </row>
    <row r="4688" spans="15:29" x14ac:dyDescent="0.25">
      <c r="O4688" s="42"/>
      <c r="R4688" s="42"/>
      <c r="AC4688" s="42"/>
    </row>
    <row r="4689" spans="15:29" x14ac:dyDescent="0.25">
      <c r="O4689" s="42"/>
      <c r="R4689" s="42"/>
      <c r="AC4689" s="42"/>
    </row>
    <row r="4690" spans="15:29" x14ac:dyDescent="0.25">
      <c r="O4690" s="42"/>
      <c r="R4690" s="42"/>
      <c r="AC4690" s="42"/>
    </row>
    <row r="4691" spans="15:29" x14ac:dyDescent="0.25">
      <c r="O4691" s="42"/>
      <c r="R4691" s="42"/>
      <c r="AC4691" s="42"/>
    </row>
    <row r="4692" spans="15:29" x14ac:dyDescent="0.25">
      <c r="O4692" s="42"/>
      <c r="R4692" s="42"/>
      <c r="AC4692" s="42"/>
    </row>
    <row r="4693" spans="15:29" x14ac:dyDescent="0.25">
      <c r="O4693" s="42"/>
      <c r="R4693" s="42"/>
      <c r="AC4693" s="42"/>
    </row>
    <row r="4694" spans="15:29" x14ac:dyDescent="0.25">
      <c r="O4694" s="42"/>
      <c r="R4694" s="42"/>
      <c r="AC4694" s="42"/>
    </row>
    <row r="4695" spans="15:29" x14ac:dyDescent="0.25">
      <c r="O4695" s="42"/>
      <c r="R4695" s="42"/>
      <c r="AC4695" s="42"/>
    </row>
    <row r="4696" spans="15:29" x14ac:dyDescent="0.25">
      <c r="O4696" s="42"/>
      <c r="R4696" s="42"/>
      <c r="AC4696" s="42"/>
    </row>
    <row r="4697" spans="15:29" x14ac:dyDescent="0.25">
      <c r="O4697" s="42"/>
      <c r="R4697" s="42"/>
      <c r="AC4697" s="42"/>
    </row>
    <row r="4698" spans="15:29" x14ac:dyDescent="0.25">
      <c r="O4698" s="42"/>
      <c r="R4698" s="42"/>
      <c r="AC4698" s="42"/>
    </row>
    <row r="4699" spans="15:29" x14ac:dyDescent="0.25">
      <c r="O4699" s="42"/>
      <c r="R4699" s="42"/>
      <c r="AC4699" s="42"/>
    </row>
    <row r="4700" spans="15:29" x14ac:dyDescent="0.25">
      <c r="O4700" s="42"/>
      <c r="R4700" s="42"/>
      <c r="AC4700" s="42"/>
    </row>
    <row r="4701" spans="15:29" x14ac:dyDescent="0.25">
      <c r="O4701" s="42"/>
      <c r="R4701" s="42"/>
      <c r="AC4701" s="42"/>
    </row>
    <row r="4702" spans="15:29" x14ac:dyDescent="0.25">
      <c r="O4702" s="42"/>
      <c r="R4702" s="42"/>
      <c r="AC4702" s="42"/>
    </row>
    <row r="4703" spans="15:29" x14ac:dyDescent="0.25">
      <c r="O4703" s="42"/>
      <c r="R4703" s="42"/>
      <c r="AC4703" s="42"/>
    </row>
    <row r="4704" spans="15:29" x14ac:dyDescent="0.25">
      <c r="O4704" s="42"/>
      <c r="R4704" s="42"/>
      <c r="AC4704" s="42"/>
    </row>
    <row r="4705" spans="15:29" x14ac:dyDescent="0.25">
      <c r="O4705" s="42"/>
      <c r="R4705" s="42"/>
      <c r="AC4705" s="42"/>
    </row>
    <row r="4706" spans="15:29" x14ac:dyDescent="0.25">
      <c r="O4706" s="42"/>
      <c r="R4706" s="42"/>
      <c r="AC4706" s="42"/>
    </row>
    <row r="4707" spans="15:29" x14ac:dyDescent="0.25">
      <c r="O4707" s="42"/>
      <c r="R4707" s="42"/>
      <c r="AC4707" s="42"/>
    </row>
    <row r="4708" spans="15:29" x14ac:dyDescent="0.25">
      <c r="O4708" s="42"/>
      <c r="R4708" s="42"/>
      <c r="AC4708" s="42"/>
    </row>
    <row r="4709" spans="15:29" x14ac:dyDescent="0.25">
      <c r="O4709" s="42"/>
      <c r="R4709" s="42"/>
      <c r="AC4709" s="42"/>
    </row>
    <row r="4710" spans="15:29" x14ac:dyDescent="0.25">
      <c r="O4710" s="42"/>
      <c r="R4710" s="42"/>
      <c r="AC4710" s="42"/>
    </row>
    <row r="4711" spans="15:29" x14ac:dyDescent="0.25">
      <c r="O4711" s="42"/>
      <c r="R4711" s="42"/>
      <c r="AC4711" s="42"/>
    </row>
    <row r="4712" spans="15:29" x14ac:dyDescent="0.25">
      <c r="O4712" s="42"/>
      <c r="R4712" s="42"/>
      <c r="AC4712" s="42"/>
    </row>
    <row r="4713" spans="15:29" x14ac:dyDescent="0.25">
      <c r="O4713" s="42"/>
      <c r="R4713" s="42"/>
      <c r="AC4713" s="42"/>
    </row>
    <row r="4714" spans="15:29" x14ac:dyDescent="0.25">
      <c r="O4714" s="42"/>
      <c r="R4714" s="42"/>
      <c r="AC4714" s="42"/>
    </row>
    <row r="4715" spans="15:29" x14ac:dyDescent="0.25">
      <c r="O4715" s="42"/>
      <c r="R4715" s="42"/>
      <c r="AC4715" s="42"/>
    </row>
    <row r="4716" spans="15:29" x14ac:dyDescent="0.25">
      <c r="O4716" s="42"/>
      <c r="R4716" s="42"/>
      <c r="AC4716" s="42"/>
    </row>
    <row r="4717" spans="15:29" x14ac:dyDescent="0.25">
      <c r="O4717" s="42"/>
      <c r="R4717" s="42"/>
      <c r="AC4717" s="42"/>
    </row>
    <row r="4718" spans="15:29" x14ac:dyDescent="0.25">
      <c r="O4718" s="42"/>
      <c r="R4718" s="42"/>
      <c r="AC4718" s="42"/>
    </row>
    <row r="4719" spans="15:29" x14ac:dyDescent="0.25">
      <c r="O4719" s="42"/>
      <c r="R4719" s="42"/>
      <c r="AC4719" s="42"/>
    </row>
    <row r="4720" spans="15:29" x14ac:dyDescent="0.25">
      <c r="O4720" s="42"/>
      <c r="R4720" s="42"/>
      <c r="AC4720" s="42"/>
    </row>
    <row r="4721" spans="15:29" x14ac:dyDescent="0.25">
      <c r="O4721" s="42"/>
      <c r="R4721" s="42"/>
      <c r="AC4721" s="42"/>
    </row>
    <row r="4722" spans="15:29" x14ac:dyDescent="0.25">
      <c r="O4722" s="42"/>
      <c r="R4722" s="42"/>
      <c r="AC4722" s="42"/>
    </row>
    <row r="4723" spans="15:29" x14ac:dyDescent="0.25">
      <c r="O4723" s="42"/>
      <c r="R4723" s="42"/>
      <c r="AC4723" s="42"/>
    </row>
    <row r="4724" spans="15:29" x14ac:dyDescent="0.25">
      <c r="O4724" s="42"/>
      <c r="R4724" s="42"/>
      <c r="AC4724" s="42"/>
    </row>
    <row r="4725" spans="15:29" x14ac:dyDescent="0.25">
      <c r="O4725" s="42"/>
      <c r="R4725" s="42"/>
      <c r="AC4725" s="42"/>
    </row>
    <row r="4726" spans="15:29" x14ac:dyDescent="0.25">
      <c r="O4726" s="42"/>
      <c r="R4726" s="42"/>
      <c r="AC4726" s="42"/>
    </row>
    <row r="4727" spans="15:29" x14ac:dyDescent="0.25">
      <c r="O4727" s="42"/>
      <c r="R4727" s="42"/>
      <c r="AC4727" s="42"/>
    </row>
    <row r="4728" spans="15:29" x14ac:dyDescent="0.25">
      <c r="O4728" s="42"/>
      <c r="R4728" s="42"/>
      <c r="AC4728" s="42"/>
    </row>
    <row r="4729" spans="15:29" x14ac:dyDescent="0.25">
      <c r="O4729" s="42"/>
      <c r="R4729" s="42"/>
      <c r="AC4729" s="42"/>
    </row>
    <row r="4730" spans="15:29" x14ac:dyDescent="0.25">
      <c r="O4730" s="42"/>
      <c r="R4730" s="42"/>
      <c r="AC4730" s="42"/>
    </row>
    <row r="4731" spans="15:29" x14ac:dyDescent="0.25">
      <c r="O4731" s="42"/>
      <c r="R4731" s="42"/>
      <c r="AC4731" s="42"/>
    </row>
    <row r="4732" spans="15:29" x14ac:dyDescent="0.25">
      <c r="O4732" s="42"/>
      <c r="R4732" s="42"/>
      <c r="AC4732" s="42"/>
    </row>
    <row r="4733" spans="15:29" x14ac:dyDescent="0.25">
      <c r="O4733" s="42"/>
      <c r="R4733" s="42"/>
      <c r="AC4733" s="42"/>
    </row>
    <row r="4734" spans="15:29" x14ac:dyDescent="0.25">
      <c r="O4734" s="42"/>
      <c r="R4734" s="42"/>
      <c r="AC4734" s="42"/>
    </row>
    <row r="4735" spans="15:29" x14ac:dyDescent="0.25">
      <c r="O4735" s="42"/>
      <c r="R4735" s="42"/>
      <c r="AC4735" s="42"/>
    </row>
    <row r="4736" spans="15:29" x14ac:dyDescent="0.25">
      <c r="O4736" s="42"/>
      <c r="R4736" s="42"/>
      <c r="AC4736" s="42"/>
    </row>
    <row r="4737" spans="15:29" x14ac:dyDescent="0.25">
      <c r="O4737" s="42"/>
      <c r="R4737" s="42"/>
      <c r="AC4737" s="42"/>
    </row>
    <row r="4738" spans="15:29" x14ac:dyDescent="0.25">
      <c r="O4738" s="42"/>
      <c r="R4738" s="42"/>
      <c r="AC4738" s="42"/>
    </row>
    <row r="4739" spans="15:29" x14ac:dyDescent="0.25">
      <c r="O4739" s="42"/>
      <c r="R4739" s="42"/>
      <c r="AC4739" s="42"/>
    </row>
    <row r="4740" spans="15:29" x14ac:dyDescent="0.25">
      <c r="O4740" s="42"/>
      <c r="R4740" s="42"/>
      <c r="AC4740" s="42"/>
    </row>
    <row r="4741" spans="15:29" x14ac:dyDescent="0.25">
      <c r="O4741" s="42"/>
      <c r="R4741" s="42"/>
      <c r="AC4741" s="42"/>
    </row>
    <row r="4742" spans="15:29" x14ac:dyDescent="0.25">
      <c r="O4742" s="42"/>
      <c r="R4742" s="42"/>
      <c r="AC4742" s="42"/>
    </row>
    <row r="4743" spans="15:29" x14ac:dyDescent="0.25">
      <c r="O4743" s="42"/>
      <c r="R4743" s="42"/>
      <c r="AC4743" s="42"/>
    </row>
    <row r="4744" spans="15:29" x14ac:dyDescent="0.25">
      <c r="O4744" s="42"/>
      <c r="R4744" s="42"/>
      <c r="AC4744" s="42"/>
    </row>
    <row r="4745" spans="15:29" x14ac:dyDescent="0.25">
      <c r="O4745" s="42"/>
      <c r="R4745" s="42"/>
      <c r="AC4745" s="42"/>
    </row>
    <row r="4746" spans="15:29" x14ac:dyDescent="0.25">
      <c r="O4746" s="42"/>
      <c r="R4746" s="42"/>
      <c r="AC4746" s="42"/>
    </row>
    <row r="4747" spans="15:29" x14ac:dyDescent="0.25">
      <c r="O4747" s="42"/>
      <c r="R4747" s="42"/>
      <c r="AC4747" s="42"/>
    </row>
    <row r="4748" spans="15:29" x14ac:dyDescent="0.25">
      <c r="O4748" s="42"/>
      <c r="R4748" s="42"/>
      <c r="AC4748" s="42"/>
    </row>
    <row r="4749" spans="15:29" x14ac:dyDescent="0.25">
      <c r="O4749" s="42"/>
      <c r="R4749" s="42"/>
      <c r="AC4749" s="42"/>
    </row>
    <row r="4750" spans="15:29" x14ac:dyDescent="0.25">
      <c r="O4750" s="42"/>
      <c r="R4750" s="42"/>
      <c r="AC4750" s="42"/>
    </row>
    <row r="4751" spans="15:29" x14ac:dyDescent="0.25">
      <c r="O4751" s="42"/>
      <c r="R4751" s="42"/>
      <c r="AC4751" s="42"/>
    </row>
    <row r="4752" spans="15:29" x14ac:dyDescent="0.25">
      <c r="O4752" s="42"/>
      <c r="R4752" s="42"/>
      <c r="AC4752" s="42"/>
    </row>
    <row r="4753" spans="15:29" x14ac:dyDescent="0.25">
      <c r="O4753" s="42"/>
      <c r="R4753" s="42"/>
      <c r="AC4753" s="42"/>
    </row>
    <row r="4754" spans="15:29" x14ac:dyDescent="0.25">
      <c r="O4754" s="42"/>
      <c r="R4754" s="42"/>
      <c r="AC4754" s="42"/>
    </row>
    <row r="4755" spans="15:29" x14ac:dyDescent="0.25">
      <c r="O4755" s="42"/>
      <c r="R4755" s="42"/>
      <c r="AC4755" s="42"/>
    </row>
    <row r="4756" spans="15:29" x14ac:dyDescent="0.25">
      <c r="O4756" s="42"/>
      <c r="R4756" s="42"/>
      <c r="AC4756" s="42"/>
    </row>
    <row r="4757" spans="15:29" x14ac:dyDescent="0.25">
      <c r="O4757" s="42"/>
      <c r="R4757" s="42"/>
      <c r="AC4757" s="42"/>
    </row>
    <row r="4758" spans="15:29" x14ac:dyDescent="0.25">
      <c r="O4758" s="42"/>
      <c r="R4758" s="42"/>
      <c r="AC4758" s="42"/>
    </row>
    <row r="4759" spans="15:29" x14ac:dyDescent="0.25">
      <c r="O4759" s="42"/>
      <c r="R4759" s="42"/>
      <c r="AC4759" s="42"/>
    </row>
    <row r="4760" spans="15:29" x14ac:dyDescent="0.25">
      <c r="O4760" s="42"/>
      <c r="R4760" s="42"/>
      <c r="AC4760" s="42"/>
    </row>
    <row r="4761" spans="15:29" x14ac:dyDescent="0.25">
      <c r="O4761" s="42"/>
      <c r="R4761" s="42"/>
      <c r="AC4761" s="42"/>
    </row>
    <row r="4762" spans="15:29" x14ac:dyDescent="0.25">
      <c r="O4762" s="42"/>
      <c r="R4762" s="42"/>
      <c r="AC4762" s="42"/>
    </row>
    <row r="4763" spans="15:29" x14ac:dyDescent="0.25">
      <c r="O4763" s="42"/>
      <c r="R4763" s="42"/>
      <c r="AC4763" s="42"/>
    </row>
    <row r="4764" spans="15:29" x14ac:dyDescent="0.25">
      <c r="O4764" s="42"/>
      <c r="R4764" s="42"/>
      <c r="AC4764" s="42"/>
    </row>
    <row r="4765" spans="15:29" x14ac:dyDescent="0.25">
      <c r="O4765" s="42"/>
      <c r="R4765" s="42"/>
      <c r="AC4765" s="42"/>
    </row>
    <row r="4766" spans="15:29" x14ac:dyDescent="0.25">
      <c r="O4766" s="42"/>
      <c r="R4766" s="42"/>
      <c r="AC4766" s="42"/>
    </row>
    <row r="4767" spans="15:29" x14ac:dyDescent="0.25">
      <c r="O4767" s="42"/>
      <c r="R4767" s="42"/>
      <c r="AC4767" s="42"/>
    </row>
    <row r="4768" spans="15:29" x14ac:dyDescent="0.25">
      <c r="O4768" s="42"/>
      <c r="R4768" s="42"/>
      <c r="AC4768" s="42"/>
    </row>
    <row r="4769" spans="15:29" x14ac:dyDescent="0.25">
      <c r="O4769" s="42"/>
      <c r="R4769" s="42"/>
      <c r="AC4769" s="42"/>
    </row>
    <row r="4770" spans="15:29" x14ac:dyDescent="0.25">
      <c r="O4770" s="42"/>
      <c r="R4770" s="42"/>
      <c r="AC4770" s="42"/>
    </row>
    <row r="4771" spans="15:29" x14ac:dyDescent="0.25">
      <c r="O4771" s="42"/>
      <c r="R4771" s="42"/>
      <c r="AC4771" s="42"/>
    </row>
    <row r="4772" spans="15:29" x14ac:dyDescent="0.25">
      <c r="O4772" s="42"/>
      <c r="R4772" s="42"/>
      <c r="AC4772" s="42"/>
    </row>
    <row r="4773" spans="15:29" x14ac:dyDescent="0.25">
      <c r="O4773" s="42"/>
      <c r="R4773" s="42"/>
      <c r="AC4773" s="42"/>
    </row>
    <row r="4774" spans="15:29" x14ac:dyDescent="0.25">
      <c r="O4774" s="42"/>
      <c r="R4774" s="42"/>
      <c r="AC4774" s="42"/>
    </row>
    <row r="4775" spans="15:29" x14ac:dyDescent="0.25">
      <c r="O4775" s="42"/>
      <c r="R4775" s="42"/>
      <c r="AC4775" s="42"/>
    </row>
    <row r="4776" spans="15:29" x14ac:dyDescent="0.25">
      <c r="O4776" s="42"/>
      <c r="R4776" s="42"/>
      <c r="AC4776" s="42"/>
    </row>
    <row r="4777" spans="15:29" x14ac:dyDescent="0.25">
      <c r="O4777" s="42"/>
      <c r="R4777" s="42"/>
      <c r="AC4777" s="42"/>
    </row>
    <row r="4778" spans="15:29" x14ac:dyDescent="0.25">
      <c r="O4778" s="42"/>
      <c r="R4778" s="42"/>
      <c r="AC4778" s="42"/>
    </row>
    <row r="4779" spans="15:29" x14ac:dyDescent="0.25">
      <c r="O4779" s="42"/>
      <c r="R4779" s="42"/>
      <c r="AC4779" s="42"/>
    </row>
    <row r="4780" spans="15:29" x14ac:dyDescent="0.25">
      <c r="O4780" s="42"/>
      <c r="R4780" s="42"/>
      <c r="AC4780" s="42"/>
    </row>
    <row r="4781" spans="15:29" x14ac:dyDescent="0.25">
      <c r="O4781" s="42"/>
      <c r="R4781" s="42"/>
      <c r="AC4781" s="42"/>
    </row>
    <row r="4782" spans="15:29" x14ac:dyDescent="0.25">
      <c r="O4782" s="42"/>
      <c r="R4782" s="42"/>
      <c r="AC4782" s="42"/>
    </row>
    <row r="4783" spans="15:29" x14ac:dyDescent="0.25">
      <c r="O4783" s="42"/>
      <c r="R4783" s="42"/>
      <c r="AC4783" s="42"/>
    </row>
    <row r="4784" spans="15:29" x14ac:dyDescent="0.25">
      <c r="O4784" s="42"/>
      <c r="R4784" s="42"/>
      <c r="AC4784" s="42"/>
    </row>
    <row r="4785" spans="15:29" x14ac:dyDescent="0.25">
      <c r="O4785" s="42"/>
      <c r="R4785" s="42"/>
      <c r="AC4785" s="42"/>
    </row>
    <row r="4786" spans="15:29" x14ac:dyDescent="0.25">
      <c r="O4786" s="42"/>
      <c r="R4786" s="42"/>
      <c r="AC4786" s="42"/>
    </row>
    <row r="4787" spans="15:29" x14ac:dyDescent="0.25">
      <c r="O4787" s="42"/>
      <c r="R4787" s="42"/>
      <c r="AC4787" s="42"/>
    </row>
    <row r="4788" spans="15:29" x14ac:dyDescent="0.25">
      <c r="O4788" s="42"/>
      <c r="R4788" s="42"/>
      <c r="AC4788" s="42"/>
    </row>
    <row r="4789" spans="15:29" x14ac:dyDescent="0.25">
      <c r="O4789" s="42"/>
      <c r="R4789" s="42"/>
      <c r="AC4789" s="42"/>
    </row>
    <row r="4790" spans="15:29" x14ac:dyDescent="0.25">
      <c r="O4790" s="42"/>
      <c r="R4790" s="42"/>
      <c r="AC4790" s="42"/>
    </row>
    <row r="4791" spans="15:29" x14ac:dyDescent="0.25">
      <c r="O4791" s="42"/>
      <c r="R4791" s="42"/>
      <c r="AC4791" s="42"/>
    </row>
    <row r="4792" spans="15:29" x14ac:dyDescent="0.25">
      <c r="O4792" s="42"/>
      <c r="R4792" s="42"/>
      <c r="AC4792" s="42"/>
    </row>
    <row r="4793" spans="15:29" x14ac:dyDescent="0.25">
      <c r="O4793" s="42"/>
      <c r="R4793" s="42"/>
      <c r="AC4793" s="42"/>
    </row>
    <row r="4794" spans="15:29" x14ac:dyDescent="0.25">
      <c r="O4794" s="42"/>
      <c r="R4794" s="42"/>
      <c r="AC4794" s="42"/>
    </row>
    <row r="4795" spans="15:29" x14ac:dyDescent="0.25">
      <c r="O4795" s="42"/>
      <c r="R4795" s="42"/>
      <c r="AC4795" s="42"/>
    </row>
    <row r="4796" spans="15:29" x14ac:dyDescent="0.25">
      <c r="O4796" s="42"/>
      <c r="R4796" s="42"/>
      <c r="AC4796" s="42"/>
    </row>
    <row r="4797" spans="15:29" x14ac:dyDescent="0.25">
      <c r="O4797" s="42"/>
      <c r="R4797" s="42"/>
      <c r="AC4797" s="42"/>
    </row>
    <row r="4798" spans="15:29" x14ac:dyDescent="0.25">
      <c r="O4798" s="42"/>
      <c r="R4798" s="42"/>
      <c r="AC4798" s="42"/>
    </row>
    <row r="4799" spans="15:29" x14ac:dyDescent="0.25">
      <c r="O4799" s="42"/>
      <c r="R4799" s="42"/>
      <c r="AC4799" s="42"/>
    </row>
    <row r="4800" spans="15:29" x14ac:dyDescent="0.25">
      <c r="O4800" s="42"/>
      <c r="R4800" s="42"/>
      <c r="AC4800" s="42"/>
    </row>
    <row r="4801" spans="15:29" x14ac:dyDescent="0.25">
      <c r="O4801" s="42"/>
      <c r="R4801" s="42"/>
      <c r="AC4801" s="42"/>
    </row>
    <row r="4802" spans="15:29" x14ac:dyDescent="0.25">
      <c r="O4802" s="42"/>
      <c r="R4802" s="42"/>
      <c r="AC4802" s="42"/>
    </row>
    <row r="4803" spans="15:29" x14ac:dyDescent="0.25">
      <c r="O4803" s="42"/>
      <c r="R4803" s="42"/>
      <c r="AC4803" s="42"/>
    </row>
    <row r="4804" spans="15:29" x14ac:dyDescent="0.25">
      <c r="O4804" s="42"/>
      <c r="R4804" s="42"/>
      <c r="AC4804" s="42"/>
    </row>
    <row r="4805" spans="15:29" x14ac:dyDescent="0.25">
      <c r="O4805" s="42"/>
      <c r="R4805" s="42"/>
      <c r="AC4805" s="42"/>
    </row>
    <row r="4806" spans="15:29" x14ac:dyDescent="0.25">
      <c r="O4806" s="42"/>
      <c r="R4806" s="42"/>
      <c r="AC4806" s="42"/>
    </row>
    <row r="4807" spans="15:29" x14ac:dyDescent="0.25">
      <c r="O4807" s="42"/>
      <c r="R4807" s="42"/>
      <c r="AC4807" s="42"/>
    </row>
    <row r="4808" spans="15:29" x14ac:dyDescent="0.25">
      <c r="O4808" s="42"/>
      <c r="R4808" s="42"/>
      <c r="AC4808" s="42"/>
    </row>
    <row r="4809" spans="15:29" x14ac:dyDescent="0.25">
      <c r="O4809" s="42"/>
      <c r="R4809" s="42"/>
      <c r="AC4809" s="42"/>
    </row>
    <row r="4810" spans="15:29" x14ac:dyDescent="0.25">
      <c r="O4810" s="42"/>
      <c r="R4810" s="42"/>
      <c r="AC4810" s="42"/>
    </row>
    <row r="4811" spans="15:29" x14ac:dyDescent="0.25">
      <c r="O4811" s="42"/>
      <c r="R4811" s="42"/>
      <c r="AC4811" s="42"/>
    </row>
    <row r="4812" spans="15:29" x14ac:dyDescent="0.25">
      <c r="O4812" s="42"/>
      <c r="R4812" s="42"/>
      <c r="AC4812" s="42"/>
    </row>
    <row r="4813" spans="15:29" x14ac:dyDescent="0.25">
      <c r="O4813" s="42"/>
      <c r="R4813" s="42"/>
      <c r="AC4813" s="42"/>
    </row>
    <row r="4814" spans="15:29" x14ac:dyDescent="0.25">
      <c r="O4814" s="42"/>
      <c r="R4814" s="42"/>
      <c r="AC4814" s="42"/>
    </row>
    <row r="4815" spans="15:29" x14ac:dyDescent="0.25">
      <c r="O4815" s="42"/>
      <c r="R4815" s="42"/>
      <c r="AC4815" s="42"/>
    </row>
    <row r="4816" spans="15:29" x14ac:dyDescent="0.25">
      <c r="O4816" s="42"/>
      <c r="R4816" s="42"/>
      <c r="AC4816" s="42"/>
    </row>
    <row r="4817" spans="15:29" x14ac:dyDescent="0.25">
      <c r="O4817" s="42"/>
      <c r="R4817" s="42"/>
      <c r="AC4817" s="42"/>
    </row>
    <row r="4818" spans="15:29" x14ac:dyDescent="0.25">
      <c r="O4818" s="42"/>
      <c r="R4818" s="42"/>
      <c r="AC4818" s="42"/>
    </row>
    <row r="4819" spans="15:29" x14ac:dyDescent="0.25">
      <c r="O4819" s="42"/>
      <c r="R4819" s="42"/>
      <c r="AC4819" s="42"/>
    </row>
    <row r="4820" spans="15:29" x14ac:dyDescent="0.25">
      <c r="O4820" s="42"/>
      <c r="R4820" s="42"/>
      <c r="AC4820" s="42"/>
    </row>
    <row r="4821" spans="15:29" x14ac:dyDescent="0.25">
      <c r="O4821" s="42"/>
      <c r="R4821" s="42"/>
      <c r="AC4821" s="42"/>
    </row>
    <row r="4822" spans="15:29" x14ac:dyDescent="0.25">
      <c r="O4822" s="42"/>
      <c r="R4822" s="42"/>
      <c r="AC4822" s="42"/>
    </row>
    <row r="4823" spans="15:29" x14ac:dyDescent="0.25">
      <c r="O4823" s="42"/>
      <c r="R4823" s="42"/>
      <c r="AC4823" s="42"/>
    </row>
    <row r="4824" spans="15:29" x14ac:dyDescent="0.25">
      <c r="O4824" s="42"/>
      <c r="R4824" s="42"/>
      <c r="AC4824" s="42"/>
    </row>
    <row r="4825" spans="15:29" x14ac:dyDescent="0.25">
      <c r="O4825" s="42"/>
      <c r="R4825" s="42"/>
      <c r="AC4825" s="42"/>
    </row>
    <row r="4826" spans="15:29" x14ac:dyDescent="0.25">
      <c r="O4826" s="42"/>
      <c r="R4826" s="42"/>
      <c r="AC4826" s="42"/>
    </row>
    <row r="4827" spans="15:29" x14ac:dyDescent="0.25">
      <c r="O4827" s="42"/>
      <c r="R4827" s="42"/>
      <c r="AC4827" s="42"/>
    </row>
    <row r="4828" spans="15:29" x14ac:dyDescent="0.25">
      <c r="O4828" s="42"/>
      <c r="R4828" s="42"/>
      <c r="AC4828" s="42"/>
    </row>
    <row r="4829" spans="15:29" x14ac:dyDescent="0.25">
      <c r="O4829" s="42"/>
      <c r="R4829" s="42"/>
      <c r="AC4829" s="42"/>
    </row>
    <row r="4830" spans="15:29" x14ac:dyDescent="0.25">
      <c r="O4830" s="42"/>
      <c r="R4830" s="42"/>
      <c r="AC4830" s="42"/>
    </row>
    <row r="4831" spans="15:29" x14ac:dyDescent="0.25">
      <c r="O4831" s="42"/>
      <c r="R4831" s="42"/>
      <c r="AC4831" s="42"/>
    </row>
    <row r="4832" spans="15:29" x14ac:dyDescent="0.25">
      <c r="O4832" s="42"/>
      <c r="R4832" s="42"/>
      <c r="AC4832" s="42"/>
    </row>
    <row r="4833" spans="15:29" x14ac:dyDescent="0.25">
      <c r="O4833" s="42"/>
      <c r="R4833" s="42"/>
      <c r="AC4833" s="42"/>
    </row>
    <row r="4834" spans="15:29" x14ac:dyDescent="0.25">
      <c r="O4834" s="42"/>
      <c r="R4834" s="42"/>
      <c r="AC4834" s="42"/>
    </row>
    <row r="4835" spans="15:29" x14ac:dyDescent="0.25">
      <c r="O4835" s="42"/>
      <c r="R4835" s="42"/>
      <c r="AC4835" s="42"/>
    </row>
    <row r="4836" spans="15:29" x14ac:dyDescent="0.25">
      <c r="O4836" s="42"/>
      <c r="R4836" s="42"/>
      <c r="AC4836" s="42"/>
    </row>
    <row r="4837" spans="15:29" x14ac:dyDescent="0.25">
      <c r="O4837" s="42"/>
      <c r="R4837" s="42"/>
      <c r="AC4837" s="42"/>
    </row>
    <row r="4838" spans="15:29" x14ac:dyDescent="0.25">
      <c r="O4838" s="42"/>
      <c r="R4838" s="42"/>
      <c r="AC4838" s="42"/>
    </row>
    <row r="4839" spans="15:29" x14ac:dyDescent="0.25">
      <c r="O4839" s="42"/>
      <c r="R4839" s="42"/>
      <c r="AC4839" s="42"/>
    </row>
    <row r="4840" spans="15:29" x14ac:dyDescent="0.25">
      <c r="O4840" s="42"/>
      <c r="R4840" s="42"/>
      <c r="AC4840" s="42"/>
    </row>
    <row r="4841" spans="15:29" x14ac:dyDescent="0.25">
      <c r="O4841" s="42"/>
      <c r="R4841" s="42"/>
      <c r="AC4841" s="42"/>
    </row>
    <row r="4842" spans="15:29" x14ac:dyDescent="0.25">
      <c r="O4842" s="42"/>
      <c r="R4842" s="42"/>
      <c r="AC4842" s="42"/>
    </row>
    <row r="4843" spans="15:29" x14ac:dyDescent="0.25">
      <c r="O4843" s="42"/>
      <c r="R4843" s="42"/>
      <c r="AC4843" s="42"/>
    </row>
    <row r="4844" spans="15:29" x14ac:dyDescent="0.25">
      <c r="O4844" s="42"/>
      <c r="R4844" s="42"/>
      <c r="AC4844" s="42"/>
    </row>
    <row r="4845" spans="15:29" x14ac:dyDescent="0.25">
      <c r="O4845" s="42"/>
      <c r="R4845" s="42"/>
      <c r="AC4845" s="42"/>
    </row>
    <row r="4846" spans="15:29" x14ac:dyDescent="0.25">
      <c r="O4846" s="42"/>
      <c r="R4846" s="42"/>
      <c r="AC4846" s="42"/>
    </row>
    <row r="4847" spans="15:29" x14ac:dyDescent="0.25">
      <c r="O4847" s="42"/>
      <c r="R4847" s="42"/>
      <c r="AC4847" s="42"/>
    </row>
    <row r="4848" spans="15:29" x14ac:dyDescent="0.25">
      <c r="O4848" s="42"/>
      <c r="R4848" s="42"/>
      <c r="AC4848" s="42"/>
    </row>
    <row r="4849" spans="15:29" x14ac:dyDescent="0.25">
      <c r="O4849" s="42"/>
      <c r="R4849" s="42"/>
      <c r="AC4849" s="42"/>
    </row>
    <row r="4850" spans="15:29" x14ac:dyDescent="0.25">
      <c r="O4850" s="42"/>
      <c r="R4850" s="42"/>
      <c r="AC4850" s="42"/>
    </row>
    <row r="4851" spans="15:29" x14ac:dyDescent="0.25">
      <c r="O4851" s="42"/>
      <c r="R4851" s="42"/>
      <c r="AC4851" s="42"/>
    </row>
    <row r="4852" spans="15:29" x14ac:dyDescent="0.25">
      <c r="O4852" s="42"/>
      <c r="R4852" s="42"/>
      <c r="AC4852" s="42"/>
    </row>
    <row r="4853" spans="15:29" x14ac:dyDescent="0.25">
      <c r="O4853" s="42"/>
      <c r="R4853" s="42"/>
      <c r="AC4853" s="42"/>
    </row>
    <row r="4854" spans="15:29" x14ac:dyDescent="0.25">
      <c r="O4854" s="42"/>
      <c r="R4854" s="42"/>
      <c r="AC4854" s="42"/>
    </row>
    <row r="4855" spans="15:29" x14ac:dyDescent="0.25">
      <c r="O4855" s="42"/>
      <c r="R4855" s="42"/>
      <c r="AC4855" s="42"/>
    </row>
    <row r="4856" spans="15:29" x14ac:dyDescent="0.25">
      <c r="O4856" s="42"/>
      <c r="R4856" s="42"/>
      <c r="AC4856" s="42"/>
    </row>
    <row r="4857" spans="15:29" x14ac:dyDescent="0.25">
      <c r="O4857" s="42"/>
      <c r="R4857" s="42"/>
      <c r="AC4857" s="42"/>
    </row>
    <row r="4858" spans="15:29" x14ac:dyDescent="0.25">
      <c r="O4858" s="42"/>
      <c r="R4858" s="42"/>
      <c r="AC4858" s="42"/>
    </row>
    <row r="4859" spans="15:29" x14ac:dyDescent="0.25">
      <c r="O4859" s="42"/>
      <c r="R4859" s="42"/>
      <c r="AC4859" s="42"/>
    </row>
    <row r="4860" spans="15:29" x14ac:dyDescent="0.25">
      <c r="O4860" s="42"/>
      <c r="R4860" s="42"/>
      <c r="AC4860" s="42"/>
    </row>
    <row r="4861" spans="15:29" x14ac:dyDescent="0.25">
      <c r="O4861" s="42"/>
      <c r="R4861" s="42"/>
      <c r="AC4861" s="42"/>
    </row>
    <row r="4862" spans="15:29" x14ac:dyDescent="0.25">
      <c r="O4862" s="42"/>
      <c r="R4862" s="42"/>
      <c r="AC4862" s="42"/>
    </row>
    <row r="4863" spans="15:29" x14ac:dyDescent="0.25">
      <c r="O4863" s="42"/>
      <c r="R4863" s="42"/>
      <c r="AC4863" s="42"/>
    </row>
    <row r="4864" spans="15:29" x14ac:dyDescent="0.25">
      <c r="O4864" s="42"/>
      <c r="R4864" s="42"/>
      <c r="AC4864" s="42"/>
    </row>
    <row r="4865" spans="15:29" x14ac:dyDescent="0.25">
      <c r="O4865" s="42"/>
      <c r="R4865" s="42"/>
      <c r="AC4865" s="42"/>
    </row>
    <row r="4866" spans="15:29" x14ac:dyDescent="0.25">
      <c r="O4866" s="42"/>
      <c r="R4866" s="42"/>
      <c r="AC4866" s="42"/>
    </row>
    <row r="4867" spans="15:29" x14ac:dyDescent="0.25">
      <c r="O4867" s="42"/>
      <c r="R4867" s="42"/>
      <c r="AC4867" s="42"/>
    </row>
    <row r="4868" spans="15:29" x14ac:dyDescent="0.25">
      <c r="O4868" s="42"/>
      <c r="R4868" s="42"/>
      <c r="AC4868" s="42"/>
    </row>
    <row r="4869" spans="15:29" x14ac:dyDescent="0.25">
      <c r="O4869" s="42"/>
      <c r="R4869" s="42"/>
      <c r="AC4869" s="42"/>
    </row>
    <row r="4870" spans="15:29" x14ac:dyDescent="0.25">
      <c r="O4870" s="42"/>
      <c r="R4870" s="42"/>
      <c r="AC4870" s="42"/>
    </row>
    <row r="4871" spans="15:29" x14ac:dyDescent="0.25">
      <c r="O4871" s="42"/>
      <c r="R4871" s="42"/>
      <c r="AC4871" s="42"/>
    </row>
    <row r="4872" spans="15:29" x14ac:dyDescent="0.25">
      <c r="O4872" s="42"/>
      <c r="R4872" s="42"/>
      <c r="AC4872" s="42"/>
    </row>
    <row r="4873" spans="15:29" x14ac:dyDescent="0.25">
      <c r="O4873" s="42"/>
      <c r="R4873" s="42"/>
      <c r="AC4873" s="42"/>
    </row>
    <row r="4874" spans="15:29" x14ac:dyDescent="0.25">
      <c r="O4874" s="42"/>
      <c r="R4874" s="42"/>
      <c r="AC4874" s="42"/>
    </row>
    <row r="4875" spans="15:29" x14ac:dyDescent="0.25">
      <c r="O4875" s="42"/>
      <c r="R4875" s="42"/>
      <c r="AC4875" s="42"/>
    </row>
    <row r="4876" spans="15:29" x14ac:dyDescent="0.25">
      <c r="O4876" s="42"/>
      <c r="R4876" s="42"/>
      <c r="AC4876" s="42"/>
    </row>
    <row r="4877" spans="15:29" x14ac:dyDescent="0.25">
      <c r="O4877" s="42"/>
      <c r="R4877" s="42"/>
      <c r="AC4877" s="42"/>
    </row>
    <row r="4878" spans="15:29" x14ac:dyDescent="0.25">
      <c r="O4878" s="42"/>
      <c r="R4878" s="42"/>
      <c r="AC4878" s="42"/>
    </row>
    <row r="4879" spans="15:29" x14ac:dyDescent="0.25">
      <c r="O4879" s="42"/>
      <c r="R4879" s="42"/>
      <c r="AC4879" s="42"/>
    </row>
    <row r="4880" spans="15:29" x14ac:dyDescent="0.25">
      <c r="O4880" s="42"/>
      <c r="R4880" s="42"/>
      <c r="AC4880" s="42"/>
    </row>
    <row r="4881" spans="15:29" x14ac:dyDescent="0.25">
      <c r="O4881" s="42"/>
      <c r="R4881" s="42"/>
      <c r="AC4881" s="42"/>
    </row>
    <row r="4882" spans="15:29" x14ac:dyDescent="0.25">
      <c r="O4882" s="42"/>
      <c r="R4882" s="42"/>
      <c r="AC4882" s="42"/>
    </row>
    <row r="4883" spans="15:29" x14ac:dyDescent="0.25">
      <c r="O4883" s="42"/>
      <c r="R4883" s="42"/>
      <c r="AC4883" s="42"/>
    </row>
    <row r="4884" spans="15:29" x14ac:dyDescent="0.25">
      <c r="O4884" s="42"/>
      <c r="R4884" s="42"/>
      <c r="AC4884" s="42"/>
    </row>
    <row r="4885" spans="15:29" x14ac:dyDescent="0.25">
      <c r="O4885" s="42"/>
      <c r="R4885" s="42"/>
      <c r="AC4885" s="42"/>
    </row>
    <row r="4886" spans="15:29" x14ac:dyDescent="0.25">
      <c r="O4886" s="42"/>
      <c r="R4886" s="42"/>
      <c r="AC4886" s="42"/>
    </row>
    <row r="4887" spans="15:29" x14ac:dyDescent="0.25">
      <c r="O4887" s="42"/>
      <c r="R4887" s="42"/>
      <c r="AC4887" s="42"/>
    </row>
    <row r="4888" spans="15:29" x14ac:dyDescent="0.25">
      <c r="O4888" s="42"/>
      <c r="R4888" s="42"/>
      <c r="AC4888" s="42"/>
    </row>
    <row r="4889" spans="15:29" x14ac:dyDescent="0.25">
      <c r="O4889" s="42"/>
      <c r="R4889" s="42"/>
      <c r="AC4889" s="42"/>
    </row>
    <row r="4890" spans="15:29" x14ac:dyDescent="0.25">
      <c r="O4890" s="42"/>
      <c r="R4890" s="42"/>
      <c r="AC4890" s="42"/>
    </row>
    <row r="4891" spans="15:29" x14ac:dyDescent="0.25">
      <c r="O4891" s="42"/>
      <c r="R4891" s="42"/>
      <c r="AC4891" s="42"/>
    </row>
    <row r="4892" spans="15:29" x14ac:dyDescent="0.25">
      <c r="O4892" s="42"/>
      <c r="R4892" s="42"/>
      <c r="AC4892" s="42"/>
    </row>
    <row r="4893" spans="15:29" x14ac:dyDescent="0.25">
      <c r="O4893" s="42"/>
      <c r="R4893" s="42"/>
      <c r="AC4893" s="42"/>
    </row>
    <row r="4894" spans="15:29" x14ac:dyDescent="0.25">
      <c r="O4894" s="42"/>
      <c r="R4894" s="42"/>
      <c r="AC4894" s="42"/>
    </row>
    <row r="4895" spans="15:29" x14ac:dyDescent="0.25">
      <c r="O4895" s="42"/>
      <c r="R4895" s="42"/>
      <c r="AC4895" s="42"/>
    </row>
    <row r="4896" spans="15:29" x14ac:dyDescent="0.25">
      <c r="O4896" s="42"/>
      <c r="R4896" s="42"/>
      <c r="AC4896" s="42"/>
    </row>
    <row r="4897" spans="15:29" x14ac:dyDescent="0.25">
      <c r="O4897" s="42"/>
      <c r="R4897" s="42"/>
      <c r="AC4897" s="42"/>
    </row>
    <row r="4898" spans="15:29" x14ac:dyDescent="0.25">
      <c r="O4898" s="42"/>
      <c r="R4898" s="42"/>
      <c r="AC4898" s="42"/>
    </row>
    <row r="4899" spans="15:29" x14ac:dyDescent="0.25">
      <c r="O4899" s="42"/>
      <c r="R4899" s="42"/>
      <c r="AC4899" s="42"/>
    </row>
    <row r="4900" spans="15:29" x14ac:dyDescent="0.25">
      <c r="O4900" s="42"/>
      <c r="R4900" s="42"/>
      <c r="AC4900" s="42"/>
    </row>
    <row r="4901" spans="15:29" x14ac:dyDescent="0.25">
      <c r="O4901" s="42"/>
      <c r="R4901" s="42"/>
      <c r="AC4901" s="42"/>
    </row>
    <row r="4902" spans="15:29" x14ac:dyDescent="0.25">
      <c r="O4902" s="42"/>
      <c r="R4902" s="42"/>
      <c r="AC4902" s="42"/>
    </row>
    <row r="4903" spans="15:29" x14ac:dyDescent="0.25">
      <c r="O4903" s="42"/>
      <c r="R4903" s="42"/>
      <c r="AC4903" s="42"/>
    </row>
    <row r="4904" spans="15:29" x14ac:dyDescent="0.25">
      <c r="O4904" s="42"/>
      <c r="R4904" s="42"/>
      <c r="AC4904" s="42"/>
    </row>
    <row r="4905" spans="15:29" x14ac:dyDescent="0.25">
      <c r="O4905" s="42"/>
      <c r="R4905" s="42"/>
      <c r="AC4905" s="42"/>
    </row>
    <row r="4906" spans="15:29" x14ac:dyDescent="0.25">
      <c r="O4906" s="42"/>
      <c r="R4906" s="42"/>
      <c r="AC4906" s="42"/>
    </row>
    <row r="4907" spans="15:29" x14ac:dyDescent="0.25">
      <c r="O4907" s="42"/>
      <c r="R4907" s="42"/>
      <c r="AC4907" s="42"/>
    </row>
    <row r="4908" spans="15:29" x14ac:dyDescent="0.25">
      <c r="O4908" s="42"/>
      <c r="R4908" s="42"/>
      <c r="AC4908" s="42"/>
    </row>
    <row r="4909" spans="15:29" x14ac:dyDescent="0.25">
      <c r="O4909" s="42"/>
      <c r="R4909" s="42"/>
      <c r="AC4909" s="42"/>
    </row>
    <row r="4910" spans="15:29" x14ac:dyDescent="0.25">
      <c r="O4910" s="42"/>
      <c r="R4910" s="42"/>
      <c r="AC4910" s="42"/>
    </row>
    <row r="4911" spans="15:29" x14ac:dyDescent="0.25">
      <c r="O4911" s="42"/>
      <c r="R4911" s="42"/>
      <c r="AC4911" s="42"/>
    </row>
    <row r="4912" spans="15:29" x14ac:dyDescent="0.25">
      <c r="O4912" s="42"/>
      <c r="R4912" s="42"/>
      <c r="AC4912" s="42"/>
    </row>
    <row r="4913" spans="15:29" x14ac:dyDescent="0.25">
      <c r="O4913" s="42"/>
      <c r="R4913" s="42"/>
      <c r="AC4913" s="42"/>
    </row>
    <row r="4914" spans="15:29" x14ac:dyDescent="0.25">
      <c r="O4914" s="42"/>
      <c r="R4914" s="42"/>
      <c r="AC4914" s="42"/>
    </row>
    <row r="4915" spans="15:29" x14ac:dyDescent="0.25">
      <c r="O4915" s="42"/>
      <c r="R4915" s="42"/>
      <c r="AC4915" s="42"/>
    </row>
    <row r="4916" spans="15:29" x14ac:dyDescent="0.25">
      <c r="O4916" s="42"/>
      <c r="R4916" s="42"/>
      <c r="AC4916" s="42"/>
    </row>
    <row r="4917" spans="15:29" x14ac:dyDescent="0.25">
      <c r="O4917" s="42"/>
      <c r="R4917" s="42"/>
      <c r="AC4917" s="42"/>
    </row>
    <row r="4918" spans="15:29" x14ac:dyDescent="0.25">
      <c r="O4918" s="42"/>
      <c r="R4918" s="42"/>
      <c r="AC4918" s="42"/>
    </row>
    <row r="4919" spans="15:29" x14ac:dyDescent="0.25">
      <c r="O4919" s="42"/>
      <c r="R4919" s="42"/>
      <c r="AC4919" s="42"/>
    </row>
    <row r="4920" spans="15:29" x14ac:dyDescent="0.25">
      <c r="O4920" s="42"/>
      <c r="R4920" s="42"/>
      <c r="AC4920" s="42"/>
    </row>
    <row r="4921" spans="15:29" x14ac:dyDescent="0.25">
      <c r="O4921" s="42"/>
      <c r="R4921" s="42"/>
      <c r="AC4921" s="42"/>
    </row>
    <row r="4922" spans="15:29" x14ac:dyDescent="0.25">
      <c r="O4922" s="42"/>
      <c r="R4922" s="42"/>
      <c r="AC4922" s="42"/>
    </row>
    <row r="4923" spans="15:29" x14ac:dyDescent="0.25">
      <c r="O4923" s="42"/>
      <c r="R4923" s="42"/>
      <c r="AC4923" s="42"/>
    </row>
    <row r="4924" spans="15:29" x14ac:dyDescent="0.25">
      <c r="O4924" s="42"/>
      <c r="R4924" s="42"/>
      <c r="AC4924" s="42"/>
    </row>
    <row r="4925" spans="15:29" x14ac:dyDescent="0.25">
      <c r="O4925" s="42"/>
      <c r="R4925" s="42"/>
      <c r="AC4925" s="42"/>
    </row>
    <row r="4926" spans="15:29" x14ac:dyDescent="0.25">
      <c r="O4926" s="42"/>
      <c r="R4926" s="42"/>
      <c r="AC4926" s="42"/>
    </row>
    <row r="4927" spans="15:29" x14ac:dyDescent="0.25">
      <c r="O4927" s="42"/>
      <c r="R4927" s="42"/>
      <c r="AC4927" s="42"/>
    </row>
    <row r="4928" spans="15:29" x14ac:dyDescent="0.25">
      <c r="O4928" s="42"/>
      <c r="R4928" s="42"/>
      <c r="AC4928" s="42"/>
    </row>
    <row r="4929" spans="15:29" x14ac:dyDescent="0.25">
      <c r="O4929" s="42"/>
      <c r="R4929" s="42"/>
      <c r="AC4929" s="42"/>
    </row>
    <row r="4930" spans="15:29" x14ac:dyDescent="0.25">
      <c r="O4930" s="42"/>
      <c r="R4930" s="42"/>
      <c r="AC4930" s="42"/>
    </row>
    <row r="4931" spans="15:29" x14ac:dyDescent="0.25">
      <c r="O4931" s="42"/>
      <c r="R4931" s="42"/>
      <c r="AC4931" s="42"/>
    </row>
    <row r="4932" spans="15:29" x14ac:dyDescent="0.25">
      <c r="O4932" s="42"/>
      <c r="R4932" s="42"/>
      <c r="AC4932" s="42"/>
    </row>
    <row r="4933" spans="15:29" x14ac:dyDescent="0.25">
      <c r="O4933" s="42"/>
      <c r="R4933" s="42"/>
      <c r="AC4933" s="42"/>
    </row>
    <row r="4934" spans="15:29" x14ac:dyDescent="0.25">
      <c r="O4934" s="42"/>
      <c r="R4934" s="42"/>
      <c r="AC4934" s="42"/>
    </row>
    <row r="4935" spans="15:29" x14ac:dyDescent="0.25">
      <c r="O4935" s="42"/>
      <c r="R4935" s="42"/>
      <c r="AC4935" s="42"/>
    </row>
    <row r="4936" spans="15:29" x14ac:dyDescent="0.25">
      <c r="O4936" s="42"/>
      <c r="R4936" s="42"/>
      <c r="AC4936" s="42"/>
    </row>
    <row r="4937" spans="15:29" x14ac:dyDescent="0.25">
      <c r="O4937" s="42"/>
      <c r="R4937" s="42"/>
      <c r="AC4937" s="42"/>
    </row>
    <row r="4938" spans="15:29" x14ac:dyDescent="0.25">
      <c r="O4938" s="42"/>
      <c r="R4938" s="42"/>
      <c r="AC4938" s="42"/>
    </row>
    <row r="4939" spans="15:29" x14ac:dyDescent="0.25">
      <c r="O4939" s="42"/>
      <c r="R4939" s="42"/>
      <c r="AC4939" s="42"/>
    </row>
    <row r="4940" spans="15:29" x14ac:dyDescent="0.25">
      <c r="O4940" s="42"/>
      <c r="R4940" s="42"/>
      <c r="AC4940" s="42"/>
    </row>
    <row r="4941" spans="15:29" x14ac:dyDescent="0.25">
      <c r="O4941" s="42"/>
      <c r="R4941" s="42"/>
      <c r="AC4941" s="42"/>
    </row>
    <row r="4942" spans="15:29" x14ac:dyDescent="0.25">
      <c r="O4942" s="42"/>
      <c r="R4942" s="42"/>
      <c r="AC4942" s="42"/>
    </row>
    <row r="4943" spans="15:29" x14ac:dyDescent="0.25">
      <c r="O4943" s="42"/>
      <c r="R4943" s="42"/>
      <c r="AC4943" s="42"/>
    </row>
    <row r="4944" spans="15:29" x14ac:dyDescent="0.25">
      <c r="O4944" s="42"/>
      <c r="R4944" s="42"/>
      <c r="AC4944" s="42"/>
    </row>
    <row r="4945" spans="15:29" x14ac:dyDescent="0.25">
      <c r="O4945" s="42"/>
      <c r="R4945" s="42"/>
      <c r="AC4945" s="42"/>
    </row>
    <row r="4946" spans="15:29" x14ac:dyDescent="0.25">
      <c r="O4946" s="42"/>
      <c r="R4946" s="42"/>
      <c r="AC4946" s="42"/>
    </row>
    <row r="4947" spans="15:29" x14ac:dyDescent="0.25">
      <c r="O4947" s="42"/>
      <c r="R4947" s="42"/>
      <c r="AC4947" s="42"/>
    </row>
    <row r="4948" spans="15:29" x14ac:dyDescent="0.25">
      <c r="O4948" s="42"/>
      <c r="R4948" s="42"/>
      <c r="AC4948" s="42"/>
    </row>
    <row r="4949" spans="15:29" x14ac:dyDescent="0.25">
      <c r="O4949" s="42"/>
      <c r="R4949" s="42"/>
      <c r="AC4949" s="42"/>
    </row>
    <row r="4950" spans="15:29" x14ac:dyDescent="0.25">
      <c r="O4950" s="42"/>
      <c r="R4950" s="42"/>
      <c r="AC4950" s="42"/>
    </row>
    <row r="4951" spans="15:29" x14ac:dyDescent="0.25">
      <c r="O4951" s="42"/>
      <c r="R4951" s="42"/>
      <c r="AC4951" s="42"/>
    </row>
    <row r="4952" spans="15:29" x14ac:dyDescent="0.25">
      <c r="O4952" s="42"/>
      <c r="R4952" s="42"/>
      <c r="AC4952" s="42"/>
    </row>
    <row r="4953" spans="15:29" x14ac:dyDescent="0.25">
      <c r="O4953" s="42"/>
      <c r="R4953" s="42"/>
      <c r="AC4953" s="42"/>
    </row>
    <row r="4954" spans="15:29" x14ac:dyDescent="0.25">
      <c r="O4954" s="42"/>
      <c r="R4954" s="42"/>
      <c r="AC4954" s="42"/>
    </row>
    <row r="4955" spans="15:29" x14ac:dyDescent="0.25">
      <c r="O4955" s="42"/>
      <c r="R4955" s="42"/>
      <c r="AC4955" s="42"/>
    </row>
    <row r="4956" spans="15:29" x14ac:dyDescent="0.25">
      <c r="O4956" s="42"/>
      <c r="R4956" s="42"/>
      <c r="AC4956" s="42"/>
    </row>
    <row r="4957" spans="15:29" x14ac:dyDescent="0.25">
      <c r="O4957" s="42"/>
      <c r="R4957" s="42"/>
      <c r="AC4957" s="42"/>
    </row>
    <row r="4958" spans="15:29" x14ac:dyDescent="0.25">
      <c r="O4958" s="42"/>
      <c r="R4958" s="42"/>
      <c r="AC4958" s="42"/>
    </row>
    <row r="4959" spans="15:29" x14ac:dyDescent="0.25">
      <c r="O4959" s="42"/>
      <c r="R4959" s="42"/>
      <c r="AC4959" s="42"/>
    </row>
    <row r="4960" spans="15:29" x14ac:dyDescent="0.25">
      <c r="O4960" s="42"/>
      <c r="R4960" s="42"/>
      <c r="AC4960" s="42"/>
    </row>
    <row r="4961" spans="15:29" x14ac:dyDescent="0.25">
      <c r="O4961" s="42"/>
      <c r="R4961" s="42"/>
      <c r="AC4961" s="42"/>
    </row>
    <row r="4962" spans="15:29" x14ac:dyDescent="0.25">
      <c r="O4962" s="42"/>
      <c r="R4962" s="42"/>
      <c r="AC4962" s="42"/>
    </row>
    <row r="4963" spans="15:29" x14ac:dyDescent="0.25">
      <c r="O4963" s="42"/>
      <c r="R4963" s="42"/>
      <c r="AC4963" s="42"/>
    </row>
    <row r="4964" spans="15:29" x14ac:dyDescent="0.25">
      <c r="O4964" s="42"/>
      <c r="R4964" s="42"/>
      <c r="AC4964" s="42"/>
    </row>
    <row r="4965" spans="15:29" x14ac:dyDescent="0.25">
      <c r="O4965" s="42"/>
      <c r="R4965" s="42"/>
      <c r="AC4965" s="42"/>
    </row>
    <row r="4966" spans="15:29" x14ac:dyDescent="0.25">
      <c r="O4966" s="42"/>
      <c r="R4966" s="42"/>
      <c r="AC4966" s="42"/>
    </row>
    <row r="4967" spans="15:29" x14ac:dyDescent="0.25">
      <c r="O4967" s="42"/>
      <c r="R4967" s="42"/>
      <c r="AC4967" s="42"/>
    </row>
    <row r="4968" spans="15:29" x14ac:dyDescent="0.25">
      <c r="O4968" s="42"/>
      <c r="R4968" s="42"/>
      <c r="AC4968" s="42"/>
    </row>
    <row r="4969" spans="15:29" x14ac:dyDescent="0.25">
      <c r="O4969" s="42"/>
      <c r="R4969" s="42"/>
      <c r="AC4969" s="42"/>
    </row>
    <row r="4970" spans="15:29" x14ac:dyDescent="0.25">
      <c r="O4970" s="42"/>
      <c r="R4970" s="42"/>
      <c r="AC4970" s="42"/>
    </row>
    <row r="4971" spans="15:29" x14ac:dyDescent="0.25">
      <c r="O4971" s="42"/>
      <c r="R4971" s="42"/>
      <c r="AC4971" s="42"/>
    </row>
    <row r="4972" spans="15:29" x14ac:dyDescent="0.25">
      <c r="O4972" s="42"/>
      <c r="R4972" s="42"/>
      <c r="AC4972" s="42"/>
    </row>
    <row r="4973" spans="15:29" x14ac:dyDescent="0.25">
      <c r="O4973" s="42"/>
      <c r="R4973" s="42"/>
      <c r="AC4973" s="42"/>
    </row>
    <row r="4974" spans="15:29" x14ac:dyDescent="0.25">
      <c r="O4974" s="42"/>
      <c r="R4974" s="42"/>
      <c r="AC4974" s="42"/>
    </row>
    <row r="4975" spans="15:29" x14ac:dyDescent="0.25">
      <c r="O4975" s="42"/>
      <c r="R4975" s="42"/>
      <c r="AC4975" s="42"/>
    </row>
    <row r="4976" spans="15:29" x14ac:dyDescent="0.25">
      <c r="O4976" s="42"/>
      <c r="R4976" s="42"/>
      <c r="AC4976" s="42"/>
    </row>
    <row r="4977" spans="15:29" x14ac:dyDescent="0.25">
      <c r="O4977" s="42"/>
      <c r="R4977" s="42"/>
      <c r="AC4977" s="42"/>
    </row>
    <row r="4978" spans="15:29" x14ac:dyDescent="0.25">
      <c r="O4978" s="42"/>
      <c r="R4978" s="42"/>
      <c r="AC4978" s="42"/>
    </row>
    <row r="4979" spans="15:29" x14ac:dyDescent="0.25">
      <c r="O4979" s="42"/>
      <c r="R4979" s="42"/>
      <c r="AC4979" s="42"/>
    </row>
    <row r="4980" spans="15:29" x14ac:dyDescent="0.25">
      <c r="O4980" s="42"/>
      <c r="R4980" s="42"/>
      <c r="AC4980" s="42"/>
    </row>
    <row r="4981" spans="15:29" x14ac:dyDescent="0.25">
      <c r="O4981" s="42"/>
      <c r="R4981" s="42"/>
      <c r="AC4981" s="42"/>
    </row>
    <row r="4982" spans="15:29" x14ac:dyDescent="0.25">
      <c r="O4982" s="42"/>
      <c r="R4982" s="42"/>
      <c r="AC4982" s="42"/>
    </row>
    <row r="4983" spans="15:29" x14ac:dyDescent="0.25">
      <c r="O4983" s="42"/>
      <c r="R4983" s="42"/>
      <c r="AC4983" s="42"/>
    </row>
    <row r="4984" spans="15:29" x14ac:dyDescent="0.25">
      <c r="O4984" s="42"/>
      <c r="R4984" s="42"/>
      <c r="AC4984" s="42"/>
    </row>
    <row r="4985" spans="15:29" x14ac:dyDescent="0.25">
      <c r="O4985" s="42"/>
      <c r="R4985" s="42"/>
      <c r="AC4985" s="42"/>
    </row>
    <row r="4986" spans="15:29" x14ac:dyDescent="0.25">
      <c r="O4986" s="42"/>
      <c r="R4986" s="42"/>
      <c r="AC4986" s="42"/>
    </row>
    <row r="4987" spans="15:29" x14ac:dyDescent="0.25">
      <c r="O4987" s="42"/>
      <c r="R4987" s="42"/>
      <c r="AC4987" s="42"/>
    </row>
    <row r="4988" spans="15:29" x14ac:dyDescent="0.25">
      <c r="O4988" s="42"/>
      <c r="R4988" s="42"/>
      <c r="AC4988" s="42"/>
    </row>
    <row r="4989" spans="15:29" x14ac:dyDescent="0.25">
      <c r="O4989" s="42"/>
      <c r="R4989" s="42"/>
      <c r="AC4989" s="42"/>
    </row>
    <row r="4990" spans="15:29" x14ac:dyDescent="0.25">
      <c r="O4990" s="42"/>
      <c r="R4990" s="42"/>
      <c r="AC4990" s="42"/>
    </row>
    <row r="4991" spans="15:29" x14ac:dyDescent="0.25">
      <c r="O4991" s="42"/>
      <c r="R4991" s="42"/>
      <c r="AC4991" s="42"/>
    </row>
    <row r="4992" spans="15:29" x14ac:dyDescent="0.25">
      <c r="O4992" s="42"/>
      <c r="R4992" s="42"/>
      <c r="AC4992" s="42"/>
    </row>
    <row r="4993" spans="15:29" x14ac:dyDescent="0.25">
      <c r="O4993" s="42"/>
      <c r="R4993" s="42"/>
      <c r="AC4993" s="42"/>
    </row>
    <row r="4994" spans="15:29" x14ac:dyDescent="0.25">
      <c r="O4994" s="42"/>
      <c r="R4994" s="42"/>
      <c r="AC4994" s="42"/>
    </row>
    <row r="4995" spans="15:29" x14ac:dyDescent="0.25">
      <c r="O4995" s="42"/>
      <c r="R4995" s="42"/>
      <c r="AC4995" s="42"/>
    </row>
    <row r="4996" spans="15:29" x14ac:dyDescent="0.25">
      <c r="O4996" s="42"/>
      <c r="R4996" s="42"/>
      <c r="AC4996" s="42"/>
    </row>
    <row r="4997" spans="15:29" x14ac:dyDescent="0.25">
      <c r="O4997" s="42"/>
      <c r="R4997" s="42"/>
      <c r="AC4997" s="42"/>
    </row>
    <row r="4998" spans="15:29" x14ac:dyDescent="0.25">
      <c r="O4998" s="42"/>
      <c r="R4998" s="42"/>
      <c r="AC4998" s="42"/>
    </row>
    <row r="4999" spans="15:29" x14ac:dyDescent="0.25">
      <c r="O4999" s="42"/>
      <c r="R4999" s="42"/>
      <c r="AC4999" s="42"/>
    </row>
    <row r="5000" spans="15:29" x14ac:dyDescent="0.25">
      <c r="O5000" s="42"/>
      <c r="R5000" s="42"/>
      <c r="AC5000" s="42"/>
    </row>
    <row r="5001" spans="15:29" x14ac:dyDescent="0.25">
      <c r="O5001" s="42"/>
      <c r="R5001" s="42"/>
      <c r="AC5001" s="42"/>
    </row>
    <row r="5002" spans="15:29" x14ac:dyDescent="0.25">
      <c r="O5002" s="42"/>
      <c r="R5002" s="42"/>
      <c r="AC5002" s="42"/>
    </row>
    <row r="5003" spans="15:29" x14ac:dyDescent="0.25">
      <c r="O5003" s="42"/>
      <c r="R5003" s="42"/>
      <c r="AC5003" s="42"/>
    </row>
    <row r="5004" spans="15:29" x14ac:dyDescent="0.25">
      <c r="O5004" s="42"/>
      <c r="R5004" s="42"/>
      <c r="AC5004" s="42"/>
    </row>
    <row r="5005" spans="15:29" x14ac:dyDescent="0.25">
      <c r="O5005" s="42"/>
      <c r="R5005" s="42"/>
      <c r="AC5005" s="42"/>
    </row>
    <row r="5006" spans="15:29" x14ac:dyDescent="0.25">
      <c r="O5006" s="42"/>
      <c r="R5006" s="42"/>
      <c r="AC5006" s="42"/>
    </row>
    <row r="5007" spans="15:29" x14ac:dyDescent="0.25">
      <c r="O5007" s="42"/>
      <c r="R5007" s="42"/>
      <c r="AC5007" s="42"/>
    </row>
    <row r="5008" spans="15:29" x14ac:dyDescent="0.25">
      <c r="O5008" s="42"/>
      <c r="R5008" s="42"/>
      <c r="AC5008" s="42"/>
    </row>
    <row r="5009" spans="15:29" x14ac:dyDescent="0.25">
      <c r="O5009" s="42"/>
      <c r="R5009" s="42"/>
      <c r="AC5009" s="42"/>
    </row>
    <row r="5010" spans="15:29" x14ac:dyDescent="0.25">
      <c r="O5010" s="42"/>
      <c r="R5010" s="42"/>
      <c r="AC5010" s="42"/>
    </row>
    <row r="5011" spans="15:29" x14ac:dyDescent="0.25">
      <c r="O5011" s="42"/>
      <c r="R5011" s="42"/>
      <c r="AC5011" s="42"/>
    </row>
    <row r="5012" spans="15:29" x14ac:dyDescent="0.25">
      <c r="O5012" s="42"/>
      <c r="R5012" s="42"/>
      <c r="AC5012" s="42"/>
    </row>
    <row r="5013" spans="15:29" x14ac:dyDescent="0.25">
      <c r="O5013" s="42"/>
      <c r="R5013" s="42"/>
      <c r="AC5013" s="42"/>
    </row>
    <row r="5014" spans="15:29" x14ac:dyDescent="0.25">
      <c r="O5014" s="42"/>
      <c r="R5014" s="42"/>
      <c r="AC5014" s="42"/>
    </row>
    <row r="5015" spans="15:29" x14ac:dyDescent="0.25">
      <c r="O5015" s="42"/>
      <c r="R5015" s="42"/>
      <c r="AC5015" s="42"/>
    </row>
    <row r="5016" spans="15:29" x14ac:dyDescent="0.25">
      <c r="O5016" s="42"/>
      <c r="R5016" s="42"/>
      <c r="AC5016" s="42"/>
    </row>
    <row r="5017" spans="15:29" x14ac:dyDescent="0.25">
      <c r="O5017" s="42"/>
      <c r="R5017" s="42"/>
      <c r="AC5017" s="42"/>
    </row>
    <row r="5018" spans="15:29" x14ac:dyDescent="0.25">
      <c r="O5018" s="42"/>
      <c r="R5018" s="42"/>
      <c r="AC5018" s="42"/>
    </row>
    <row r="5019" spans="15:29" x14ac:dyDescent="0.25">
      <c r="O5019" s="42"/>
      <c r="R5019" s="42"/>
      <c r="AC5019" s="42"/>
    </row>
    <row r="5020" spans="15:29" x14ac:dyDescent="0.25">
      <c r="O5020" s="42"/>
      <c r="R5020" s="42"/>
      <c r="AC5020" s="42"/>
    </row>
    <row r="5021" spans="15:29" x14ac:dyDescent="0.25">
      <c r="O5021" s="42"/>
      <c r="R5021" s="42"/>
      <c r="AC5021" s="42"/>
    </row>
    <row r="5022" spans="15:29" x14ac:dyDescent="0.25">
      <c r="O5022" s="42"/>
      <c r="R5022" s="42"/>
      <c r="AC5022" s="42"/>
    </row>
    <row r="5023" spans="15:29" x14ac:dyDescent="0.25">
      <c r="O5023" s="42"/>
      <c r="R5023" s="42"/>
      <c r="AC5023" s="42"/>
    </row>
    <row r="5024" spans="15:29" x14ac:dyDescent="0.25">
      <c r="O5024" s="42"/>
      <c r="R5024" s="42"/>
      <c r="AC5024" s="42"/>
    </row>
    <row r="5025" spans="15:29" x14ac:dyDescent="0.25">
      <c r="O5025" s="42"/>
      <c r="R5025" s="42"/>
      <c r="AC5025" s="42"/>
    </row>
    <row r="5026" spans="15:29" x14ac:dyDescent="0.25">
      <c r="O5026" s="42"/>
      <c r="R5026" s="42"/>
      <c r="AC5026" s="42"/>
    </row>
    <row r="5027" spans="15:29" x14ac:dyDescent="0.25">
      <c r="O5027" s="42"/>
      <c r="R5027" s="42"/>
      <c r="AC5027" s="42"/>
    </row>
    <row r="5028" spans="15:29" x14ac:dyDescent="0.25">
      <c r="O5028" s="42"/>
      <c r="R5028" s="42"/>
      <c r="AC5028" s="42"/>
    </row>
    <row r="5029" spans="15:29" x14ac:dyDescent="0.25">
      <c r="O5029" s="42"/>
      <c r="R5029" s="42"/>
      <c r="AC5029" s="42"/>
    </row>
    <row r="5030" spans="15:29" x14ac:dyDescent="0.25">
      <c r="O5030" s="42"/>
      <c r="R5030" s="42"/>
      <c r="AC5030" s="42"/>
    </row>
    <row r="5031" spans="15:29" x14ac:dyDescent="0.25">
      <c r="O5031" s="42"/>
      <c r="R5031" s="42"/>
      <c r="AC5031" s="42"/>
    </row>
    <row r="5032" spans="15:29" x14ac:dyDescent="0.25">
      <c r="O5032" s="42"/>
      <c r="R5032" s="42"/>
      <c r="AC5032" s="42"/>
    </row>
    <row r="5033" spans="15:29" x14ac:dyDescent="0.25">
      <c r="O5033" s="42"/>
      <c r="R5033" s="42"/>
      <c r="AC5033" s="42"/>
    </row>
    <row r="5034" spans="15:29" x14ac:dyDescent="0.25">
      <c r="O5034" s="42"/>
      <c r="R5034" s="42"/>
      <c r="AC5034" s="42"/>
    </row>
    <row r="5035" spans="15:29" x14ac:dyDescent="0.25">
      <c r="O5035" s="42"/>
      <c r="R5035" s="42"/>
      <c r="AC5035" s="42"/>
    </row>
    <row r="5036" spans="15:29" x14ac:dyDescent="0.25">
      <c r="O5036" s="42"/>
      <c r="R5036" s="42"/>
      <c r="AC5036" s="42"/>
    </row>
    <row r="5037" spans="15:29" x14ac:dyDescent="0.25">
      <c r="O5037" s="42"/>
      <c r="R5037" s="42"/>
      <c r="AC5037" s="42"/>
    </row>
    <row r="5038" spans="15:29" x14ac:dyDescent="0.25">
      <c r="O5038" s="42"/>
      <c r="R5038" s="42"/>
      <c r="AC5038" s="42"/>
    </row>
    <row r="5039" spans="15:29" x14ac:dyDescent="0.25">
      <c r="O5039" s="42"/>
      <c r="R5039" s="42"/>
      <c r="AC5039" s="42"/>
    </row>
    <row r="5040" spans="15:29" x14ac:dyDescent="0.25">
      <c r="O5040" s="42"/>
      <c r="R5040" s="42"/>
      <c r="AC5040" s="42"/>
    </row>
    <row r="5041" spans="15:29" x14ac:dyDescent="0.25">
      <c r="O5041" s="42"/>
      <c r="R5041" s="42"/>
      <c r="AC5041" s="42"/>
    </row>
    <row r="5042" spans="15:29" x14ac:dyDescent="0.25">
      <c r="O5042" s="42"/>
      <c r="R5042" s="42"/>
      <c r="AC5042" s="42"/>
    </row>
    <row r="5043" spans="15:29" x14ac:dyDescent="0.25">
      <c r="O5043" s="42"/>
      <c r="R5043" s="42"/>
      <c r="AC5043" s="42"/>
    </row>
    <row r="5044" spans="15:29" x14ac:dyDescent="0.25">
      <c r="O5044" s="42"/>
      <c r="R5044" s="42"/>
      <c r="AC5044" s="42"/>
    </row>
    <row r="5045" spans="15:29" x14ac:dyDescent="0.25">
      <c r="O5045" s="42"/>
      <c r="R5045" s="42"/>
      <c r="AC5045" s="42"/>
    </row>
    <row r="5046" spans="15:29" x14ac:dyDescent="0.25">
      <c r="O5046" s="42"/>
      <c r="R5046" s="42"/>
      <c r="AC5046" s="42"/>
    </row>
    <row r="5047" spans="15:29" x14ac:dyDescent="0.25">
      <c r="O5047" s="42"/>
      <c r="R5047" s="42"/>
      <c r="AC5047" s="42"/>
    </row>
    <row r="5048" spans="15:29" x14ac:dyDescent="0.25">
      <c r="O5048" s="42"/>
      <c r="R5048" s="42"/>
      <c r="AC5048" s="42"/>
    </row>
    <row r="5049" spans="15:29" x14ac:dyDescent="0.25">
      <c r="O5049" s="42"/>
      <c r="R5049" s="42"/>
      <c r="AC5049" s="42"/>
    </row>
    <row r="5050" spans="15:29" x14ac:dyDescent="0.25">
      <c r="O5050" s="42"/>
      <c r="R5050" s="42"/>
      <c r="AC5050" s="42"/>
    </row>
    <row r="5051" spans="15:29" x14ac:dyDescent="0.25">
      <c r="O5051" s="42"/>
      <c r="R5051" s="42"/>
      <c r="AC5051" s="42"/>
    </row>
    <row r="5052" spans="15:29" x14ac:dyDescent="0.25">
      <c r="O5052" s="42"/>
      <c r="R5052" s="42"/>
      <c r="AC5052" s="42"/>
    </row>
    <row r="5053" spans="15:29" x14ac:dyDescent="0.25">
      <c r="O5053" s="42"/>
      <c r="R5053" s="42"/>
      <c r="AC5053" s="42"/>
    </row>
    <row r="5054" spans="15:29" x14ac:dyDescent="0.25">
      <c r="O5054" s="42"/>
      <c r="R5054" s="42"/>
      <c r="AC5054" s="42"/>
    </row>
    <row r="5055" spans="15:29" x14ac:dyDescent="0.25">
      <c r="O5055" s="42"/>
      <c r="R5055" s="42"/>
      <c r="AC5055" s="42"/>
    </row>
    <row r="5056" spans="15:29" x14ac:dyDescent="0.25">
      <c r="O5056" s="42"/>
      <c r="R5056" s="42"/>
      <c r="AC5056" s="42"/>
    </row>
    <row r="5057" spans="15:29" x14ac:dyDescent="0.25">
      <c r="O5057" s="42"/>
      <c r="R5057" s="42"/>
      <c r="AC5057" s="42"/>
    </row>
    <row r="5058" spans="15:29" x14ac:dyDescent="0.25">
      <c r="O5058" s="42"/>
      <c r="R5058" s="42"/>
      <c r="AC5058" s="42"/>
    </row>
    <row r="5059" spans="15:29" x14ac:dyDescent="0.25">
      <c r="O5059" s="42"/>
      <c r="R5059" s="42"/>
      <c r="AC5059" s="42"/>
    </row>
    <row r="5060" spans="15:29" x14ac:dyDescent="0.25">
      <c r="O5060" s="42"/>
      <c r="R5060" s="42"/>
      <c r="AC5060" s="42"/>
    </row>
    <row r="5061" spans="15:29" x14ac:dyDescent="0.25">
      <c r="O5061" s="42"/>
      <c r="R5061" s="42"/>
      <c r="AC5061" s="42"/>
    </row>
    <row r="5062" spans="15:29" x14ac:dyDescent="0.25">
      <c r="O5062" s="42"/>
      <c r="R5062" s="42"/>
      <c r="AC5062" s="42"/>
    </row>
    <row r="5063" spans="15:29" x14ac:dyDescent="0.25">
      <c r="O5063" s="42"/>
      <c r="R5063" s="42"/>
      <c r="AC5063" s="42"/>
    </row>
    <row r="5064" spans="15:29" x14ac:dyDescent="0.25">
      <c r="O5064" s="42"/>
      <c r="R5064" s="42"/>
      <c r="AC5064" s="42"/>
    </row>
    <row r="5065" spans="15:29" x14ac:dyDescent="0.25">
      <c r="O5065" s="42"/>
      <c r="R5065" s="42"/>
      <c r="AC5065" s="42"/>
    </row>
    <row r="5066" spans="15:29" x14ac:dyDescent="0.25">
      <c r="O5066" s="42"/>
      <c r="R5066" s="42"/>
      <c r="AC5066" s="42"/>
    </row>
    <row r="5067" spans="15:29" x14ac:dyDescent="0.25">
      <c r="O5067" s="42"/>
      <c r="R5067" s="42"/>
      <c r="AC5067" s="42"/>
    </row>
    <row r="5068" spans="15:29" x14ac:dyDescent="0.25">
      <c r="O5068" s="42"/>
      <c r="R5068" s="42"/>
      <c r="AC5068" s="42"/>
    </row>
    <row r="5069" spans="15:29" x14ac:dyDescent="0.25">
      <c r="O5069" s="42"/>
      <c r="R5069" s="42"/>
      <c r="AC5069" s="42"/>
    </row>
    <row r="5070" spans="15:29" x14ac:dyDescent="0.25">
      <c r="O5070" s="42"/>
      <c r="R5070" s="42"/>
      <c r="AC5070" s="42"/>
    </row>
    <row r="5071" spans="15:29" x14ac:dyDescent="0.25">
      <c r="O5071" s="42"/>
      <c r="R5071" s="42"/>
      <c r="AC5071" s="42"/>
    </row>
    <row r="5072" spans="15:29" x14ac:dyDescent="0.25">
      <c r="O5072" s="42"/>
      <c r="R5072" s="42"/>
      <c r="AC5072" s="42"/>
    </row>
    <row r="5073" spans="15:29" x14ac:dyDescent="0.25">
      <c r="O5073" s="42"/>
      <c r="R5073" s="42"/>
      <c r="AC5073" s="42"/>
    </row>
    <row r="5074" spans="15:29" x14ac:dyDescent="0.25">
      <c r="O5074" s="42"/>
      <c r="R5074" s="42"/>
      <c r="AC5074" s="42"/>
    </row>
    <row r="5075" spans="15:29" x14ac:dyDescent="0.25">
      <c r="O5075" s="42"/>
      <c r="R5075" s="42"/>
      <c r="AC5075" s="42"/>
    </row>
    <row r="5076" spans="15:29" x14ac:dyDescent="0.25">
      <c r="O5076" s="42"/>
      <c r="R5076" s="42"/>
      <c r="AC5076" s="42"/>
    </row>
    <row r="5077" spans="15:29" x14ac:dyDescent="0.25">
      <c r="O5077" s="42"/>
      <c r="R5077" s="42"/>
      <c r="AC5077" s="42"/>
    </row>
    <row r="5078" spans="15:29" x14ac:dyDescent="0.25">
      <c r="O5078" s="42"/>
      <c r="R5078" s="42"/>
      <c r="AC5078" s="42"/>
    </row>
    <row r="5079" spans="15:29" x14ac:dyDescent="0.25">
      <c r="O5079" s="42"/>
      <c r="R5079" s="42"/>
      <c r="AC5079" s="42"/>
    </row>
    <row r="5080" spans="15:29" x14ac:dyDescent="0.25">
      <c r="O5080" s="42"/>
      <c r="R5080" s="42"/>
      <c r="AC5080" s="42"/>
    </row>
    <row r="5081" spans="15:29" x14ac:dyDescent="0.25">
      <c r="O5081" s="42"/>
      <c r="R5081" s="42"/>
      <c r="AC5081" s="42"/>
    </row>
    <row r="5082" spans="15:29" x14ac:dyDescent="0.25">
      <c r="O5082" s="42"/>
      <c r="R5082" s="42"/>
      <c r="AC5082" s="42"/>
    </row>
    <row r="5083" spans="15:29" x14ac:dyDescent="0.25">
      <c r="O5083" s="42"/>
      <c r="R5083" s="42"/>
      <c r="AC5083" s="42"/>
    </row>
    <row r="5084" spans="15:29" x14ac:dyDescent="0.25">
      <c r="O5084" s="42"/>
      <c r="R5084" s="42"/>
      <c r="AC5084" s="42"/>
    </row>
    <row r="5085" spans="15:29" x14ac:dyDescent="0.25">
      <c r="O5085" s="42"/>
      <c r="R5085" s="42"/>
      <c r="AC5085" s="42"/>
    </row>
    <row r="5086" spans="15:29" x14ac:dyDescent="0.25">
      <c r="O5086" s="42"/>
      <c r="R5086" s="42"/>
      <c r="AC5086" s="42"/>
    </row>
    <row r="5087" spans="15:29" x14ac:dyDescent="0.25">
      <c r="O5087" s="42"/>
      <c r="R5087" s="42"/>
      <c r="AC5087" s="42"/>
    </row>
    <row r="5088" spans="15:29" x14ac:dyDescent="0.25">
      <c r="O5088" s="42"/>
      <c r="R5088" s="42"/>
      <c r="AC5088" s="42"/>
    </row>
    <row r="5089" spans="15:29" x14ac:dyDescent="0.25">
      <c r="O5089" s="42"/>
      <c r="R5089" s="42"/>
      <c r="AC5089" s="42"/>
    </row>
    <row r="5090" spans="15:29" x14ac:dyDescent="0.25">
      <c r="O5090" s="42"/>
      <c r="R5090" s="42"/>
      <c r="AC5090" s="42"/>
    </row>
    <row r="5091" spans="15:29" x14ac:dyDescent="0.25">
      <c r="O5091" s="42"/>
      <c r="R5091" s="42"/>
      <c r="AC5091" s="42"/>
    </row>
    <row r="5092" spans="15:29" x14ac:dyDescent="0.25">
      <c r="O5092" s="42"/>
      <c r="R5092" s="42"/>
      <c r="AC5092" s="42"/>
    </row>
    <row r="5093" spans="15:29" x14ac:dyDescent="0.25">
      <c r="O5093" s="42"/>
      <c r="R5093" s="42"/>
      <c r="AC5093" s="42"/>
    </row>
    <row r="5094" spans="15:29" x14ac:dyDescent="0.25">
      <c r="O5094" s="42"/>
      <c r="R5094" s="42"/>
      <c r="AC5094" s="42"/>
    </row>
    <row r="5095" spans="15:29" x14ac:dyDescent="0.25">
      <c r="O5095" s="42"/>
      <c r="R5095" s="42"/>
      <c r="AC5095" s="42"/>
    </row>
    <row r="5096" spans="15:29" x14ac:dyDescent="0.25">
      <c r="O5096" s="42"/>
      <c r="R5096" s="42"/>
      <c r="AC5096" s="42"/>
    </row>
    <row r="5097" spans="15:29" x14ac:dyDescent="0.25">
      <c r="O5097" s="42"/>
      <c r="R5097" s="42"/>
      <c r="AC5097" s="42"/>
    </row>
    <row r="5098" spans="15:29" x14ac:dyDescent="0.25">
      <c r="O5098" s="42"/>
      <c r="R5098" s="42"/>
      <c r="AC5098" s="42"/>
    </row>
    <row r="5099" spans="15:29" x14ac:dyDescent="0.25">
      <c r="O5099" s="42"/>
      <c r="R5099" s="42"/>
      <c r="AC5099" s="42"/>
    </row>
    <row r="5100" spans="15:29" x14ac:dyDescent="0.25">
      <c r="O5100" s="42"/>
      <c r="R5100" s="42"/>
      <c r="AC5100" s="42"/>
    </row>
    <row r="5101" spans="15:29" x14ac:dyDescent="0.25">
      <c r="O5101" s="42"/>
      <c r="R5101" s="42"/>
      <c r="AC5101" s="42"/>
    </row>
    <row r="5102" spans="15:29" x14ac:dyDescent="0.25">
      <c r="O5102" s="42"/>
      <c r="R5102" s="42"/>
      <c r="AC5102" s="42"/>
    </row>
    <row r="5103" spans="15:29" x14ac:dyDescent="0.25">
      <c r="O5103" s="42"/>
      <c r="R5103" s="42"/>
      <c r="AC5103" s="42"/>
    </row>
    <row r="5104" spans="15:29" x14ac:dyDescent="0.25">
      <c r="O5104" s="42"/>
      <c r="R5104" s="42"/>
      <c r="AC5104" s="42"/>
    </row>
    <row r="5105" spans="15:29" x14ac:dyDescent="0.25">
      <c r="O5105" s="42"/>
      <c r="R5105" s="42"/>
      <c r="AC5105" s="42"/>
    </row>
    <row r="5106" spans="15:29" x14ac:dyDescent="0.25">
      <c r="O5106" s="42"/>
      <c r="R5106" s="42"/>
      <c r="AC5106" s="42"/>
    </row>
    <row r="5107" spans="15:29" x14ac:dyDescent="0.25">
      <c r="O5107" s="42"/>
      <c r="R5107" s="42"/>
      <c r="AC5107" s="42"/>
    </row>
    <row r="5108" spans="15:29" x14ac:dyDescent="0.25">
      <c r="O5108" s="42"/>
      <c r="R5108" s="42"/>
      <c r="AC5108" s="42"/>
    </row>
    <row r="5109" spans="15:29" x14ac:dyDescent="0.25">
      <c r="O5109" s="42"/>
      <c r="R5109" s="42"/>
      <c r="AC5109" s="42"/>
    </row>
    <row r="5110" spans="15:29" x14ac:dyDescent="0.25">
      <c r="O5110" s="42"/>
      <c r="R5110" s="42"/>
      <c r="AC5110" s="42"/>
    </row>
    <row r="5111" spans="15:29" x14ac:dyDescent="0.25">
      <c r="O5111" s="42"/>
      <c r="R5111" s="42"/>
      <c r="AC5111" s="42"/>
    </row>
    <row r="5112" spans="15:29" x14ac:dyDescent="0.25">
      <c r="O5112" s="42"/>
      <c r="R5112" s="42"/>
      <c r="AC5112" s="42"/>
    </row>
    <row r="5113" spans="15:29" x14ac:dyDescent="0.25">
      <c r="O5113" s="42"/>
      <c r="R5113" s="42"/>
      <c r="AC5113" s="42"/>
    </row>
    <row r="5114" spans="15:29" x14ac:dyDescent="0.25">
      <c r="O5114" s="42"/>
      <c r="R5114" s="42"/>
      <c r="AC5114" s="42"/>
    </row>
    <row r="5115" spans="15:29" x14ac:dyDescent="0.25">
      <c r="O5115" s="42"/>
      <c r="R5115" s="42"/>
      <c r="AC5115" s="42"/>
    </row>
    <row r="5116" spans="15:29" x14ac:dyDescent="0.25">
      <c r="O5116" s="42"/>
      <c r="R5116" s="42"/>
      <c r="AC5116" s="42"/>
    </row>
    <row r="5117" spans="15:29" x14ac:dyDescent="0.25">
      <c r="O5117" s="42"/>
      <c r="R5117" s="42"/>
      <c r="AC5117" s="42"/>
    </row>
    <row r="5118" spans="15:29" x14ac:dyDescent="0.25">
      <c r="O5118" s="42"/>
      <c r="R5118" s="42"/>
      <c r="AC5118" s="42"/>
    </row>
    <row r="5119" spans="15:29" x14ac:dyDescent="0.25">
      <c r="O5119" s="42"/>
      <c r="R5119" s="42"/>
      <c r="AC5119" s="42"/>
    </row>
    <row r="5120" spans="15:29" x14ac:dyDescent="0.25">
      <c r="O5120" s="42"/>
      <c r="R5120" s="42"/>
      <c r="AC5120" s="42"/>
    </row>
    <row r="5121" spans="15:29" x14ac:dyDescent="0.25">
      <c r="O5121" s="42"/>
      <c r="R5121" s="42"/>
      <c r="AC5121" s="42"/>
    </row>
    <row r="5122" spans="15:29" x14ac:dyDescent="0.25">
      <c r="O5122" s="42"/>
      <c r="R5122" s="42"/>
      <c r="AC5122" s="42"/>
    </row>
    <row r="5123" spans="15:29" x14ac:dyDescent="0.25">
      <c r="O5123" s="42"/>
      <c r="R5123" s="42"/>
      <c r="AC5123" s="42"/>
    </row>
    <row r="5124" spans="15:29" x14ac:dyDescent="0.25">
      <c r="O5124" s="42"/>
      <c r="R5124" s="42"/>
      <c r="AC5124" s="42"/>
    </row>
    <row r="5125" spans="15:29" x14ac:dyDescent="0.25">
      <c r="O5125" s="42"/>
      <c r="R5125" s="42"/>
      <c r="AC5125" s="42"/>
    </row>
    <row r="5126" spans="15:29" x14ac:dyDescent="0.25">
      <c r="O5126" s="42"/>
      <c r="R5126" s="42"/>
      <c r="AC5126" s="42"/>
    </row>
    <row r="5127" spans="15:29" x14ac:dyDescent="0.25">
      <c r="O5127" s="42"/>
      <c r="R5127" s="42"/>
      <c r="AC5127" s="42"/>
    </row>
    <row r="5128" spans="15:29" x14ac:dyDescent="0.25">
      <c r="O5128" s="42"/>
      <c r="R5128" s="42"/>
      <c r="AC5128" s="42"/>
    </row>
    <row r="5129" spans="15:29" x14ac:dyDescent="0.25">
      <c r="O5129" s="42"/>
      <c r="R5129" s="42"/>
      <c r="AC5129" s="42"/>
    </row>
    <row r="5130" spans="15:29" x14ac:dyDescent="0.25">
      <c r="O5130" s="42"/>
      <c r="R5130" s="42"/>
      <c r="AC5130" s="42"/>
    </row>
    <row r="5131" spans="15:29" x14ac:dyDescent="0.25">
      <c r="O5131" s="42"/>
      <c r="R5131" s="42"/>
      <c r="AC5131" s="42"/>
    </row>
    <row r="5132" spans="15:29" x14ac:dyDescent="0.25">
      <c r="O5132" s="42"/>
      <c r="R5132" s="42"/>
      <c r="AC5132" s="42"/>
    </row>
    <row r="5133" spans="15:29" x14ac:dyDescent="0.25">
      <c r="O5133" s="42"/>
      <c r="R5133" s="42"/>
      <c r="AC5133" s="42"/>
    </row>
    <row r="5134" spans="15:29" x14ac:dyDescent="0.25">
      <c r="O5134" s="42"/>
      <c r="R5134" s="42"/>
      <c r="AC5134" s="42"/>
    </row>
    <row r="5135" spans="15:29" x14ac:dyDescent="0.25">
      <c r="O5135" s="42"/>
      <c r="R5135" s="42"/>
      <c r="AC5135" s="42"/>
    </row>
    <row r="5136" spans="15:29" x14ac:dyDescent="0.25">
      <c r="O5136" s="42"/>
      <c r="R5136" s="42"/>
      <c r="AC5136" s="42"/>
    </row>
    <row r="5137" spans="15:29" x14ac:dyDescent="0.25">
      <c r="O5137" s="42"/>
      <c r="R5137" s="42"/>
      <c r="AC5137" s="42"/>
    </row>
    <row r="5138" spans="15:29" x14ac:dyDescent="0.25">
      <c r="O5138" s="42"/>
      <c r="R5138" s="42"/>
      <c r="AC5138" s="42"/>
    </row>
    <row r="5139" spans="15:29" x14ac:dyDescent="0.25">
      <c r="O5139" s="42"/>
      <c r="R5139" s="42"/>
      <c r="AC5139" s="42"/>
    </row>
    <row r="5140" spans="15:29" x14ac:dyDescent="0.25">
      <c r="O5140" s="42"/>
      <c r="R5140" s="42"/>
      <c r="AC5140" s="42"/>
    </row>
    <row r="5141" spans="15:29" x14ac:dyDescent="0.25">
      <c r="O5141" s="42"/>
      <c r="R5141" s="42"/>
      <c r="AC5141" s="42"/>
    </row>
    <row r="5142" spans="15:29" x14ac:dyDescent="0.25">
      <c r="O5142" s="42"/>
      <c r="R5142" s="42"/>
      <c r="AC5142" s="42"/>
    </row>
    <row r="5143" spans="15:29" x14ac:dyDescent="0.25">
      <c r="O5143" s="42"/>
      <c r="R5143" s="42"/>
      <c r="AC5143" s="42"/>
    </row>
    <row r="5144" spans="15:29" x14ac:dyDescent="0.25">
      <c r="O5144" s="42"/>
      <c r="R5144" s="42"/>
      <c r="AC5144" s="42"/>
    </row>
    <row r="5145" spans="15:29" x14ac:dyDescent="0.25">
      <c r="O5145" s="42"/>
      <c r="R5145" s="42"/>
      <c r="AC5145" s="42"/>
    </row>
    <row r="5146" spans="15:29" x14ac:dyDescent="0.25">
      <c r="O5146" s="42"/>
      <c r="R5146" s="42"/>
      <c r="AC5146" s="42"/>
    </row>
    <row r="5147" spans="15:29" x14ac:dyDescent="0.25">
      <c r="O5147" s="42"/>
      <c r="R5147" s="42"/>
      <c r="AC5147" s="42"/>
    </row>
    <row r="5148" spans="15:29" x14ac:dyDescent="0.25">
      <c r="O5148" s="42"/>
      <c r="R5148" s="42"/>
      <c r="AC5148" s="42"/>
    </row>
    <row r="5149" spans="15:29" x14ac:dyDescent="0.25">
      <c r="O5149" s="42"/>
      <c r="R5149" s="42"/>
      <c r="AC5149" s="42"/>
    </row>
    <row r="5150" spans="15:29" x14ac:dyDescent="0.25">
      <c r="O5150" s="42"/>
      <c r="R5150" s="42"/>
      <c r="AC5150" s="42"/>
    </row>
    <row r="5151" spans="15:29" x14ac:dyDescent="0.25">
      <c r="O5151" s="42"/>
      <c r="R5151" s="42"/>
      <c r="AC5151" s="42"/>
    </row>
    <row r="5152" spans="15:29" x14ac:dyDescent="0.25">
      <c r="O5152" s="42"/>
      <c r="R5152" s="42"/>
      <c r="AC5152" s="42"/>
    </row>
    <row r="5153" spans="15:29" x14ac:dyDescent="0.25">
      <c r="O5153" s="42"/>
      <c r="R5153" s="42"/>
      <c r="AC5153" s="42"/>
    </row>
    <row r="5154" spans="15:29" x14ac:dyDescent="0.25">
      <c r="O5154" s="42"/>
      <c r="R5154" s="42"/>
      <c r="AC5154" s="42"/>
    </row>
    <row r="5155" spans="15:29" x14ac:dyDescent="0.25">
      <c r="O5155" s="42"/>
      <c r="R5155" s="42"/>
      <c r="AC5155" s="42"/>
    </row>
    <row r="5156" spans="15:29" x14ac:dyDescent="0.25">
      <c r="O5156" s="42"/>
      <c r="R5156" s="42"/>
      <c r="AC5156" s="42"/>
    </row>
    <row r="5157" spans="15:29" x14ac:dyDescent="0.25">
      <c r="O5157" s="42"/>
      <c r="R5157" s="42"/>
      <c r="AC5157" s="42"/>
    </row>
    <row r="5158" spans="15:29" x14ac:dyDescent="0.25">
      <c r="O5158" s="42"/>
      <c r="R5158" s="42"/>
      <c r="AC5158" s="42"/>
    </row>
    <row r="5159" spans="15:29" x14ac:dyDescent="0.25">
      <c r="O5159" s="42"/>
      <c r="R5159" s="42"/>
      <c r="AC5159" s="42"/>
    </row>
    <row r="5160" spans="15:29" x14ac:dyDescent="0.25">
      <c r="O5160" s="42"/>
      <c r="R5160" s="42"/>
      <c r="AC5160" s="42"/>
    </row>
    <row r="5161" spans="15:29" x14ac:dyDescent="0.25">
      <c r="O5161" s="42"/>
      <c r="R5161" s="42"/>
      <c r="AC5161" s="42"/>
    </row>
    <row r="5162" spans="15:29" x14ac:dyDescent="0.25">
      <c r="O5162" s="42"/>
      <c r="R5162" s="42"/>
      <c r="AC5162" s="42"/>
    </row>
    <row r="5163" spans="15:29" x14ac:dyDescent="0.25">
      <c r="O5163" s="42"/>
      <c r="R5163" s="42"/>
      <c r="AC5163" s="42"/>
    </row>
    <row r="5164" spans="15:29" x14ac:dyDescent="0.25">
      <c r="O5164" s="42"/>
      <c r="R5164" s="42"/>
      <c r="AC5164" s="42"/>
    </row>
    <row r="5165" spans="15:29" x14ac:dyDescent="0.25">
      <c r="O5165" s="42"/>
      <c r="R5165" s="42"/>
      <c r="AC5165" s="42"/>
    </row>
    <row r="5166" spans="15:29" x14ac:dyDescent="0.25">
      <c r="O5166" s="42"/>
      <c r="R5166" s="42"/>
      <c r="AC5166" s="42"/>
    </row>
    <row r="5167" spans="15:29" x14ac:dyDescent="0.25">
      <c r="O5167" s="42"/>
      <c r="R5167" s="42"/>
      <c r="AC5167" s="42"/>
    </row>
    <row r="5168" spans="15:29" x14ac:dyDescent="0.25">
      <c r="O5168" s="42"/>
      <c r="R5168" s="42"/>
      <c r="AC5168" s="42"/>
    </row>
    <row r="5169" spans="15:29" x14ac:dyDescent="0.25">
      <c r="O5169" s="42"/>
      <c r="R5169" s="42"/>
      <c r="AC5169" s="42"/>
    </row>
    <row r="5170" spans="15:29" x14ac:dyDescent="0.25">
      <c r="O5170" s="42"/>
      <c r="R5170" s="42"/>
      <c r="AC5170" s="42"/>
    </row>
    <row r="5171" spans="15:29" x14ac:dyDescent="0.25">
      <c r="O5171" s="42"/>
      <c r="R5171" s="42"/>
      <c r="AC5171" s="42"/>
    </row>
    <row r="5172" spans="15:29" x14ac:dyDescent="0.25">
      <c r="O5172" s="42"/>
      <c r="R5172" s="42"/>
      <c r="AC5172" s="42"/>
    </row>
    <row r="5173" spans="15:29" x14ac:dyDescent="0.25">
      <c r="O5173" s="42"/>
      <c r="R5173" s="42"/>
      <c r="AC5173" s="42"/>
    </row>
    <row r="5174" spans="15:29" x14ac:dyDescent="0.25">
      <c r="O5174" s="42"/>
      <c r="R5174" s="42"/>
      <c r="AC5174" s="42"/>
    </row>
    <row r="5175" spans="15:29" x14ac:dyDescent="0.25">
      <c r="O5175" s="42"/>
      <c r="R5175" s="42"/>
      <c r="AC5175" s="42"/>
    </row>
    <row r="5176" spans="15:29" x14ac:dyDescent="0.25">
      <c r="O5176" s="42"/>
      <c r="R5176" s="42"/>
      <c r="AC5176" s="42"/>
    </row>
    <row r="5177" spans="15:29" x14ac:dyDescent="0.25">
      <c r="O5177" s="42"/>
      <c r="R5177" s="42"/>
      <c r="AC5177" s="42"/>
    </row>
    <row r="5178" spans="15:29" x14ac:dyDescent="0.25">
      <c r="O5178" s="42"/>
      <c r="R5178" s="42"/>
      <c r="AC5178" s="42"/>
    </row>
    <row r="5179" spans="15:29" x14ac:dyDescent="0.25">
      <c r="O5179" s="42"/>
      <c r="R5179" s="42"/>
      <c r="AC5179" s="42"/>
    </row>
    <row r="5180" spans="15:29" x14ac:dyDescent="0.25">
      <c r="O5180" s="42"/>
      <c r="R5180" s="42"/>
      <c r="AC5180" s="42"/>
    </row>
    <row r="5181" spans="15:29" x14ac:dyDescent="0.25">
      <c r="O5181" s="42"/>
      <c r="R5181" s="42"/>
      <c r="AC5181" s="42"/>
    </row>
    <row r="5182" spans="15:29" x14ac:dyDescent="0.25">
      <c r="O5182" s="42"/>
      <c r="R5182" s="42"/>
      <c r="AC5182" s="42"/>
    </row>
    <row r="5183" spans="15:29" x14ac:dyDescent="0.25">
      <c r="O5183" s="42"/>
      <c r="R5183" s="42"/>
      <c r="AC5183" s="42"/>
    </row>
    <row r="5184" spans="15:29" x14ac:dyDescent="0.25">
      <c r="O5184" s="42"/>
      <c r="R5184" s="42"/>
      <c r="AC5184" s="42"/>
    </row>
    <row r="5185" spans="15:29" x14ac:dyDescent="0.25">
      <c r="O5185" s="42"/>
      <c r="R5185" s="42"/>
      <c r="AC5185" s="42"/>
    </row>
    <row r="5186" spans="15:29" x14ac:dyDescent="0.25">
      <c r="O5186" s="42"/>
      <c r="R5186" s="42"/>
      <c r="AC5186" s="42"/>
    </row>
    <row r="5187" spans="15:29" x14ac:dyDescent="0.25">
      <c r="O5187" s="42"/>
      <c r="R5187" s="42"/>
      <c r="AC5187" s="42"/>
    </row>
    <row r="5188" spans="15:29" x14ac:dyDescent="0.25">
      <c r="O5188" s="42"/>
      <c r="R5188" s="42"/>
      <c r="AC5188" s="42"/>
    </row>
    <row r="5189" spans="15:29" x14ac:dyDescent="0.25">
      <c r="O5189" s="42"/>
      <c r="R5189" s="42"/>
      <c r="AC5189" s="42"/>
    </row>
    <row r="5190" spans="15:29" x14ac:dyDescent="0.25">
      <c r="O5190" s="42"/>
      <c r="R5190" s="42"/>
      <c r="AC5190" s="42"/>
    </row>
    <row r="5191" spans="15:29" x14ac:dyDescent="0.25">
      <c r="O5191" s="42"/>
      <c r="R5191" s="42"/>
      <c r="AC5191" s="42"/>
    </row>
    <row r="5192" spans="15:29" x14ac:dyDescent="0.25">
      <c r="O5192" s="42"/>
      <c r="R5192" s="42"/>
      <c r="AC5192" s="42"/>
    </row>
    <row r="5193" spans="15:29" x14ac:dyDescent="0.25">
      <c r="O5193" s="42"/>
      <c r="R5193" s="42"/>
      <c r="AC5193" s="42"/>
    </row>
    <row r="5194" spans="15:29" x14ac:dyDescent="0.25">
      <c r="O5194" s="42"/>
      <c r="R5194" s="42"/>
      <c r="AC5194" s="42"/>
    </row>
    <row r="5195" spans="15:29" x14ac:dyDescent="0.25">
      <c r="O5195" s="42"/>
      <c r="R5195" s="42"/>
      <c r="AC5195" s="42"/>
    </row>
    <row r="5196" spans="15:29" x14ac:dyDescent="0.25">
      <c r="O5196" s="42"/>
      <c r="R5196" s="42"/>
      <c r="AC5196" s="42"/>
    </row>
    <row r="5197" spans="15:29" x14ac:dyDescent="0.25">
      <c r="O5197" s="42"/>
      <c r="R5197" s="42"/>
      <c r="AC5197" s="42"/>
    </row>
    <row r="5198" spans="15:29" x14ac:dyDescent="0.25">
      <c r="O5198" s="42"/>
      <c r="R5198" s="42"/>
      <c r="AC5198" s="42"/>
    </row>
    <row r="5199" spans="15:29" x14ac:dyDescent="0.25">
      <c r="O5199" s="42"/>
      <c r="R5199" s="42"/>
      <c r="AC5199" s="42"/>
    </row>
    <row r="5200" spans="15:29" x14ac:dyDescent="0.25">
      <c r="O5200" s="42"/>
      <c r="R5200" s="42"/>
      <c r="AC5200" s="42"/>
    </row>
    <row r="5201" spans="15:29" x14ac:dyDescent="0.25">
      <c r="O5201" s="42"/>
      <c r="R5201" s="42"/>
      <c r="AC5201" s="42"/>
    </row>
    <row r="5202" spans="15:29" x14ac:dyDescent="0.25">
      <c r="O5202" s="42"/>
      <c r="R5202" s="42"/>
      <c r="AC5202" s="42"/>
    </row>
    <row r="5203" spans="15:29" x14ac:dyDescent="0.25">
      <c r="O5203" s="42"/>
      <c r="R5203" s="42"/>
      <c r="AC5203" s="42"/>
    </row>
    <row r="5204" spans="15:29" x14ac:dyDescent="0.25">
      <c r="O5204" s="42"/>
      <c r="R5204" s="42"/>
      <c r="AC5204" s="42"/>
    </row>
    <row r="5205" spans="15:29" x14ac:dyDescent="0.25">
      <c r="O5205" s="42"/>
      <c r="R5205" s="42"/>
      <c r="AC5205" s="42"/>
    </row>
    <row r="5206" spans="15:29" x14ac:dyDescent="0.25">
      <c r="O5206" s="42"/>
      <c r="R5206" s="42"/>
      <c r="AC5206" s="42"/>
    </row>
    <row r="5207" spans="15:29" x14ac:dyDescent="0.25">
      <c r="O5207" s="42"/>
      <c r="R5207" s="42"/>
      <c r="AC5207" s="42"/>
    </row>
    <row r="5208" spans="15:29" x14ac:dyDescent="0.25">
      <c r="O5208" s="42"/>
      <c r="R5208" s="42"/>
      <c r="AC5208" s="42"/>
    </row>
    <row r="5209" spans="15:29" x14ac:dyDescent="0.25">
      <c r="O5209" s="42"/>
      <c r="R5209" s="42"/>
      <c r="AC5209" s="42"/>
    </row>
    <row r="5210" spans="15:29" x14ac:dyDescent="0.25">
      <c r="O5210" s="42"/>
      <c r="R5210" s="42"/>
      <c r="AC5210" s="42"/>
    </row>
    <row r="5211" spans="15:29" x14ac:dyDescent="0.25">
      <c r="O5211" s="42"/>
      <c r="R5211" s="42"/>
      <c r="AC5211" s="42"/>
    </row>
    <row r="5212" spans="15:29" x14ac:dyDescent="0.25">
      <c r="O5212" s="42"/>
      <c r="R5212" s="42"/>
      <c r="AC5212" s="42"/>
    </row>
    <row r="5213" spans="15:29" x14ac:dyDescent="0.25">
      <c r="O5213" s="42"/>
      <c r="R5213" s="42"/>
      <c r="AC5213" s="42"/>
    </row>
    <row r="5214" spans="15:29" x14ac:dyDescent="0.25">
      <c r="O5214" s="42"/>
      <c r="R5214" s="42"/>
      <c r="AC5214" s="42"/>
    </row>
    <row r="5215" spans="15:29" x14ac:dyDescent="0.25">
      <c r="O5215" s="42"/>
      <c r="R5215" s="42"/>
      <c r="AC5215" s="42"/>
    </row>
    <row r="5216" spans="15:29" x14ac:dyDescent="0.25">
      <c r="O5216" s="42"/>
      <c r="R5216" s="42"/>
      <c r="AC5216" s="42"/>
    </row>
    <row r="5217" spans="15:29" x14ac:dyDescent="0.25">
      <c r="O5217" s="42"/>
      <c r="R5217" s="42"/>
      <c r="AC5217" s="42"/>
    </row>
    <row r="5218" spans="15:29" x14ac:dyDescent="0.25">
      <c r="O5218" s="42"/>
      <c r="R5218" s="42"/>
      <c r="AC5218" s="42"/>
    </row>
    <row r="5219" spans="15:29" x14ac:dyDescent="0.25">
      <c r="O5219" s="42"/>
      <c r="R5219" s="42"/>
      <c r="AC5219" s="42"/>
    </row>
    <row r="5220" spans="15:29" x14ac:dyDescent="0.25">
      <c r="O5220" s="42"/>
      <c r="R5220" s="42"/>
      <c r="AC5220" s="42"/>
    </row>
    <row r="5221" spans="15:29" x14ac:dyDescent="0.25">
      <c r="O5221" s="42"/>
      <c r="R5221" s="42"/>
      <c r="AC5221" s="42"/>
    </row>
    <row r="5222" spans="15:29" x14ac:dyDescent="0.25">
      <c r="O5222" s="42"/>
      <c r="R5222" s="42"/>
      <c r="AC5222" s="42"/>
    </row>
    <row r="5223" spans="15:29" x14ac:dyDescent="0.25">
      <c r="O5223" s="42"/>
      <c r="R5223" s="42"/>
      <c r="AC5223" s="42"/>
    </row>
    <row r="5224" spans="15:29" x14ac:dyDescent="0.25">
      <c r="O5224" s="42"/>
      <c r="R5224" s="42"/>
      <c r="AC5224" s="42"/>
    </row>
    <row r="5225" spans="15:29" x14ac:dyDescent="0.25">
      <c r="O5225" s="42"/>
      <c r="R5225" s="42"/>
      <c r="AC5225" s="42"/>
    </row>
    <row r="5226" spans="15:29" x14ac:dyDescent="0.25">
      <c r="O5226" s="42"/>
      <c r="R5226" s="42"/>
      <c r="AC5226" s="42"/>
    </row>
    <row r="5227" spans="15:29" x14ac:dyDescent="0.25">
      <c r="O5227" s="42"/>
      <c r="R5227" s="42"/>
      <c r="AC5227" s="42"/>
    </row>
    <row r="5228" spans="15:29" x14ac:dyDescent="0.25">
      <c r="O5228" s="42"/>
      <c r="R5228" s="42"/>
      <c r="AC5228" s="42"/>
    </row>
    <row r="5229" spans="15:29" x14ac:dyDescent="0.25">
      <c r="O5229" s="42"/>
      <c r="R5229" s="42"/>
      <c r="AC5229" s="42"/>
    </row>
    <row r="5230" spans="15:29" x14ac:dyDescent="0.25">
      <c r="O5230" s="42"/>
      <c r="R5230" s="42"/>
      <c r="AC5230" s="42"/>
    </row>
    <row r="5231" spans="15:29" x14ac:dyDescent="0.25">
      <c r="O5231" s="42"/>
      <c r="R5231" s="42"/>
      <c r="AC5231" s="42"/>
    </row>
    <row r="5232" spans="15:29" x14ac:dyDescent="0.25">
      <c r="O5232" s="42"/>
      <c r="R5232" s="42"/>
      <c r="AC5232" s="42"/>
    </row>
    <row r="5233" spans="15:29" x14ac:dyDescent="0.25">
      <c r="O5233" s="42"/>
      <c r="R5233" s="42"/>
      <c r="AC5233" s="42"/>
    </row>
    <row r="5234" spans="15:29" x14ac:dyDescent="0.25">
      <c r="O5234" s="42"/>
      <c r="R5234" s="42"/>
      <c r="AC5234" s="42"/>
    </row>
    <row r="5235" spans="15:29" x14ac:dyDescent="0.25">
      <c r="O5235" s="42"/>
      <c r="R5235" s="42"/>
      <c r="AC5235" s="42"/>
    </row>
    <row r="5236" spans="15:29" x14ac:dyDescent="0.25">
      <c r="O5236" s="42"/>
      <c r="R5236" s="42"/>
      <c r="AC5236" s="42"/>
    </row>
    <row r="5237" spans="15:29" x14ac:dyDescent="0.25">
      <c r="O5237" s="42"/>
      <c r="R5237" s="42"/>
      <c r="AC5237" s="42"/>
    </row>
    <row r="5238" spans="15:29" x14ac:dyDescent="0.25">
      <c r="O5238" s="42"/>
      <c r="R5238" s="42"/>
      <c r="AC5238" s="42"/>
    </row>
    <row r="5239" spans="15:29" x14ac:dyDescent="0.25">
      <c r="O5239" s="42"/>
      <c r="R5239" s="42"/>
      <c r="AC5239" s="42"/>
    </row>
    <row r="5240" spans="15:29" x14ac:dyDescent="0.25">
      <c r="O5240" s="42"/>
      <c r="R5240" s="42"/>
      <c r="AC5240" s="42"/>
    </row>
    <row r="5241" spans="15:29" x14ac:dyDescent="0.25">
      <c r="O5241" s="42"/>
      <c r="R5241" s="42"/>
      <c r="AC5241" s="42"/>
    </row>
    <row r="5242" spans="15:29" x14ac:dyDescent="0.25">
      <c r="O5242" s="42"/>
      <c r="R5242" s="42"/>
      <c r="AC5242" s="42"/>
    </row>
    <row r="5243" spans="15:29" x14ac:dyDescent="0.25">
      <c r="O5243" s="42"/>
      <c r="R5243" s="42"/>
      <c r="AC5243" s="42"/>
    </row>
    <row r="5244" spans="15:29" x14ac:dyDescent="0.25">
      <c r="O5244" s="42"/>
      <c r="R5244" s="42"/>
      <c r="AC5244" s="42"/>
    </row>
    <row r="5245" spans="15:29" x14ac:dyDescent="0.25">
      <c r="O5245" s="42"/>
      <c r="R5245" s="42"/>
      <c r="AC5245" s="42"/>
    </row>
    <row r="5246" spans="15:29" x14ac:dyDescent="0.25">
      <c r="O5246" s="42"/>
      <c r="R5246" s="42"/>
      <c r="AC5246" s="42"/>
    </row>
    <row r="5247" spans="15:29" x14ac:dyDescent="0.25">
      <c r="O5247" s="42"/>
      <c r="R5247" s="42"/>
      <c r="AC5247" s="42"/>
    </row>
    <row r="5248" spans="15:29" x14ac:dyDescent="0.25">
      <c r="O5248" s="42"/>
      <c r="R5248" s="42"/>
      <c r="AC5248" s="42"/>
    </row>
    <row r="5249" spans="15:29" x14ac:dyDescent="0.25">
      <c r="O5249" s="42"/>
      <c r="R5249" s="42"/>
      <c r="AC5249" s="42"/>
    </row>
    <row r="5250" spans="15:29" x14ac:dyDescent="0.25">
      <c r="O5250" s="42"/>
      <c r="R5250" s="42"/>
      <c r="AC5250" s="42"/>
    </row>
    <row r="5251" spans="15:29" x14ac:dyDescent="0.25">
      <c r="O5251" s="42"/>
      <c r="R5251" s="42"/>
      <c r="AC5251" s="42"/>
    </row>
    <row r="5252" spans="15:29" x14ac:dyDescent="0.25">
      <c r="O5252" s="42"/>
      <c r="R5252" s="42"/>
      <c r="AC5252" s="42"/>
    </row>
    <row r="5253" spans="15:29" x14ac:dyDescent="0.25">
      <c r="O5253" s="42"/>
      <c r="R5253" s="42"/>
      <c r="AC5253" s="42"/>
    </row>
    <row r="5254" spans="15:29" x14ac:dyDescent="0.25">
      <c r="O5254" s="42"/>
      <c r="R5254" s="42"/>
      <c r="AC5254" s="42"/>
    </row>
    <row r="5255" spans="15:29" x14ac:dyDescent="0.25">
      <c r="O5255" s="42"/>
      <c r="R5255" s="42"/>
      <c r="AC5255" s="42"/>
    </row>
    <row r="5256" spans="15:29" x14ac:dyDescent="0.25">
      <c r="O5256" s="42"/>
      <c r="R5256" s="42"/>
      <c r="AC5256" s="42"/>
    </row>
    <row r="5257" spans="15:29" x14ac:dyDescent="0.25">
      <c r="O5257" s="42"/>
      <c r="R5257" s="42"/>
      <c r="AC5257" s="42"/>
    </row>
    <row r="5258" spans="15:29" x14ac:dyDescent="0.25">
      <c r="O5258" s="42"/>
      <c r="R5258" s="42"/>
      <c r="AC5258" s="42"/>
    </row>
    <row r="5259" spans="15:29" x14ac:dyDescent="0.25">
      <c r="O5259" s="42"/>
      <c r="R5259" s="42"/>
      <c r="AC5259" s="42"/>
    </row>
    <row r="5260" spans="15:29" x14ac:dyDescent="0.25">
      <c r="O5260" s="42"/>
      <c r="R5260" s="42"/>
      <c r="AC5260" s="42"/>
    </row>
    <row r="5261" spans="15:29" x14ac:dyDescent="0.25">
      <c r="O5261" s="42"/>
      <c r="R5261" s="42"/>
      <c r="AC5261" s="42"/>
    </row>
    <row r="5262" spans="15:29" x14ac:dyDescent="0.25">
      <c r="O5262" s="42"/>
      <c r="R5262" s="42"/>
      <c r="AC5262" s="42"/>
    </row>
    <row r="5263" spans="15:29" x14ac:dyDescent="0.25">
      <c r="O5263" s="42"/>
      <c r="R5263" s="42"/>
      <c r="AC5263" s="42"/>
    </row>
    <row r="5264" spans="15:29" x14ac:dyDescent="0.25">
      <c r="O5264" s="42"/>
      <c r="R5264" s="42"/>
      <c r="AC5264" s="42"/>
    </row>
    <row r="5265" spans="15:29" x14ac:dyDescent="0.25">
      <c r="O5265" s="42"/>
      <c r="R5265" s="42"/>
      <c r="AC5265" s="42"/>
    </row>
    <row r="5266" spans="15:29" x14ac:dyDescent="0.25">
      <c r="O5266" s="42"/>
      <c r="R5266" s="42"/>
      <c r="AC5266" s="42"/>
    </row>
    <row r="5267" spans="15:29" x14ac:dyDescent="0.25">
      <c r="O5267" s="42"/>
      <c r="R5267" s="42"/>
      <c r="AC5267" s="42"/>
    </row>
    <row r="5268" spans="15:29" x14ac:dyDescent="0.25">
      <c r="O5268" s="42"/>
      <c r="R5268" s="42"/>
      <c r="AC5268" s="42"/>
    </row>
    <row r="5269" spans="15:29" x14ac:dyDescent="0.25">
      <c r="O5269" s="42"/>
      <c r="R5269" s="42"/>
      <c r="AC5269" s="42"/>
    </row>
    <row r="5270" spans="15:29" x14ac:dyDescent="0.25">
      <c r="O5270" s="42"/>
      <c r="R5270" s="42"/>
      <c r="AC5270" s="42"/>
    </row>
    <row r="5271" spans="15:29" x14ac:dyDescent="0.25">
      <c r="O5271" s="42"/>
      <c r="R5271" s="42"/>
      <c r="AC5271" s="42"/>
    </row>
    <row r="5272" spans="15:29" x14ac:dyDescent="0.25">
      <c r="O5272" s="42"/>
      <c r="R5272" s="42"/>
      <c r="AC5272" s="42"/>
    </row>
    <row r="5273" spans="15:29" x14ac:dyDescent="0.25">
      <c r="O5273" s="42"/>
      <c r="R5273" s="42"/>
      <c r="AC5273" s="42"/>
    </row>
    <row r="5274" spans="15:29" x14ac:dyDescent="0.25">
      <c r="O5274" s="42"/>
      <c r="R5274" s="42"/>
      <c r="AC5274" s="42"/>
    </row>
    <row r="5275" spans="15:29" x14ac:dyDescent="0.25">
      <c r="O5275" s="42"/>
      <c r="R5275" s="42"/>
      <c r="AC5275" s="42"/>
    </row>
    <row r="5276" spans="15:29" x14ac:dyDescent="0.25">
      <c r="O5276" s="42"/>
      <c r="R5276" s="42"/>
      <c r="AC5276" s="42"/>
    </row>
    <row r="5277" spans="15:29" x14ac:dyDescent="0.25">
      <c r="O5277" s="42"/>
      <c r="R5277" s="42"/>
      <c r="AC5277" s="42"/>
    </row>
    <row r="5278" spans="15:29" x14ac:dyDescent="0.25">
      <c r="O5278" s="42"/>
      <c r="R5278" s="42"/>
      <c r="AC5278" s="42"/>
    </row>
    <row r="5279" spans="15:29" x14ac:dyDescent="0.25">
      <c r="O5279" s="42"/>
      <c r="R5279" s="42"/>
      <c r="AC5279" s="42"/>
    </row>
    <row r="5280" spans="15:29" x14ac:dyDescent="0.25">
      <c r="O5280" s="42"/>
      <c r="R5280" s="42"/>
      <c r="AC5280" s="42"/>
    </row>
    <row r="5281" spans="15:29" x14ac:dyDescent="0.25">
      <c r="O5281" s="42"/>
      <c r="R5281" s="42"/>
      <c r="AC5281" s="42"/>
    </row>
    <row r="5282" spans="15:29" x14ac:dyDescent="0.25">
      <c r="O5282" s="42"/>
      <c r="R5282" s="42"/>
      <c r="AC5282" s="42"/>
    </row>
    <row r="5283" spans="15:29" x14ac:dyDescent="0.25">
      <c r="O5283" s="42"/>
      <c r="R5283" s="42"/>
      <c r="AC5283" s="42"/>
    </row>
    <row r="5284" spans="15:29" x14ac:dyDescent="0.25">
      <c r="O5284" s="42"/>
      <c r="R5284" s="42"/>
      <c r="AC5284" s="42"/>
    </row>
    <row r="5285" spans="15:29" x14ac:dyDescent="0.25">
      <c r="O5285" s="42"/>
      <c r="R5285" s="42"/>
      <c r="AC5285" s="42"/>
    </row>
    <row r="5286" spans="15:29" x14ac:dyDescent="0.25">
      <c r="O5286" s="42"/>
      <c r="R5286" s="42"/>
      <c r="AC5286" s="42"/>
    </row>
    <row r="5287" spans="15:29" x14ac:dyDescent="0.25">
      <c r="O5287" s="42"/>
      <c r="R5287" s="42"/>
      <c r="AC5287" s="42"/>
    </row>
    <row r="5288" spans="15:29" x14ac:dyDescent="0.25">
      <c r="O5288" s="42"/>
      <c r="R5288" s="42"/>
      <c r="AC5288" s="42"/>
    </row>
    <row r="5289" spans="15:29" x14ac:dyDescent="0.25">
      <c r="O5289" s="42"/>
      <c r="R5289" s="42"/>
      <c r="AC5289" s="42"/>
    </row>
    <row r="5290" spans="15:29" x14ac:dyDescent="0.25">
      <c r="O5290" s="42"/>
      <c r="R5290" s="42"/>
      <c r="AC5290" s="42"/>
    </row>
    <row r="5291" spans="15:29" x14ac:dyDescent="0.25">
      <c r="O5291" s="42"/>
      <c r="R5291" s="42"/>
      <c r="AC5291" s="42"/>
    </row>
    <row r="5292" spans="15:29" x14ac:dyDescent="0.25">
      <c r="O5292" s="42"/>
      <c r="R5292" s="42"/>
      <c r="AC5292" s="42"/>
    </row>
    <row r="5293" spans="15:29" x14ac:dyDescent="0.25">
      <c r="O5293" s="42"/>
      <c r="R5293" s="42"/>
      <c r="AC5293" s="42"/>
    </row>
    <row r="5294" spans="15:29" x14ac:dyDescent="0.25">
      <c r="O5294" s="42"/>
      <c r="R5294" s="42"/>
      <c r="AC5294" s="42"/>
    </row>
    <row r="5295" spans="15:29" x14ac:dyDescent="0.25">
      <c r="O5295" s="42"/>
      <c r="R5295" s="42"/>
      <c r="AC5295" s="42"/>
    </row>
    <row r="5296" spans="15:29" x14ac:dyDescent="0.25">
      <c r="O5296" s="42"/>
      <c r="R5296" s="42"/>
      <c r="AC5296" s="42"/>
    </row>
    <row r="5297" spans="15:29" x14ac:dyDescent="0.25">
      <c r="O5297" s="42"/>
      <c r="R5297" s="42"/>
      <c r="AC5297" s="42"/>
    </row>
    <row r="5298" spans="15:29" x14ac:dyDescent="0.25">
      <c r="O5298" s="42"/>
      <c r="R5298" s="42"/>
      <c r="AC5298" s="42"/>
    </row>
    <row r="5299" spans="15:29" x14ac:dyDescent="0.25">
      <c r="O5299" s="42"/>
      <c r="R5299" s="42"/>
      <c r="AC5299" s="42"/>
    </row>
    <row r="5300" spans="15:29" x14ac:dyDescent="0.25">
      <c r="O5300" s="42"/>
      <c r="R5300" s="42"/>
      <c r="AC5300" s="42"/>
    </row>
    <row r="5301" spans="15:29" x14ac:dyDescent="0.25">
      <c r="O5301" s="42"/>
      <c r="R5301" s="42"/>
      <c r="AC5301" s="42"/>
    </row>
    <row r="5302" spans="15:29" x14ac:dyDescent="0.25">
      <c r="O5302" s="42"/>
      <c r="R5302" s="42"/>
      <c r="AC5302" s="42"/>
    </row>
    <row r="5303" spans="15:29" x14ac:dyDescent="0.25">
      <c r="O5303" s="42"/>
      <c r="R5303" s="42"/>
      <c r="AC5303" s="42"/>
    </row>
    <row r="5304" spans="15:29" x14ac:dyDescent="0.25">
      <c r="O5304" s="42"/>
      <c r="R5304" s="42"/>
      <c r="AC5304" s="42"/>
    </row>
    <row r="5305" spans="15:29" x14ac:dyDescent="0.25">
      <c r="O5305" s="42"/>
      <c r="R5305" s="42"/>
      <c r="AC5305" s="42"/>
    </row>
    <row r="5306" spans="15:29" x14ac:dyDescent="0.25">
      <c r="O5306" s="42"/>
      <c r="R5306" s="42"/>
      <c r="AC5306" s="42"/>
    </row>
    <row r="5307" spans="15:29" x14ac:dyDescent="0.25">
      <c r="O5307" s="42"/>
      <c r="R5307" s="42"/>
      <c r="AC5307" s="42"/>
    </row>
    <row r="5308" spans="15:29" x14ac:dyDescent="0.25">
      <c r="O5308" s="42"/>
      <c r="R5308" s="42"/>
      <c r="AC5308" s="42"/>
    </row>
    <row r="5309" spans="15:29" x14ac:dyDescent="0.25">
      <c r="O5309" s="42"/>
      <c r="R5309" s="42"/>
      <c r="AC5309" s="42"/>
    </row>
    <row r="5310" spans="15:29" x14ac:dyDescent="0.25">
      <c r="O5310" s="42"/>
      <c r="R5310" s="42"/>
      <c r="AC5310" s="42"/>
    </row>
    <row r="5311" spans="15:29" x14ac:dyDescent="0.25">
      <c r="O5311" s="42"/>
      <c r="R5311" s="42"/>
      <c r="AC5311" s="42"/>
    </row>
    <row r="5312" spans="15:29" x14ac:dyDescent="0.25">
      <c r="O5312" s="42"/>
      <c r="R5312" s="42"/>
      <c r="AC5312" s="42"/>
    </row>
    <row r="5313" spans="15:29" x14ac:dyDescent="0.25">
      <c r="O5313" s="42"/>
      <c r="R5313" s="42"/>
      <c r="AC5313" s="42"/>
    </row>
    <row r="5314" spans="15:29" x14ac:dyDescent="0.25">
      <c r="O5314" s="42"/>
      <c r="R5314" s="42"/>
      <c r="AC5314" s="42"/>
    </row>
    <row r="5315" spans="15:29" x14ac:dyDescent="0.25">
      <c r="O5315" s="42"/>
      <c r="R5315" s="42"/>
      <c r="AC5315" s="42"/>
    </row>
    <row r="5316" spans="15:29" x14ac:dyDescent="0.25">
      <c r="O5316" s="42"/>
      <c r="R5316" s="42"/>
      <c r="AC5316" s="42"/>
    </row>
    <row r="5317" spans="15:29" x14ac:dyDescent="0.25">
      <c r="O5317" s="42"/>
      <c r="R5317" s="42"/>
      <c r="AC5317" s="42"/>
    </row>
    <row r="5318" spans="15:29" x14ac:dyDescent="0.25">
      <c r="O5318" s="42"/>
      <c r="R5318" s="42"/>
      <c r="AC5318" s="42"/>
    </row>
    <row r="5319" spans="15:29" x14ac:dyDescent="0.25">
      <c r="O5319" s="42"/>
      <c r="R5319" s="42"/>
      <c r="AC5319" s="42"/>
    </row>
    <row r="5320" spans="15:29" x14ac:dyDescent="0.25">
      <c r="O5320" s="42"/>
      <c r="R5320" s="42"/>
      <c r="AC5320" s="42"/>
    </row>
    <row r="5321" spans="15:29" x14ac:dyDescent="0.25">
      <c r="O5321" s="42"/>
      <c r="R5321" s="42"/>
      <c r="AC5321" s="42"/>
    </row>
    <row r="5322" spans="15:29" x14ac:dyDescent="0.25">
      <c r="O5322" s="42"/>
      <c r="R5322" s="42"/>
      <c r="AC5322" s="42"/>
    </row>
    <row r="5323" spans="15:29" x14ac:dyDescent="0.25">
      <c r="O5323" s="42"/>
      <c r="R5323" s="42"/>
      <c r="AC5323" s="42"/>
    </row>
    <row r="5324" spans="15:29" x14ac:dyDescent="0.25">
      <c r="O5324" s="42"/>
      <c r="R5324" s="42"/>
      <c r="AC5324" s="42"/>
    </row>
    <row r="5325" spans="15:29" x14ac:dyDescent="0.25">
      <c r="O5325" s="42"/>
      <c r="R5325" s="42"/>
      <c r="AC5325" s="42"/>
    </row>
    <row r="5326" spans="15:29" x14ac:dyDescent="0.25">
      <c r="O5326" s="42"/>
      <c r="R5326" s="42"/>
      <c r="AC5326" s="42"/>
    </row>
    <row r="5327" spans="15:29" x14ac:dyDescent="0.25">
      <c r="O5327" s="42"/>
      <c r="R5327" s="42"/>
      <c r="AC5327" s="42"/>
    </row>
    <row r="5328" spans="15:29" x14ac:dyDescent="0.25">
      <c r="O5328" s="42"/>
      <c r="R5328" s="42"/>
      <c r="AC5328" s="42"/>
    </row>
    <row r="5329" spans="15:29" x14ac:dyDescent="0.25">
      <c r="O5329" s="42"/>
      <c r="R5329" s="42"/>
      <c r="AC5329" s="42"/>
    </row>
    <row r="5330" spans="15:29" x14ac:dyDescent="0.25">
      <c r="O5330" s="42"/>
      <c r="R5330" s="42"/>
      <c r="AC5330" s="42"/>
    </row>
    <row r="5331" spans="15:29" x14ac:dyDescent="0.25">
      <c r="O5331" s="42"/>
      <c r="R5331" s="42"/>
      <c r="AC5331" s="42"/>
    </row>
    <row r="5332" spans="15:29" x14ac:dyDescent="0.25">
      <c r="O5332" s="42"/>
      <c r="R5332" s="42"/>
      <c r="AC5332" s="42"/>
    </row>
    <row r="5333" spans="15:29" x14ac:dyDescent="0.25">
      <c r="O5333" s="42"/>
      <c r="R5333" s="42"/>
      <c r="AC5333" s="42"/>
    </row>
    <row r="5334" spans="15:29" x14ac:dyDescent="0.25">
      <c r="O5334" s="42"/>
      <c r="R5334" s="42"/>
      <c r="AC5334" s="42"/>
    </row>
    <row r="5335" spans="15:29" x14ac:dyDescent="0.25">
      <c r="O5335" s="42"/>
      <c r="R5335" s="42"/>
      <c r="AC5335" s="42"/>
    </row>
    <row r="5336" spans="15:29" x14ac:dyDescent="0.25">
      <c r="O5336" s="42"/>
      <c r="R5336" s="42"/>
      <c r="AC5336" s="42"/>
    </row>
    <row r="5337" spans="15:29" x14ac:dyDescent="0.25">
      <c r="O5337" s="42"/>
      <c r="R5337" s="42"/>
      <c r="AC5337" s="42"/>
    </row>
    <row r="5338" spans="15:29" x14ac:dyDescent="0.25">
      <c r="O5338" s="42"/>
      <c r="R5338" s="42"/>
      <c r="AC5338" s="42"/>
    </row>
    <row r="5339" spans="15:29" x14ac:dyDescent="0.25">
      <c r="O5339" s="42"/>
      <c r="R5339" s="42"/>
      <c r="AC5339" s="42"/>
    </row>
    <row r="5340" spans="15:29" x14ac:dyDescent="0.25">
      <c r="O5340" s="42"/>
      <c r="R5340" s="42"/>
      <c r="AC5340" s="42"/>
    </row>
    <row r="5341" spans="15:29" x14ac:dyDescent="0.25">
      <c r="O5341" s="42"/>
      <c r="R5341" s="42"/>
      <c r="AC5341" s="42"/>
    </row>
    <row r="5342" spans="15:29" x14ac:dyDescent="0.25">
      <c r="O5342" s="42"/>
      <c r="R5342" s="42"/>
      <c r="AC5342" s="42"/>
    </row>
    <row r="5343" spans="15:29" x14ac:dyDescent="0.25">
      <c r="O5343" s="42"/>
      <c r="R5343" s="42"/>
      <c r="AC5343" s="42"/>
    </row>
    <row r="5344" spans="15:29" x14ac:dyDescent="0.25">
      <c r="O5344" s="42"/>
      <c r="R5344" s="42"/>
      <c r="AC5344" s="42"/>
    </row>
    <row r="5345" spans="15:29" x14ac:dyDescent="0.25">
      <c r="O5345" s="42"/>
      <c r="R5345" s="42"/>
      <c r="AC5345" s="42"/>
    </row>
    <row r="5346" spans="15:29" x14ac:dyDescent="0.25">
      <c r="O5346" s="42"/>
      <c r="R5346" s="42"/>
      <c r="AC5346" s="42"/>
    </row>
    <row r="5347" spans="15:29" x14ac:dyDescent="0.25">
      <c r="O5347" s="42"/>
      <c r="R5347" s="42"/>
      <c r="AC5347" s="42"/>
    </row>
    <row r="5348" spans="15:29" x14ac:dyDescent="0.25">
      <c r="O5348" s="42"/>
      <c r="R5348" s="42"/>
      <c r="AC5348" s="42"/>
    </row>
    <row r="5349" spans="15:29" x14ac:dyDescent="0.25">
      <c r="O5349" s="42"/>
      <c r="R5349" s="42"/>
      <c r="AC5349" s="42"/>
    </row>
    <row r="5350" spans="15:29" x14ac:dyDescent="0.25">
      <c r="O5350" s="42"/>
      <c r="R5350" s="42"/>
      <c r="AC5350" s="42"/>
    </row>
    <row r="5351" spans="15:29" x14ac:dyDescent="0.25">
      <c r="O5351" s="42"/>
      <c r="R5351" s="42"/>
      <c r="AC5351" s="42"/>
    </row>
    <row r="5352" spans="15:29" x14ac:dyDescent="0.25">
      <c r="O5352" s="42"/>
      <c r="R5352" s="42"/>
      <c r="AC5352" s="42"/>
    </row>
    <row r="5353" spans="15:29" x14ac:dyDescent="0.25">
      <c r="O5353" s="42"/>
      <c r="R5353" s="42"/>
      <c r="AC5353" s="42"/>
    </row>
    <row r="5354" spans="15:29" x14ac:dyDescent="0.25">
      <c r="O5354" s="42"/>
      <c r="R5354" s="42"/>
      <c r="AC5354" s="42"/>
    </row>
    <row r="5355" spans="15:29" x14ac:dyDescent="0.25">
      <c r="O5355" s="42"/>
      <c r="R5355" s="42"/>
      <c r="AC5355" s="42"/>
    </row>
    <row r="5356" spans="15:29" x14ac:dyDescent="0.25">
      <c r="O5356" s="42"/>
      <c r="R5356" s="42"/>
      <c r="AC5356" s="42"/>
    </row>
    <row r="5357" spans="15:29" x14ac:dyDescent="0.25">
      <c r="O5357" s="42"/>
      <c r="R5357" s="42"/>
      <c r="AC5357" s="42"/>
    </row>
    <row r="5358" spans="15:29" x14ac:dyDescent="0.25">
      <c r="O5358" s="42"/>
      <c r="R5358" s="42"/>
      <c r="AC5358" s="42"/>
    </row>
    <row r="5359" spans="15:29" x14ac:dyDescent="0.25">
      <c r="O5359" s="42"/>
      <c r="R5359" s="42"/>
      <c r="AC5359" s="42"/>
    </row>
    <row r="5360" spans="15:29" x14ac:dyDescent="0.25">
      <c r="O5360" s="42"/>
      <c r="R5360" s="42"/>
      <c r="AC5360" s="42"/>
    </row>
    <row r="5361" spans="15:29" x14ac:dyDescent="0.25">
      <c r="O5361" s="42"/>
      <c r="R5361" s="42"/>
      <c r="AC5361" s="42"/>
    </row>
    <row r="5362" spans="15:29" x14ac:dyDescent="0.25">
      <c r="O5362" s="42"/>
      <c r="R5362" s="42"/>
      <c r="AC5362" s="42"/>
    </row>
    <row r="5363" spans="15:29" x14ac:dyDescent="0.25">
      <c r="O5363" s="42"/>
      <c r="R5363" s="42"/>
      <c r="AC5363" s="42"/>
    </row>
    <row r="5364" spans="15:29" x14ac:dyDescent="0.25">
      <c r="O5364" s="42"/>
      <c r="R5364" s="42"/>
      <c r="AC5364" s="42"/>
    </row>
    <row r="5365" spans="15:29" x14ac:dyDescent="0.25">
      <c r="O5365" s="42"/>
      <c r="R5365" s="42"/>
      <c r="AC5365" s="42"/>
    </row>
    <row r="5366" spans="15:29" x14ac:dyDescent="0.25">
      <c r="O5366" s="42"/>
      <c r="R5366" s="42"/>
      <c r="AC5366" s="42"/>
    </row>
    <row r="5367" spans="15:29" x14ac:dyDescent="0.25">
      <c r="O5367" s="42"/>
      <c r="R5367" s="42"/>
      <c r="AC5367" s="42"/>
    </row>
    <row r="5368" spans="15:29" x14ac:dyDescent="0.25">
      <c r="O5368" s="42"/>
      <c r="R5368" s="42"/>
      <c r="AC5368" s="42"/>
    </row>
    <row r="5369" spans="15:29" x14ac:dyDescent="0.25">
      <c r="O5369" s="42"/>
      <c r="R5369" s="42"/>
      <c r="AC5369" s="42"/>
    </row>
    <row r="5370" spans="15:29" x14ac:dyDescent="0.25">
      <c r="O5370" s="42"/>
      <c r="R5370" s="42"/>
      <c r="AC5370" s="42"/>
    </row>
    <row r="5371" spans="15:29" x14ac:dyDescent="0.25">
      <c r="O5371" s="42"/>
      <c r="R5371" s="42"/>
      <c r="AC5371" s="42"/>
    </row>
    <row r="5372" spans="15:29" x14ac:dyDescent="0.25">
      <c r="O5372" s="42"/>
      <c r="R5372" s="42"/>
      <c r="AC5372" s="42"/>
    </row>
    <row r="5373" spans="15:29" x14ac:dyDescent="0.25">
      <c r="O5373" s="42"/>
      <c r="R5373" s="42"/>
      <c r="AC5373" s="42"/>
    </row>
    <row r="5374" spans="15:29" x14ac:dyDescent="0.25">
      <c r="O5374" s="42"/>
      <c r="R5374" s="42"/>
      <c r="AC5374" s="42"/>
    </row>
    <row r="5375" spans="15:29" x14ac:dyDescent="0.25">
      <c r="O5375" s="42"/>
      <c r="R5375" s="42"/>
      <c r="AC5375" s="42"/>
    </row>
    <row r="5376" spans="15:29" x14ac:dyDescent="0.25">
      <c r="O5376" s="42"/>
      <c r="R5376" s="42"/>
      <c r="AC5376" s="42"/>
    </row>
    <row r="5377" spans="15:29" x14ac:dyDescent="0.25">
      <c r="O5377" s="42"/>
      <c r="R5377" s="42"/>
      <c r="AC5377" s="42"/>
    </row>
    <row r="5378" spans="15:29" x14ac:dyDescent="0.25">
      <c r="O5378" s="42"/>
      <c r="R5378" s="42"/>
      <c r="AC5378" s="42"/>
    </row>
    <row r="5379" spans="15:29" x14ac:dyDescent="0.25">
      <c r="O5379" s="42"/>
      <c r="R5379" s="42"/>
      <c r="AC5379" s="42"/>
    </row>
    <row r="5380" spans="15:29" x14ac:dyDescent="0.25">
      <c r="O5380" s="42"/>
      <c r="R5380" s="42"/>
      <c r="AC5380" s="42"/>
    </row>
    <row r="5381" spans="15:29" x14ac:dyDescent="0.25">
      <c r="O5381" s="42"/>
      <c r="R5381" s="42"/>
      <c r="AC5381" s="42"/>
    </row>
    <row r="5382" spans="15:29" x14ac:dyDescent="0.25">
      <c r="O5382" s="42"/>
      <c r="R5382" s="42"/>
      <c r="AC5382" s="42"/>
    </row>
    <row r="5383" spans="15:29" x14ac:dyDescent="0.25">
      <c r="O5383" s="42"/>
      <c r="R5383" s="42"/>
      <c r="AC5383" s="42"/>
    </row>
    <row r="5384" spans="15:29" x14ac:dyDescent="0.25">
      <c r="O5384" s="42"/>
      <c r="R5384" s="42"/>
      <c r="AC5384" s="42"/>
    </row>
    <row r="5385" spans="15:29" x14ac:dyDescent="0.25">
      <c r="O5385" s="42"/>
      <c r="R5385" s="42"/>
      <c r="AC5385" s="42"/>
    </row>
    <row r="5386" spans="15:29" x14ac:dyDescent="0.25">
      <c r="O5386" s="42"/>
      <c r="R5386" s="42"/>
      <c r="AC5386" s="42"/>
    </row>
    <row r="5387" spans="15:29" x14ac:dyDescent="0.25">
      <c r="O5387" s="42"/>
      <c r="R5387" s="42"/>
      <c r="AC5387" s="42"/>
    </row>
    <row r="5388" spans="15:29" x14ac:dyDescent="0.25">
      <c r="O5388" s="42"/>
      <c r="R5388" s="42"/>
      <c r="AC5388" s="42"/>
    </row>
    <row r="5389" spans="15:29" x14ac:dyDescent="0.25">
      <c r="O5389" s="42"/>
      <c r="R5389" s="42"/>
      <c r="AC5389" s="42"/>
    </row>
    <row r="5390" spans="15:29" x14ac:dyDescent="0.25">
      <c r="O5390" s="42"/>
      <c r="R5390" s="42"/>
      <c r="AC5390" s="42"/>
    </row>
    <row r="5391" spans="15:29" x14ac:dyDescent="0.25">
      <c r="O5391" s="42"/>
      <c r="R5391" s="42"/>
      <c r="AC5391" s="42"/>
    </row>
    <row r="5392" spans="15:29" x14ac:dyDescent="0.25">
      <c r="O5392" s="42"/>
      <c r="R5392" s="42"/>
      <c r="AC5392" s="42"/>
    </row>
    <row r="5393" spans="15:29" x14ac:dyDescent="0.25">
      <c r="O5393" s="42"/>
      <c r="R5393" s="42"/>
      <c r="AC5393" s="42"/>
    </row>
    <row r="5394" spans="15:29" x14ac:dyDescent="0.25">
      <c r="O5394" s="42"/>
      <c r="R5394" s="42"/>
      <c r="AC5394" s="42"/>
    </row>
    <row r="5395" spans="15:29" x14ac:dyDescent="0.25">
      <c r="O5395" s="42"/>
      <c r="R5395" s="42"/>
      <c r="AC5395" s="42"/>
    </row>
    <row r="5396" spans="15:29" x14ac:dyDescent="0.25">
      <c r="O5396" s="42"/>
      <c r="R5396" s="42"/>
      <c r="AC5396" s="42"/>
    </row>
    <row r="5397" spans="15:29" x14ac:dyDescent="0.25">
      <c r="O5397" s="42"/>
      <c r="R5397" s="42"/>
      <c r="AC5397" s="42"/>
    </row>
    <row r="5398" spans="15:29" x14ac:dyDescent="0.25">
      <c r="O5398" s="42"/>
      <c r="R5398" s="42"/>
      <c r="AC5398" s="42"/>
    </row>
    <row r="5399" spans="15:29" x14ac:dyDescent="0.25">
      <c r="O5399" s="42"/>
      <c r="R5399" s="42"/>
      <c r="AC5399" s="42"/>
    </row>
    <row r="5400" spans="15:29" x14ac:dyDescent="0.25">
      <c r="O5400" s="42"/>
      <c r="R5400" s="42"/>
      <c r="AC5400" s="42"/>
    </row>
    <row r="5401" spans="15:29" x14ac:dyDescent="0.25">
      <c r="O5401" s="42"/>
      <c r="R5401" s="42"/>
      <c r="AC5401" s="42"/>
    </row>
    <row r="5402" spans="15:29" x14ac:dyDescent="0.25">
      <c r="O5402" s="42"/>
      <c r="R5402" s="42"/>
      <c r="AC5402" s="42"/>
    </row>
    <row r="5403" spans="15:29" x14ac:dyDescent="0.25">
      <c r="O5403" s="42"/>
      <c r="R5403" s="42"/>
      <c r="AC5403" s="42"/>
    </row>
    <row r="5404" spans="15:29" x14ac:dyDescent="0.25">
      <c r="O5404" s="42"/>
      <c r="R5404" s="42"/>
      <c r="AC5404" s="42"/>
    </row>
    <row r="5405" spans="15:29" x14ac:dyDescent="0.25">
      <c r="O5405" s="42"/>
      <c r="R5405" s="42"/>
      <c r="AC5405" s="42"/>
    </row>
    <row r="5406" spans="15:29" x14ac:dyDescent="0.25">
      <c r="O5406" s="42"/>
      <c r="R5406" s="42"/>
      <c r="AC5406" s="42"/>
    </row>
    <row r="5407" spans="15:29" x14ac:dyDescent="0.25">
      <c r="O5407" s="42"/>
      <c r="R5407" s="42"/>
      <c r="AC5407" s="42"/>
    </row>
    <row r="5408" spans="15:29" x14ac:dyDescent="0.25">
      <c r="O5408" s="42"/>
      <c r="R5408" s="42"/>
      <c r="AC5408" s="42"/>
    </row>
    <row r="5409" spans="15:29" x14ac:dyDescent="0.25">
      <c r="O5409" s="42"/>
      <c r="R5409" s="42"/>
      <c r="AC5409" s="42"/>
    </row>
    <row r="5410" spans="15:29" x14ac:dyDescent="0.25">
      <c r="O5410" s="42"/>
      <c r="R5410" s="42"/>
      <c r="AC5410" s="42"/>
    </row>
    <row r="5411" spans="15:29" x14ac:dyDescent="0.25">
      <c r="O5411" s="42"/>
      <c r="R5411" s="42"/>
      <c r="AC5411" s="42"/>
    </row>
    <row r="5412" spans="15:29" x14ac:dyDescent="0.25">
      <c r="O5412" s="42"/>
      <c r="R5412" s="42"/>
      <c r="AC5412" s="42"/>
    </row>
    <row r="5413" spans="15:29" x14ac:dyDescent="0.25">
      <c r="O5413" s="42"/>
      <c r="R5413" s="42"/>
      <c r="AC5413" s="42"/>
    </row>
    <row r="5414" spans="15:29" x14ac:dyDescent="0.25">
      <c r="O5414" s="42"/>
      <c r="R5414" s="42"/>
      <c r="AC5414" s="42"/>
    </row>
    <row r="5415" spans="15:29" x14ac:dyDescent="0.25">
      <c r="O5415" s="42"/>
      <c r="R5415" s="42"/>
      <c r="AC5415" s="42"/>
    </row>
    <row r="5416" spans="15:29" x14ac:dyDescent="0.25">
      <c r="O5416" s="42"/>
      <c r="R5416" s="42"/>
      <c r="AC5416" s="42"/>
    </row>
    <row r="5417" spans="15:29" x14ac:dyDescent="0.25">
      <c r="O5417" s="42"/>
      <c r="R5417" s="42"/>
      <c r="AC5417" s="42"/>
    </row>
    <row r="5418" spans="15:29" x14ac:dyDescent="0.25">
      <c r="O5418" s="42"/>
      <c r="R5418" s="42"/>
      <c r="AC5418" s="42"/>
    </row>
    <row r="5419" spans="15:29" x14ac:dyDescent="0.25">
      <c r="O5419" s="42"/>
      <c r="R5419" s="42"/>
      <c r="AC5419" s="42"/>
    </row>
    <row r="5420" spans="15:29" x14ac:dyDescent="0.25">
      <c r="O5420" s="42"/>
      <c r="R5420" s="42"/>
      <c r="AC5420" s="42"/>
    </row>
    <row r="5421" spans="15:29" x14ac:dyDescent="0.25">
      <c r="O5421" s="42"/>
      <c r="R5421" s="42"/>
      <c r="AC5421" s="42"/>
    </row>
    <row r="5422" spans="15:29" x14ac:dyDescent="0.25">
      <c r="O5422" s="42"/>
      <c r="R5422" s="42"/>
      <c r="AC5422" s="42"/>
    </row>
    <row r="5423" spans="15:29" x14ac:dyDescent="0.25">
      <c r="O5423" s="42"/>
      <c r="R5423" s="42"/>
      <c r="AC5423" s="42"/>
    </row>
    <row r="5424" spans="15:29" x14ac:dyDescent="0.25">
      <c r="O5424" s="42"/>
      <c r="R5424" s="42"/>
      <c r="AC5424" s="42"/>
    </row>
    <row r="5425" spans="15:29" x14ac:dyDescent="0.25">
      <c r="O5425" s="42"/>
      <c r="R5425" s="42"/>
      <c r="AC5425" s="42"/>
    </row>
    <row r="5426" spans="15:29" x14ac:dyDescent="0.25">
      <c r="O5426" s="42"/>
      <c r="R5426" s="42"/>
      <c r="AC5426" s="42"/>
    </row>
    <row r="5427" spans="15:29" x14ac:dyDescent="0.25">
      <c r="O5427" s="42"/>
      <c r="R5427" s="42"/>
      <c r="AC5427" s="42"/>
    </row>
    <row r="5428" spans="15:29" x14ac:dyDescent="0.25">
      <c r="O5428" s="42"/>
      <c r="R5428" s="42"/>
      <c r="AC5428" s="42"/>
    </row>
    <row r="5429" spans="15:29" x14ac:dyDescent="0.25">
      <c r="O5429" s="42"/>
      <c r="R5429" s="42"/>
      <c r="AC5429" s="42"/>
    </row>
    <row r="5430" spans="15:29" x14ac:dyDescent="0.25">
      <c r="O5430" s="42"/>
      <c r="R5430" s="42"/>
      <c r="AC5430" s="42"/>
    </row>
    <row r="5431" spans="15:29" x14ac:dyDescent="0.25">
      <c r="O5431" s="42"/>
      <c r="R5431" s="42"/>
      <c r="AC5431" s="42"/>
    </row>
    <row r="5432" spans="15:29" x14ac:dyDescent="0.25">
      <c r="O5432" s="42"/>
      <c r="R5432" s="42"/>
      <c r="AC5432" s="42"/>
    </row>
    <row r="5433" spans="15:29" x14ac:dyDescent="0.25">
      <c r="O5433" s="42"/>
      <c r="R5433" s="42"/>
      <c r="AC5433" s="42"/>
    </row>
    <row r="5434" spans="15:29" x14ac:dyDescent="0.25">
      <c r="O5434" s="42"/>
      <c r="R5434" s="42"/>
      <c r="AC5434" s="42"/>
    </row>
    <row r="5435" spans="15:29" x14ac:dyDescent="0.25">
      <c r="O5435" s="42"/>
      <c r="R5435" s="42"/>
      <c r="AC5435" s="42"/>
    </row>
    <row r="5436" spans="15:29" x14ac:dyDescent="0.25">
      <c r="O5436" s="42"/>
      <c r="R5436" s="42"/>
      <c r="AC5436" s="42"/>
    </row>
    <row r="5437" spans="15:29" x14ac:dyDescent="0.25">
      <c r="O5437" s="42"/>
      <c r="R5437" s="42"/>
      <c r="AC5437" s="42"/>
    </row>
    <row r="5438" spans="15:29" x14ac:dyDescent="0.25">
      <c r="O5438" s="42"/>
      <c r="R5438" s="42"/>
      <c r="AC5438" s="42"/>
    </row>
    <row r="5439" spans="15:29" x14ac:dyDescent="0.25">
      <c r="O5439" s="42"/>
      <c r="R5439" s="42"/>
      <c r="AC5439" s="42"/>
    </row>
    <row r="5440" spans="15:29" x14ac:dyDescent="0.25">
      <c r="O5440" s="42"/>
      <c r="R5440" s="42"/>
      <c r="AC5440" s="42"/>
    </row>
    <row r="5441" spans="15:29" x14ac:dyDescent="0.25">
      <c r="O5441" s="42"/>
      <c r="R5441" s="42"/>
      <c r="AC5441" s="42"/>
    </row>
    <row r="5442" spans="15:29" x14ac:dyDescent="0.25">
      <c r="O5442" s="42"/>
      <c r="R5442" s="42"/>
      <c r="AC5442" s="42"/>
    </row>
    <row r="5443" spans="15:29" x14ac:dyDescent="0.25">
      <c r="O5443" s="42"/>
      <c r="R5443" s="42"/>
      <c r="AC5443" s="42"/>
    </row>
    <row r="5444" spans="15:29" x14ac:dyDescent="0.25">
      <c r="O5444" s="42"/>
      <c r="R5444" s="42"/>
      <c r="AC5444" s="42"/>
    </row>
    <row r="5445" spans="15:29" x14ac:dyDescent="0.25">
      <c r="O5445" s="42"/>
      <c r="R5445" s="42"/>
      <c r="AC5445" s="42"/>
    </row>
    <row r="5446" spans="15:29" x14ac:dyDescent="0.25">
      <c r="O5446" s="42"/>
      <c r="R5446" s="42"/>
      <c r="AC5446" s="42"/>
    </row>
    <row r="5447" spans="15:29" x14ac:dyDescent="0.25">
      <c r="O5447" s="42"/>
      <c r="R5447" s="42"/>
      <c r="AC5447" s="42"/>
    </row>
    <row r="5448" spans="15:29" x14ac:dyDescent="0.25">
      <c r="O5448" s="42"/>
      <c r="R5448" s="42"/>
      <c r="AC5448" s="42"/>
    </row>
    <row r="5449" spans="15:29" x14ac:dyDescent="0.25">
      <c r="O5449" s="42"/>
      <c r="R5449" s="42"/>
      <c r="AC5449" s="42"/>
    </row>
    <row r="5450" spans="15:29" x14ac:dyDescent="0.25">
      <c r="O5450" s="42"/>
      <c r="R5450" s="42"/>
      <c r="AC5450" s="42"/>
    </row>
    <row r="5451" spans="15:29" x14ac:dyDescent="0.25">
      <c r="O5451" s="42"/>
      <c r="R5451" s="42"/>
      <c r="AC5451" s="42"/>
    </row>
    <row r="5452" spans="15:29" x14ac:dyDescent="0.25">
      <c r="O5452" s="42"/>
      <c r="R5452" s="42"/>
      <c r="AC5452" s="42"/>
    </row>
    <row r="5453" spans="15:29" x14ac:dyDescent="0.25">
      <c r="O5453" s="42"/>
      <c r="R5453" s="42"/>
      <c r="AC5453" s="42"/>
    </row>
    <row r="5454" spans="15:29" x14ac:dyDescent="0.25">
      <c r="O5454" s="42"/>
      <c r="R5454" s="42"/>
      <c r="AC5454" s="42"/>
    </row>
    <row r="5455" spans="15:29" x14ac:dyDescent="0.25">
      <c r="O5455" s="42"/>
      <c r="R5455" s="42"/>
      <c r="AC5455" s="42"/>
    </row>
    <row r="5456" spans="15:29" x14ac:dyDescent="0.25">
      <c r="O5456" s="42"/>
      <c r="R5456" s="42"/>
      <c r="AC5456" s="42"/>
    </row>
    <row r="5457" spans="15:29" x14ac:dyDescent="0.25">
      <c r="O5457" s="42"/>
      <c r="R5457" s="42"/>
      <c r="AC5457" s="42"/>
    </row>
    <row r="5458" spans="15:29" x14ac:dyDescent="0.25">
      <c r="O5458" s="42"/>
      <c r="R5458" s="42"/>
      <c r="AC5458" s="42"/>
    </row>
    <row r="5459" spans="15:29" x14ac:dyDescent="0.25">
      <c r="O5459" s="42"/>
      <c r="R5459" s="42"/>
      <c r="AC5459" s="42"/>
    </row>
    <row r="5460" spans="15:29" x14ac:dyDescent="0.25">
      <c r="O5460" s="42"/>
      <c r="R5460" s="42"/>
      <c r="AC5460" s="42"/>
    </row>
    <row r="5461" spans="15:29" x14ac:dyDescent="0.25">
      <c r="O5461" s="42"/>
      <c r="R5461" s="42"/>
      <c r="AC5461" s="42"/>
    </row>
    <row r="5462" spans="15:29" x14ac:dyDescent="0.25">
      <c r="O5462" s="42"/>
      <c r="R5462" s="42"/>
      <c r="AC5462" s="42"/>
    </row>
    <row r="5463" spans="15:29" x14ac:dyDescent="0.25">
      <c r="O5463" s="42"/>
      <c r="R5463" s="42"/>
      <c r="AC5463" s="42"/>
    </row>
    <row r="5464" spans="15:29" x14ac:dyDescent="0.25">
      <c r="O5464" s="42"/>
      <c r="R5464" s="42"/>
      <c r="AC5464" s="42"/>
    </row>
    <row r="5465" spans="15:29" x14ac:dyDescent="0.25">
      <c r="O5465" s="42"/>
      <c r="R5465" s="42"/>
      <c r="AC5465" s="42"/>
    </row>
    <row r="5466" spans="15:29" x14ac:dyDescent="0.25">
      <c r="O5466" s="42"/>
      <c r="R5466" s="42"/>
      <c r="AC5466" s="42"/>
    </row>
    <row r="5467" spans="15:29" x14ac:dyDescent="0.25">
      <c r="O5467" s="42"/>
      <c r="R5467" s="42"/>
      <c r="AC5467" s="42"/>
    </row>
    <row r="5468" spans="15:29" x14ac:dyDescent="0.25">
      <c r="O5468" s="42"/>
      <c r="R5468" s="42"/>
      <c r="AC5468" s="42"/>
    </row>
    <row r="5469" spans="15:29" x14ac:dyDescent="0.25">
      <c r="O5469" s="42"/>
      <c r="R5469" s="42"/>
      <c r="AC5469" s="42"/>
    </row>
    <row r="5470" spans="15:29" x14ac:dyDescent="0.25">
      <c r="O5470" s="42"/>
      <c r="R5470" s="42"/>
      <c r="AC5470" s="42"/>
    </row>
    <row r="5471" spans="15:29" x14ac:dyDescent="0.25">
      <c r="O5471" s="42"/>
      <c r="R5471" s="42"/>
      <c r="AC5471" s="42"/>
    </row>
    <row r="5472" spans="15:29" x14ac:dyDescent="0.25">
      <c r="O5472" s="42"/>
      <c r="R5472" s="42"/>
      <c r="AC5472" s="42"/>
    </row>
    <row r="5473" spans="15:29" x14ac:dyDescent="0.25">
      <c r="O5473" s="42"/>
      <c r="R5473" s="42"/>
      <c r="AC5473" s="42"/>
    </row>
    <row r="5474" spans="15:29" x14ac:dyDescent="0.25">
      <c r="O5474" s="42"/>
      <c r="R5474" s="42"/>
      <c r="AC5474" s="42"/>
    </row>
    <row r="5475" spans="15:29" x14ac:dyDescent="0.25">
      <c r="O5475" s="42"/>
      <c r="R5475" s="42"/>
      <c r="AC5475" s="42"/>
    </row>
    <row r="5476" spans="15:29" x14ac:dyDescent="0.25">
      <c r="O5476" s="42"/>
      <c r="R5476" s="42"/>
      <c r="AC5476" s="42"/>
    </row>
    <row r="5477" spans="15:29" x14ac:dyDescent="0.25">
      <c r="O5477" s="42"/>
      <c r="R5477" s="42"/>
      <c r="AC5477" s="42"/>
    </row>
    <row r="5478" spans="15:29" x14ac:dyDescent="0.25">
      <c r="O5478" s="42"/>
      <c r="R5478" s="42"/>
      <c r="AC5478" s="42"/>
    </row>
    <row r="5479" spans="15:29" x14ac:dyDescent="0.25">
      <c r="O5479" s="42"/>
      <c r="R5479" s="42"/>
      <c r="AC5479" s="42"/>
    </row>
    <row r="5480" spans="15:29" x14ac:dyDescent="0.25">
      <c r="O5480" s="42"/>
      <c r="R5480" s="42"/>
      <c r="AC5480" s="42"/>
    </row>
    <row r="5481" spans="15:29" x14ac:dyDescent="0.25">
      <c r="O5481" s="42"/>
      <c r="R5481" s="42"/>
      <c r="AC5481" s="42"/>
    </row>
    <row r="5482" spans="15:29" x14ac:dyDescent="0.25">
      <c r="O5482" s="42"/>
      <c r="R5482" s="42"/>
      <c r="AC5482" s="42"/>
    </row>
    <row r="5483" spans="15:29" x14ac:dyDescent="0.25">
      <c r="O5483" s="42"/>
      <c r="R5483" s="42"/>
      <c r="AC5483" s="42"/>
    </row>
    <row r="5484" spans="15:29" x14ac:dyDescent="0.25">
      <c r="O5484" s="42"/>
      <c r="R5484" s="42"/>
      <c r="AC5484" s="42"/>
    </row>
    <row r="5485" spans="15:29" x14ac:dyDescent="0.25">
      <c r="O5485" s="42"/>
      <c r="R5485" s="42"/>
      <c r="AC5485" s="42"/>
    </row>
    <row r="5486" spans="15:29" x14ac:dyDescent="0.25">
      <c r="O5486" s="42"/>
      <c r="R5486" s="42"/>
      <c r="AC5486" s="42"/>
    </row>
    <row r="5487" spans="15:29" x14ac:dyDescent="0.25">
      <c r="O5487" s="42"/>
      <c r="R5487" s="42"/>
      <c r="AC5487" s="42"/>
    </row>
    <row r="5488" spans="15:29" x14ac:dyDescent="0.25">
      <c r="O5488" s="42"/>
      <c r="R5488" s="42"/>
      <c r="AC5488" s="42"/>
    </row>
    <row r="5489" spans="15:29" x14ac:dyDescent="0.25">
      <c r="O5489" s="42"/>
      <c r="R5489" s="42"/>
      <c r="AC5489" s="42"/>
    </row>
    <row r="5490" spans="15:29" x14ac:dyDescent="0.25">
      <c r="O5490" s="42"/>
      <c r="R5490" s="42"/>
      <c r="AC5490" s="42"/>
    </row>
    <row r="5491" spans="15:29" x14ac:dyDescent="0.25">
      <c r="O5491" s="42"/>
      <c r="R5491" s="42"/>
      <c r="AC5491" s="42"/>
    </row>
    <row r="5492" spans="15:29" x14ac:dyDescent="0.25">
      <c r="O5492" s="42"/>
      <c r="R5492" s="42"/>
      <c r="AC5492" s="42"/>
    </row>
    <row r="5493" spans="15:29" x14ac:dyDescent="0.25">
      <c r="O5493" s="42"/>
      <c r="R5493" s="42"/>
      <c r="AC5493" s="42"/>
    </row>
    <row r="5494" spans="15:29" x14ac:dyDescent="0.25">
      <c r="O5494" s="42"/>
      <c r="R5494" s="42"/>
      <c r="AC5494" s="42"/>
    </row>
    <row r="5495" spans="15:29" x14ac:dyDescent="0.25">
      <c r="O5495" s="42"/>
      <c r="R5495" s="42"/>
      <c r="AC5495" s="42"/>
    </row>
    <row r="5496" spans="15:29" x14ac:dyDescent="0.25">
      <c r="O5496" s="42"/>
      <c r="R5496" s="42"/>
      <c r="AC5496" s="42"/>
    </row>
    <row r="5497" spans="15:29" x14ac:dyDescent="0.25">
      <c r="O5497" s="42"/>
      <c r="R5497" s="42"/>
      <c r="AC5497" s="42"/>
    </row>
    <row r="5498" spans="15:29" x14ac:dyDescent="0.25">
      <c r="O5498" s="42"/>
      <c r="R5498" s="42"/>
      <c r="AC5498" s="42"/>
    </row>
    <row r="5499" spans="15:29" x14ac:dyDescent="0.25">
      <c r="O5499" s="42"/>
      <c r="R5499" s="42"/>
      <c r="AC5499" s="42"/>
    </row>
    <row r="5500" spans="15:29" x14ac:dyDescent="0.25">
      <c r="O5500" s="42"/>
      <c r="R5500" s="42"/>
      <c r="AC5500" s="42"/>
    </row>
    <row r="5501" spans="15:29" x14ac:dyDescent="0.25">
      <c r="O5501" s="42"/>
      <c r="R5501" s="42"/>
      <c r="AC5501" s="42"/>
    </row>
    <row r="5502" spans="15:29" x14ac:dyDescent="0.25">
      <c r="O5502" s="42"/>
      <c r="R5502" s="42"/>
      <c r="AC5502" s="42"/>
    </row>
    <row r="5503" spans="15:29" x14ac:dyDescent="0.25">
      <c r="O5503" s="42"/>
      <c r="R5503" s="42"/>
      <c r="AC5503" s="42"/>
    </row>
    <row r="5504" spans="15:29" x14ac:dyDescent="0.25">
      <c r="O5504" s="42"/>
      <c r="R5504" s="42"/>
      <c r="AC5504" s="42"/>
    </row>
    <row r="5505" spans="15:29" x14ac:dyDescent="0.25">
      <c r="O5505" s="42"/>
      <c r="R5505" s="42"/>
      <c r="AC5505" s="42"/>
    </row>
    <row r="5506" spans="15:29" x14ac:dyDescent="0.25">
      <c r="O5506" s="42"/>
      <c r="R5506" s="42"/>
      <c r="AC5506" s="42"/>
    </row>
    <row r="5507" spans="15:29" x14ac:dyDescent="0.25">
      <c r="O5507" s="42"/>
      <c r="R5507" s="42"/>
      <c r="AC5507" s="42"/>
    </row>
    <row r="5508" spans="15:29" x14ac:dyDescent="0.25">
      <c r="O5508" s="42"/>
      <c r="R5508" s="42"/>
      <c r="AC5508" s="42"/>
    </row>
    <row r="5509" spans="15:29" x14ac:dyDescent="0.25">
      <c r="O5509" s="42"/>
      <c r="R5509" s="42"/>
      <c r="AC5509" s="42"/>
    </row>
    <row r="5510" spans="15:29" x14ac:dyDescent="0.25">
      <c r="O5510" s="42"/>
      <c r="R5510" s="42"/>
      <c r="AC5510" s="42"/>
    </row>
    <row r="5511" spans="15:29" x14ac:dyDescent="0.25">
      <c r="O5511" s="42"/>
      <c r="R5511" s="42"/>
      <c r="AC5511" s="42"/>
    </row>
    <row r="5512" spans="15:29" x14ac:dyDescent="0.25">
      <c r="O5512" s="42"/>
      <c r="R5512" s="42"/>
      <c r="AC5512" s="42"/>
    </row>
    <row r="5513" spans="15:29" x14ac:dyDescent="0.25">
      <c r="O5513" s="42"/>
      <c r="R5513" s="42"/>
      <c r="AC5513" s="42"/>
    </row>
    <row r="5514" spans="15:29" x14ac:dyDescent="0.25">
      <c r="O5514" s="42"/>
      <c r="R5514" s="42"/>
      <c r="AC5514" s="42"/>
    </row>
    <row r="5515" spans="15:29" x14ac:dyDescent="0.25">
      <c r="O5515" s="42"/>
      <c r="R5515" s="42"/>
      <c r="AC5515" s="42"/>
    </row>
    <row r="5516" spans="15:29" x14ac:dyDescent="0.25">
      <c r="O5516" s="42"/>
      <c r="R5516" s="42"/>
      <c r="AC5516" s="42"/>
    </row>
    <row r="5517" spans="15:29" x14ac:dyDescent="0.25">
      <c r="O5517" s="42"/>
      <c r="R5517" s="42"/>
      <c r="AC5517" s="42"/>
    </row>
    <row r="5518" spans="15:29" x14ac:dyDescent="0.25">
      <c r="O5518" s="42"/>
      <c r="R5518" s="42"/>
      <c r="AC5518" s="42"/>
    </row>
    <row r="5519" spans="15:29" x14ac:dyDescent="0.25">
      <c r="O5519" s="42"/>
      <c r="R5519" s="42"/>
      <c r="AC5519" s="42"/>
    </row>
    <row r="5520" spans="15:29" x14ac:dyDescent="0.25">
      <c r="O5520" s="42"/>
      <c r="R5520" s="42"/>
      <c r="AC5520" s="42"/>
    </row>
    <row r="5521" spans="15:29" x14ac:dyDescent="0.25">
      <c r="O5521" s="42"/>
      <c r="R5521" s="42"/>
      <c r="AC5521" s="42"/>
    </row>
    <row r="5522" spans="15:29" x14ac:dyDescent="0.25">
      <c r="O5522" s="42"/>
      <c r="R5522" s="42"/>
      <c r="AC5522" s="42"/>
    </row>
    <row r="5523" spans="15:29" x14ac:dyDescent="0.25">
      <c r="O5523" s="42"/>
      <c r="R5523" s="42"/>
      <c r="AC5523" s="42"/>
    </row>
    <row r="5524" spans="15:29" x14ac:dyDescent="0.25">
      <c r="O5524" s="42"/>
      <c r="R5524" s="42"/>
      <c r="AC5524" s="42"/>
    </row>
    <row r="5525" spans="15:29" x14ac:dyDescent="0.25">
      <c r="O5525" s="42"/>
      <c r="R5525" s="42"/>
      <c r="AC5525" s="42"/>
    </row>
    <row r="5526" spans="15:29" x14ac:dyDescent="0.25">
      <c r="O5526" s="42"/>
      <c r="R5526" s="42"/>
      <c r="AC5526" s="42"/>
    </row>
    <row r="5527" spans="15:29" x14ac:dyDescent="0.25">
      <c r="O5527" s="42"/>
      <c r="R5527" s="42"/>
      <c r="AC5527" s="42"/>
    </row>
    <row r="5528" spans="15:29" x14ac:dyDescent="0.25">
      <c r="O5528" s="42"/>
      <c r="R5528" s="42"/>
      <c r="AC5528" s="42"/>
    </row>
    <row r="5529" spans="15:29" x14ac:dyDescent="0.25">
      <c r="O5529" s="42"/>
      <c r="R5529" s="42"/>
      <c r="AC5529" s="42"/>
    </row>
    <row r="5530" spans="15:29" x14ac:dyDescent="0.25">
      <c r="O5530" s="42"/>
      <c r="R5530" s="42"/>
      <c r="AC5530" s="42"/>
    </row>
    <row r="5531" spans="15:29" x14ac:dyDescent="0.25">
      <c r="O5531" s="42"/>
      <c r="R5531" s="42"/>
      <c r="AC5531" s="42"/>
    </row>
    <row r="5532" spans="15:29" x14ac:dyDescent="0.25">
      <c r="O5532" s="42"/>
      <c r="R5532" s="42"/>
      <c r="AC5532" s="42"/>
    </row>
    <row r="5533" spans="15:29" x14ac:dyDescent="0.25">
      <c r="O5533" s="42"/>
      <c r="R5533" s="42"/>
      <c r="AC5533" s="42"/>
    </row>
    <row r="5534" spans="15:29" x14ac:dyDescent="0.25">
      <c r="O5534" s="42"/>
      <c r="R5534" s="42"/>
      <c r="AC5534" s="42"/>
    </row>
    <row r="5535" spans="15:29" x14ac:dyDescent="0.25">
      <c r="O5535" s="42"/>
      <c r="R5535" s="42"/>
      <c r="AC5535" s="42"/>
    </row>
    <row r="5536" spans="15:29" x14ac:dyDescent="0.25">
      <c r="O5536" s="42"/>
      <c r="R5536" s="42"/>
      <c r="AC5536" s="42"/>
    </row>
    <row r="5537" spans="15:29" x14ac:dyDescent="0.25">
      <c r="O5537" s="42"/>
      <c r="R5537" s="42"/>
      <c r="AC5537" s="42"/>
    </row>
    <row r="5538" spans="15:29" x14ac:dyDescent="0.25">
      <c r="O5538" s="42"/>
      <c r="R5538" s="42"/>
      <c r="AC5538" s="42"/>
    </row>
    <row r="5539" spans="15:29" x14ac:dyDescent="0.25">
      <c r="O5539" s="42"/>
      <c r="R5539" s="42"/>
      <c r="AC5539" s="42"/>
    </row>
    <row r="5540" spans="15:29" x14ac:dyDescent="0.25">
      <c r="O5540" s="42"/>
      <c r="R5540" s="42"/>
      <c r="AC5540" s="42"/>
    </row>
    <row r="5541" spans="15:29" x14ac:dyDescent="0.25">
      <c r="O5541" s="42"/>
      <c r="R5541" s="42"/>
      <c r="AC5541" s="42"/>
    </row>
    <row r="5542" spans="15:29" x14ac:dyDescent="0.25">
      <c r="O5542" s="42"/>
      <c r="R5542" s="42"/>
      <c r="AC5542" s="42"/>
    </row>
    <row r="5543" spans="15:29" x14ac:dyDescent="0.25">
      <c r="O5543" s="42"/>
      <c r="R5543" s="42"/>
      <c r="AC5543" s="42"/>
    </row>
    <row r="5544" spans="15:29" x14ac:dyDescent="0.25">
      <c r="O5544" s="42"/>
      <c r="R5544" s="42"/>
      <c r="AC5544" s="42"/>
    </row>
    <row r="5545" spans="15:29" x14ac:dyDescent="0.25">
      <c r="O5545" s="42"/>
      <c r="R5545" s="42"/>
      <c r="AC5545" s="42"/>
    </row>
    <row r="5546" spans="15:29" x14ac:dyDescent="0.25">
      <c r="O5546" s="42"/>
      <c r="R5546" s="42"/>
      <c r="AC5546" s="42"/>
    </row>
    <row r="5547" spans="15:29" x14ac:dyDescent="0.25">
      <c r="O5547" s="42"/>
      <c r="R5547" s="42"/>
      <c r="AC5547" s="42"/>
    </row>
    <row r="5548" spans="15:29" x14ac:dyDescent="0.25">
      <c r="O5548" s="42"/>
      <c r="R5548" s="42"/>
      <c r="AC5548" s="42"/>
    </row>
    <row r="5549" spans="15:29" x14ac:dyDescent="0.25">
      <c r="O5549" s="42"/>
      <c r="R5549" s="42"/>
      <c r="AC5549" s="42"/>
    </row>
    <row r="5550" spans="15:29" x14ac:dyDescent="0.25">
      <c r="O5550" s="42"/>
      <c r="R5550" s="42"/>
      <c r="AC5550" s="42"/>
    </row>
    <row r="5551" spans="15:29" x14ac:dyDescent="0.25">
      <c r="O5551" s="42"/>
      <c r="R5551" s="42"/>
      <c r="AC5551" s="42"/>
    </row>
    <row r="5552" spans="15:29" x14ac:dyDescent="0.25">
      <c r="O5552" s="42"/>
      <c r="R5552" s="42"/>
      <c r="AC5552" s="42"/>
    </row>
    <row r="5553" spans="15:29" x14ac:dyDescent="0.25">
      <c r="O5553" s="42"/>
      <c r="R5553" s="42"/>
      <c r="AC5553" s="42"/>
    </row>
    <row r="5554" spans="15:29" x14ac:dyDescent="0.25">
      <c r="O5554" s="42"/>
      <c r="R5554" s="42"/>
      <c r="AC5554" s="42"/>
    </row>
    <row r="5555" spans="15:29" x14ac:dyDescent="0.25">
      <c r="O5555" s="42"/>
      <c r="R5555" s="42"/>
      <c r="AC5555" s="42"/>
    </row>
    <row r="5556" spans="15:29" x14ac:dyDescent="0.25">
      <c r="O5556" s="42"/>
      <c r="R5556" s="42"/>
      <c r="AC5556" s="42"/>
    </row>
    <row r="5557" spans="15:29" x14ac:dyDescent="0.25">
      <c r="O5557" s="42"/>
      <c r="R5557" s="42"/>
      <c r="AC5557" s="42"/>
    </row>
    <row r="5558" spans="15:29" x14ac:dyDescent="0.25">
      <c r="O5558" s="42"/>
      <c r="R5558" s="42"/>
      <c r="AC5558" s="42"/>
    </row>
    <row r="5559" spans="15:29" x14ac:dyDescent="0.25">
      <c r="O5559" s="42"/>
      <c r="R5559" s="42"/>
      <c r="AC5559" s="42"/>
    </row>
    <row r="5560" spans="15:29" x14ac:dyDescent="0.25">
      <c r="O5560" s="42"/>
      <c r="R5560" s="42"/>
      <c r="AC5560" s="42"/>
    </row>
    <row r="5561" spans="15:29" x14ac:dyDescent="0.25">
      <c r="O5561" s="42"/>
      <c r="R5561" s="42"/>
      <c r="AC5561" s="42"/>
    </row>
    <row r="5562" spans="15:29" x14ac:dyDescent="0.25">
      <c r="O5562" s="42"/>
      <c r="R5562" s="42"/>
      <c r="AC5562" s="42"/>
    </row>
    <row r="5563" spans="15:29" x14ac:dyDescent="0.25">
      <c r="O5563" s="42"/>
      <c r="R5563" s="42"/>
      <c r="AC5563" s="42"/>
    </row>
    <row r="5564" spans="15:29" x14ac:dyDescent="0.25">
      <c r="O5564" s="42"/>
      <c r="R5564" s="42"/>
      <c r="AC5564" s="42"/>
    </row>
    <row r="5565" spans="15:29" x14ac:dyDescent="0.25">
      <c r="O5565" s="42"/>
      <c r="R5565" s="42"/>
      <c r="AC5565" s="42"/>
    </row>
    <row r="5566" spans="15:29" x14ac:dyDescent="0.25">
      <c r="O5566" s="42"/>
      <c r="R5566" s="42"/>
      <c r="AC5566" s="42"/>
    </row>
    <row r="5567" spans="15:29" x14ac:dyDescent="0.25">
      <c r="O5567" s="42"/>
      <c r="R5567" s="42"/>
      <c r="AC5567" s="42"/>
    </row>
    <row r="5568" spans="15:29" x14ac:dyDescent="0.25">
      <c r="O5568" s="42"/>
      <c r="R5568" s="42"/>
      <c r="AC5568" s="42"/>
    </row>
    <row r="5569" spans="15:29" x14ac:dyDescent="0.25">
      <c r="O5569" s="42"/>
      <c r="R5569" s="42"/>
      <c r="AC5569" s="42"/>
    </row>
    <row r="5570" spans="15:29" x14ac:dyDescent="0.25">
      <c r="O5570" s="42"/>
      <c r="R5570" s="42"/>
      <c r="AC5570" s="42"/>
    </row>
    <row r="5571" spans="15:29" x14ac:dyDescent="0.25">
      <c r="O5571" s="42"/>
      <c r="R5571" s="42"/>
      <c r="AC5571" s="42"/>
    </row>
    <row r="5572" spans="15:29" x14ac:dyDescent="0.25">
      <c r="O5572" s="42"/>
      <c r="R5572" s="42"/>
      <c r="AC5572" s="42"/>
    </row>
    <row r="5573" spans="15:29" x14ac:dyDescent="0.25">
      <c r="O5573" s="42"/>
      <c r="R5573" s="42"/>
      <c r="AC5573" s="42"/>
    </row>
    <row r="5574" spans="15:29" x14ac:dyDescent="0.25">
      <c r="O5574" s="42"/>
      <c r="R5574" s="42"/>
      <c r="AC5574" s="42"/>
    </row>
    <row r="5575" spans="15:29" x14ac:dyDescent="0.25">
      <c r="O5575" s="42"/>
      <c r="R5575" s="42"/>
      <c r="AC5575" s="42"/>
    </row>
    <row r="5576" spans="15:29" x14ac:dyDescent="0.25">
      <c r="O5576" s="42"/>
      <c r="R5576" s="42"/>
      <c r="AC5576" s="42"/>
    </row>
    <row r="5577" spans="15:29" x14ac:dyDescent="0.25">
      <c r="O5577" s="42"/>
      <c r="R5577" s="42"/>
      <c r="AC5577" s="42"/>
    </row>
    <row r="5578" spans="15:29" x14ac:dyDescent="0.25">
      <c r="O5578" s="42"/>
      <c r="R5578" s="42"/>
      <c r="AC5578" s="42"/>
    </row>
    <row r="5579" spans="15:29" x14ac:dyDescent="0.25">
      <c r="O5579" s="42"/>
      <c r="R5579" s="42"/>
      <c r="AC5579" s="42"/>
    </row>
    <row r="5580" spans="15:29" x14ac:dyDescent="0.25">
      <c r="O5580" s="42"/>
      <c r="R5580" s="42"/>
      <c r="AC5580" s="42"/>
    </row>
    <row r="5581" spans="15:29" x14ac:dyDescent="0.25">
      <c r="O5581" s="42"/>
      <c r="R5581" s="42"/>
      <c r="AC5581" s="42"/>
    </row>
    <row r="5582" spans="15:29" x14ac:dyDescent="0.25">
      <c r="O5582" s="42"/>
      <c r="R5582" s="42"/>
      <c r="AC5582" s="42"/>
    </row>
    <row r="5583" spans="15:29" x14ac:dyDescent="0.25">
      <c r="O5583" s="42"/>
      <c r="R5583" s="42"/>
      <c r="AC5583" s="42"/>
    </row>
    <row r="5584" spans="15:29" x14ac:dyDescent="0.25">
      <c r="O5584" s="42"/>
      <c r="R5584" s="42"/>
      <c r="AC5584" s="42"/>
    </row>
    <row r="5585" spans="15:29" x14ac:dyDescent="0.25">
      <c r="O5585" s="42"/>
      <c r="R5585" s="42"/>
      <c r="AC5585" s="42"/>
    </row>
    <row r="5586" spans="15:29" x14ac:dyDescent="0.25">
      <c r="O5586" s="42"/>
      <c r="R5586" s="42"/>
      <c r="AC5586" s="42"/>
    </row>
    <row r="5587" spans="15:29" x14ac:dyDescent="0.25">
      <c r="O5587" s="42"/>
      <c r="R5587" s="42"/>
      <c r="AC5587" s="42"/>
    </row>
    <row r="5588" spans="15:29" x14ac:dyDescent="0.25">
      <c r="O5588" s="42"/>
      <c r="R5588" s="42"/>
      <c r="AC5588" s="42"/>
    </row>
    <row r="5589" spans="15:29" x14ac:dyDescent="0.25">
      <c r="O5589" s="42"/>
      <c r="R5589" s="42"/>
      <c r="AC5589" s="42"/>
    </row>
    <row r="5590" spans="15:29" x14ac:dyDescent="0.25">
      <c r="O5590" s="42"/>
      <c r="R5590" s="42"/>
      <c r="AC5590" s="42"/>
    </row>
    <row r="5591" spans="15:29" x14ac:dyDescent="0.25">
      <c r="O5591" s="42"/>
      <c r="R5591" s="42"/>
      <c r="AC5591" s="42"/>
    </row>
    <row r="5592" spans="15:29" x14ac:dyDescent="0.25">
      <c r="O5592" s="42"/>
      <c r="R5592" s="42"/>
      <c r="AC5592" s="42"/>
    </row>
    <row r="5593" spans="15:29" x14ac:dyDescent="0.25">
      <c r="O5593" s="42"/>
      <c r="R5593" s="42"/>
      <c r="AC5593" s="42"/>
    </row>
    <row r="5594" spans="15:29" x14ac:dyDescent="0.25">
      <c r="O5594" s="42"/>
      <c r="R5594" s="42"/>
      <c r="AC5594" s="42"/>
    </row>
    <row r="5595" spans="15:29" x14ac:dyDescent="0.25">
      <c r="O5595" s="42"/>
      <c r="R5595" s="42"/>
      <c r="AC5595" s="42"/>
    </row>
    <row r="5596" spans="15:29" x14ac:dyDescent="0.25">
      <c r="O5596" s="42"/>
      <c r="R5596" s="42"/>
      <c r="AC5596" s="42"/>
    </row>
    <row r="5597" spans="15:29" x14ac:dyDescent="0.25">
      <c r="O5597" s="42"/>
      <c r="R5597" s="42"/>
      <c r="AC5597" s="42"/>
    </row>
    <row r="5598" spans="15:29" x14ac:dyDescent="0.25">
      <c r="O5598" s="42"/>
      <c r="R5598" s="42"/>
      <c r="AC5598" s="42"/>
    </row>
    <row r="5599" spans="15:29" x14ac:dyDescent="0.25">
      <c r="O5599" s="42"/>
      <c r="R5599" s="42"/>
      <c r="AC5599" s="42"/>
    </row>
    <row r="5600" spans="15:29" x14ac:dyDescent="0.25">
      <c r="O5600" s="42"/>
      <c r="R5600" s="42"/>
      <c r="AC5600" s="42"/>
    </row>
    <row r="5601" spans="15:29" x14ac:dyDescent="0.25">
      <c r="O5601" s="42"/>
      <c r="R5601" s="42"/>
      <c r="AC5601" s="42"/>
    </row>
    <row r="5602" spans="15:29" x14ac:dyDescent="0.25">
      <c r="O5602" s="42"/>
      <c r="R5602" s="42"/>
      <c r="AC5602" s="42"/>
    </row>
    <row r="5603" spans="15:29" x14ac:dyDescent="0.25">
      <c r="O5603" s="42"/>
      <c r="R5603" s="42"/>
      <c r="AC5603" s="42"/>
    </row>
    <row r="5604" spans="15:29" x14ac:dyDescent="0.25">
      <c r="O5604" s="42"/>
      <c r="R5604" s="42"/>
      <c r="AC5604" s="42"/>
    </row>
    <row r="5605" spans="15:29" x14ac:dyDescent="0.25">
      <c r="O5605" s="42"/>
      <c r="R5605" s="42"/>
      <c r="AC5605" s="42"/>
    </row>
    <row r="5606" spans="15:29" x14ac:dyDescent="0.25">
      <c r="O5606" s="42"/>
      <c r="R5606" s="42"/>
      <c r="AC5606" s="42"/>
    </row>
    <row r="5607" spans="15:29" x14ac:dyDescent="0.25">
      <c r="O5607" s="42"/>
      <c r="R5607" s="42"/>
      <c r="AC5607" s="42"/>
    </row>
    <row r="5608" spans="15:29" x14ac:dyDescent="0.25">
      <c r="O5608" s="42"/>
      <c r="R5608" s="42"/>
      <c r="AC5608" s="42"/>
    </row>
    <row r="5609" spans="15:29" x14ac:dyDescent="0.25">
      <c r="O5609" s="42"/>
      <c r="R5609" s="42"/>
      <c r="AC5609" s="42"/>
    </row>
    <row r="5610" spans="15:29" x14ac:dyDescent="0.25">
      <c r="O5610" s="42"/>
      <c r="R5610" s="42"/>
      <c r="AC5610" s="42"/>
    </row>
    <row r="5611" spans="15:29" x14ac:dyDescent="0.25">
      <c r="O5611" s="42"/>
      <c r="R5611" s="42"/>
      <c r="AC5611" s="42"/>
    </row>
    <row r="5612" spans="15:29" x14ac:dyDescent="0.25">
      <c r="O5612" s="42"/>
      <c r="R5612" s="42"/>
      <c r="AC5612" s="42"/>
    </row>
    <row r="5613" spans="15:29" x14ac:dyDescent="0.25">
      <c r="O5613" s="42"/>
      <c r="R5613" s="42"/>
      <c r="AC5613" s="42"/>
    </row>
    <row r="5614" spans="15:29" x14ac:dyDescent="0.25">
      <c r="O5614" s="42"/>
      <c r="R5614" s="42"/>
      <c r="AC5614" s="42"/>
    </row>
    <row r="5615" spans="15:29" x14ac:dyDescent="0.25">
      <c r="O5615" s="42"/>
      <c r="R5615" s="42"/>
      <c r="AC5615" s="42"/>
    </row>
    <row r="5616" spans="15:29" x14ac:dyDescent="0.25">
      <c r="O5616" s="42"/>
      <c r="R5616" s="42"/>
      <c r="AC5616" s="42"/>
    </row>
    <row r="5617" spans="15:29" x14ac:dyDescent="0.25">
      <c r="O5617" s="42"/>
      <c r="R5617" s="42"/>
      <c r="AC5617" s="42"/>
    </row>
    <row r="5618" spans="15:29" x14ac:dyDescent="0.25">
      <c r="O5618" s="42"/>
      <c r="R5618" s="42"/>
      <c r="AC5618" s="42"/>
    </row>
    <row r="5619" spans="15:29" x14ac:dyDescent="0.25">
      <c r="O5619" s="42"/>
      <c r="R5619" s="42"/>
      <c r="AC5619" s="42"/>
    </row>
    <row r="5620" spans="15:29" x14ac:dyDescent="0.25">
      <c r="O5620" s="42"/>
      <c r="R5620" s="42"/>
      <c r="AC5620" s="42"/>
    </row>
    <row r="5621" spans="15:29" x14ac:dyDescent="0.25">
      <c r="O5621" s="42"/>
      <c r="R5621" s="42"/>
      <c r="AC5621" s="42"/>
    </row>
    <row r="5622" spans="15:29" x14ac:dyDescent="0.25">
      <c r="O5622" s="42"/>
      <c r="R5622" s="42"/>
      <c r="AC5622" s="42"/>
    </row>
    <row r="5623" spans="15:29" x14ac:dyDescent="0.25">
      <c r="O5623" s="42"/>
      <c r="R5623" s="42"/>
      <c r="AC5623" s="42"/>
    </row>
    <row r="5624" spans="15:29" x14ac:dyDescent="0.25">
      <c r="O5624" s="42"/>
      <c r="R5624" s="42"/>
      <c r="AC5624" s="42"/>
    </row>
    <row r="5625" spans="15:29" x14ac:dyDescent="0.25">
      <c r="O5625" s="42"/>
      <c r="R5625" s="42"/>
      <c r="AC5625" s="42"/>
    </row>
    <row r="5626" spans="15:29" x14ac:dyDescent="0.25">
      <c r="O5626" s="42"/>
      <c r="R5626" s="42"/>
      <c r="AC5626" s="42"/>
    </row>
    <row r="5627" spans="15:29" x14ac:dyDescent="0.25">
      <c r="O5627" s="42"/>
      <c r="R5627" s="42"/>
      <c r="AC5627" s="42"/>
    </row>
    <row r="5628" spans="15:29" x14ac:dyDescent="0.25">
      <c r="O5628" s="42"/>
      <c r="R5628" s="42"/>
      <c r="AC5628" s="42"/>
    </row>
    <row r="5629" spans="15:29" x14ac:dyDescent="0.25">
      <c r="O5629" s="42"/>
      <c r="R5629" s="42"/>
      <c r="AC5629" s="42"/>
    </row>
    <row r="5630" spans="15:29" x14ac:dyDescent="0.25">
      <c r="O5630" s="42"/>
      <c r="R5630" s="42"/>
      <c r="AC5630" s="42"/>
    </row>
    <row r="5631" spans="15:29" x14ac:dyDescent="0.25">
      <c r="O5631" s="42"/>
      <c r="R5631" s="42"/>
      <c r="AC5631" s="42"/>
    </row>
    <row r="5632" spans="15:29" x14ac:dyDescent="0.25">
      <c r="O5632" s="42"/>
      <c r="R5632" s="42"/>
      <c r="AC5632" s="42"/>
    </row>
    <row r="5633" spans="15:29" x14ac:dyDescent="0.25">
      <c r="O5633" s="42"/>
      <c r="R5633" s="42"/>
      <c r="AC5633" s="42"/>
    </row>
    <row r="5634" spans="15:29" x14ac:dyDescent="0.25">
      <c r="O5634" s="42"/>
      <c r="R5634" s="42"/>
      <c r="AC5634" s="42"/>
    </row>
    <row r="5635" spans="15:29" x14ac:dyDescent="0.25">
      <c r="O5635" s="42"/>
      <c r="R5635" s="42"/>
      <c r="AC5635" s="42"/>
    </row>
    <row r="5636" spans="15:29" x14ac:dyDescent="0.25">
      <c r="O5636" s="42"/>
      <c r="R5636" s="42"/>
      <c r="AC5636" s="42"/>
    </row>
    <row r="5637" spans="15:29" x14ac:dyDescent="0.25">
      <c r="O5637" s="42"/>
      <c r="R5637" s="42"/>
      <c r="AC5637" s="42"/>
    </row>
    <row r="5638" spans="15:29" x14ac:dyDescent="0.25">
      <c r="O5638" s="42"/>
      <c r="R5638" s="42"/>
      <c r="AC5638" s="42"/>
    </row>
    <row r="5639" spans="15:29" x14ac:dyDescent="0.25">
      <c r="O5639" s="42"/>
      <c r="R5639" s="42"/>
      <c r="AC5639" s="42"/>
    </row>
    <row r="5640" spans="15:29" x14ac:dyDescent="0.25">
      <c r="O5640" s="42"/>
      <c r="R5640" s="42"/>
      <c r="AC5640" s="42"/>
    </row>
    <row r="5641" spans="15:29" x14ac:dyDescent="0.25">
      <c r="O5641" s="42"/>
      <c r="R5641" s="42"/>
      <c r="AC5641" s="42"/>
    </row>
    <row r="5642" spans="15:29" x14ac:dyDescent="0.25">
      <c r="O5642" s="42"/>
      <c r="R5642" s="42"/>
      <c r="AC5642" s="42"/>
    </row>
    <row r="5643" spans="15:29" x14ac:dyDescent="0.25">
      <c r="O5643" s="42"/>
      <c r="R5643" s="42"/>
      <c r="AC5643" s="42"/>
    </row>
    <row r="5644" spans="15:29" x14ac:dyDescent="0.25">
      <c r="O5644" s="42"/>
      <c r="R5644" s="42"/>
      <c r="AC5644" s="42"/>
    </row>
    <row r="5645" spans="15:29" x14ac:dyDescent="0.25">
      <c r="O5645" s="42"/>
      <c r="R5645" s="42"/>
      <c r="AC5645" s="42"/>
    </row>
    <row r="5646" spans="15:29" x14ac:dyDescent="0.25">
      <c r="O5646" s="42"/>
      <c r="R5646" s="42"/>
      <c r="AC5646" s="42"/>
    </row>
    <row r="5647" spans="15:29" x14ac:dyDescent="0.25">
      <c r="O5647" s="42"/>
      <c r="R5647" s="42"/>
      <c r="AC5647" s="42"/>
    </row>
    <row r="5648" spans="15:29" x14ac:dyDescent="0.25">
      <c r="O5648" s="42"/>
      <c r="R5648" s="42"/>
      <c r="AC5648" s="42"/>
    </row>
    <row r="5649" spans="15:29" x14ac:dyDescent="0.25">
      <c r="O5649" s="42"/>
      <c r="R5649" s="42"/>
      <c r="AC5649" s="42"/>
    </row>
    <row r="5650" spans="15:29" x14ac:dyDescent="0.25">
      <c r="O5650" s="42"/>
      <c r="R5650" s="42"/>
      <c r="AC5650" s="42"/>
    </row>
    <row r="5651" spans="15:29" x14ac:dyDescent="0.25">
      <c r="O5651" s="42"/>
      <c r="R5651" s="42"/>
      <c r="AC5651" s="42"/>
    </row>
    <row r="5652" spans="15:29" x14ac:dyDescent="0.25">
      <c r="O5652" s="42"/>
      <c r="R5652" s="42"/>
      <c r="AC5652" s="42"/>
    </row>
    <row r="5653" spans="15:29" x14ac:dyDescent="0.25">
      <c r="O5653" s="42"/>
      <c r="R5653" s="42"/>
      <c r="AC5653" s="42"/>
    </row>
    <row r="5654" spans="15:29" x14ac:dyDescent="0.25">
      <c r="O5654" s="42"/>
      <c r="R5654" s="42"/>
      <c r="AC5654" s="42"/>
    </row>
    <row r="5655" spans="15:29" x14ac:dyDescent="0.25">
      <c r="O5655" s="42"/>
      <c r="R5655" s="42"/>
      <c r="AC5655" s="42"/>
    </row>
    <row r="5656" spans="15:29" x14ac:dyDescent="0.25">
      <c r="O5656" s="42"/>
      <c r="R5656" s="42"/>
      <c r="AC5656" s="42"/>
    </row>
    <row r="5657" spans="15:29" x14ac:dyDescent="0.25">
      <c r="O5657" s="42"/>
      <c r="R5657" s="42"/>
      <c r="AC5657" s="42"/>
    </row>
    <row r="5658" spans="15:29" x14ac:dyDescent="0.25">
      <c r="O5658" s="42"/>
      <c r="R5658" s="42"/>
      <c r="AC5658" s="42"/>
    </row>
    <row r="5659" spans="15:29" x14ac:dyDescent="0.25">
      <c r="O5659" s="42"/>
      <c r="R5659" s="42"/>
      <c r="AC5659" s="42"/>
    </row>
    <row r="5660" spans="15:29" x14ac:dyDescent="0.25">
      <c r="O5660" s="42"/>
      <c r="R5660" s="42"/>
      <c r="AC5660" s="42"/>
    </row>
    <row r="5661" spans="15:29" x14ac:dyDescent="0.25">
      <c r="O5661" s="42"/>
      <c r="R5661" s="42"/>
      <c r="AC5661" s="42"/>
    </row>
    <row r="5662" spans="15:29" x14ac:dyDescent="0.25">
      <c r="O5662" s="42"/>
      <c r="R5662" s="42"/>
      <c r="AC5662" s="42"/>
    </row>
    <row r="5663" spans="15:29" x14ac:dyDescent="0.25">
      <c r="O5663" s="42"/>
      <c r="R5663" s="42"/>
      <c r="AC5663" s="42"/>
    </row>
    <row r="5664" spans="15:29" x14ac:dyDescent="0.25">
      <c r="O5664" s="42"/>
      <c r="R5664" s="42"/>
      <c r="AC5664" s="42"/>
    </row>
    <row r="5665" spans="15:29" x14ac:dyDescent="0.25">
      <c r="O5665" s="42"/>
      <c r="R5665" s="42"/>
      <c r="AC5665" s="42"/>
    </row>
    <row r="5666" spans="15:29" x14ac:dyDescent="0.25">
      <c r="O5666" s="42"/>
      <c r="R5666" s="42"/>
      <c r="AC5666" s="42"/>
    </row>
    <row r="5667" spans="15:29" x14ac:dyDescent="0.25">
      <c r="O5667" s="42"/>
      <c r="R5667" s="42"/>
      <c r="AC5667" s="42"/>
    </row>
    <row r="5668" spans="15:29" x14ac:dyDescent="0.25">
      <c r="O5668" s="42"/>
      <c r="R5668" s="42"/>
      <c r="AC5668" s="42"/>
    </row>
    <row r="5669" spans="15:29" x14ac:dyDescent="0.25">
      <c r="O5669" s="42"/>
      <c r="R5669" s="42"/>
      <c r="AC5669" s="42"/>
    </row>
    <row r="5670" spans="15:29" x14ac:dyDescent="0.25">
      <c r="O5670" s="42"/>
      <c r="R5670" s="42"/>
      <c r="AC5670" s="42"/>
    </row>
    <row r="5671" spans="15:29" x14ac:dyDescent="0.25">
      <c r="O5671" s="42"/>
      <c r="R5671" s="42"/>
      <c r="AC5671" s="42"/>
    </row>
    <row r="5672" spans="15:29" x14ac:dyDescent="0.25">
      <c r="O5672" s="42"/>
      <c r="R5672" s="42"/>
      <c r="AC5672" s="42"/>
    </row>
    <row r="5673" spans="15:29" x14ac:dyDescent="0.25">
      <c r="O5673" s="42"/>
      <c r="R5673" s="42"/>
      <c r="AC5673" s="42"/>
    </row>
    <row r="5674" spans="15:29" x14ac:dyDescent="0.25">
      <c r="O5674" s="42"/>
      <c r="R5674" s="42"/>
      <c r="AC5674" s="42"/>
    </row>
    <row r="5675" spans="15:29" x14ac:dyDescent="0.25">
      <c r="O5675" s="42"/>
      <c r="R5675" s="42"/>
      <c r="AC5675" s="42"/>
    </row>
    <row r="5676" spans="15:29" x14ac:dyDescent="0.25">
      <c r="O5676" s="42"/>
      <c r="R5676" s="42"/>
      <c r="AC5676" s="42"/>
    </row>
    <row r="5677" spans="15:29" x14ac:dyDescent="0.25">
      <c r="O5677" s="42"/>
      <c r="R5677" s="42"/>
      <c r="AC5677" s="42"/>
    </row>
    <row r="5678" spans="15:29" x14ac:dyDescent="0.25">
      <c r="O5678" s="42"/>
      <c r="R5678" s="42"/>
      <c r="AC5678" s="42"/>
    </row>
    <row r="5679" spans="15:29" x14ac:dyDescent="0.25">
      <c r="O5679" s="42"/>
      <c r="R5679" s="42"/>
      <c r="AC5679" s="42"/>
    </row>
    <row r="5680" spans="15:29" x14ac:dyDescent="0.25">
      <c r="O5680" s="42"/>
      <c r="R5680" s="42"/>
      <c r="AC5680" s="42"/>
    </row>
    <row r="5681" spans="15:29" x14ac:dyDescent="0.25">
      <c r="O5681" s="42"/>
      <c r="R5681" s="42"/>
      <c r="AC5681" s="42"/>
    </row>
    <row r="5682" spans="15:29" x14ac:dyDescent="0.25">
      <c r="O5682" s="42"/>
      <c r="R5682" s="42"/>
      <c r="AC5682" s="42"/>
    </row>
    <row r="5683" spans="15:29" x14ac:dyDescent="0.25">
      <c r="O5683" s="42"/>
      <c r="R5683" s="42"/>
      <c r="AC5683" s="42"/>
    </row>
    <row r="5684" spans="15:29" x14ac:dyDescent="0.25">
      <c r="O5684" s="42"/>
      <c r="R5684" s="42"/>
      <c r="AC5684" s="42"/>
    </row>
    <row r="5685" spans="15:29" x14ac:dyDescent="0.25">
      <c r="O5685" s="42"/>
      <c r="R5685" s="42"/>
      <c r="AC5685" s="42"/>
    </row>
    <row r="5686" spans="15:29" x14ac:dyDescent="0.25">
      <c r="O5686" s="42"/>
      <c r="R5686" s="42"/>
      <c r="AC5686" s="42"/>
    </row>
    <row r="5687" spans="15:29" x14ac:dyDescent="0.25">
      <c r="O5687" s="42"/>
      <c r="R5687" s="42"/>
      <c r="AC5687" s="42"/>
    </row>
    <row r="5688" spans="15:29" x14ac:dyDescent="0.25">
      <c r="O5688" s="42"/>
      <c r="R5688" s="42"/>
      <c r="AC5688" s="42"/>
    </row>
    <row r="5689" spans="15:29" x14ac:dyDescent="0.25">
      <c r="O5689" s="42"/>
      <c r="R5689" s="42"/>
      <c r="AC5689" s="42"/>
    </row>
    <row r="5690" spans="15:29" x14ac:dyDescent="0.25">
      <c r="O5690" s="42"/>
      <c r="R5690" s="42"/>
      <c r="AC5690" s="42"/>
    </row>
    <row r="5691" spans="15:29" x14ac:dyDescent="0.25">
      <c r="O5691" s="42"/>
      <c r="R5691" s="42"/>
      <c r="AC5691" s="42"/>
    </row>
    <row r="5692" spans="15:29" x14ac:dyDescent="0.25">
      <c r="O5692" s="42"/>
      <c r="R5692" s="42"/>
      <c r="AC5692" s="42"/>
    </row>
    <row r="5693" spans="15:29" x14ac:dyDescent="0.25">
      <c r="O5693" s="42"/>
      <c r="R5693" s="42"/>
      <c r="AC5693" s="42"/>
    </row>
    <row r="5694" spans="15:29" x14ac:dyDescent="0.25">
      <c r="O5694" s="42"/>
      <c r="R5694" s="42"/>
      <c r="AC5694" s="42"/>
    </row>
    <row r="5695" spans="15:29" x14ac:dyDescent="0.25">
      <c r="O5695" s="42"/>
      <c r="R5695" s="42"/>
      <c r="AC5695" s="42"/>
    </row>
    <row r="5696" spans="15:29" x14ac:dyDescent="0.25">
      <c r="O5696" s="42"/>
      <c r="R5696" s="42"/>
      <c r="AC5696" s="42"/>
    </row>
    <row r="5697" spans="15:29" x14ac:dyDescent="0.25">
      <c r="O5697" s="42"/>
      <c r="R5697" s="42"/>
      <c r="AC5697" s="42"/>
    </row>
    <row r="5698" spans="15:29" x14ac:dyDescent="0.25">
      <c r="O5698" s="42"/>
      <c r="R5698" s="42"/>
      <c r="AC5698" s="42"/>
    </row>
    <row r="5699" spans="15:29" x14ac:dyDescent="0.25">
      <c r="O5699" s="42"/>
      <c r="R5699" s="42"/>
      <c r="AC5699" s="42"/>
    </row>
    <row r="5700" spans="15:29" x14ac:dyDescent="0.25">
      <c r="O5700" s="42"/>
      <c r="R5700" s="42"/>
      <c r="AC5700" s="42"/>
    </row>
    <row r="5701" spans="15:29" x14ac:dyDescent="0.25">
      <c r="O5701" s="42"/>
      <c r="R5701" s="42"/>
      <c r="AC5701" s="42"/>
    </row>
    <row r="5702" spans="15:29" x14ac:dyDescent="0.25">
      <c r="O5702" s="42"/>
      <c r="R5702" s="42"/>
      <c r="AC5702" s="42"/>
    </row>
    <row r="5703" spans="15:29" x14ac:dyDescent="0.25">
      <c r="O5703" s="42"/>
      <c r="R5703" s="42"/>
      <c r="AC5703" s="42"/>
    </row>
    <row r="5704" spans="15:29" x14ac:dyDescent="0.25">
      <c r="O5704" s="42"/>
      <c r="R5704" s="42"/>
      <c r="AC5704" s="42"/>
    </row>
    <row r="5705" spans="15:29" x14ac:dyDescent="0.25">
      <c r="O5705" s="42"/>
      <c r="R5705" s="42"/>
      <c r="AC5705" s="42"/>
    </row>
    <row r="5706" spans="15:29" x14ac:dyDescent="0.25">
      <c r="O5706" s="42"/>
      <c r="R5706" s="42"/>
      <c r="AC5706" s="42"/>
    </row>
    <row r="5707" spans="15:29" x14ac:dyDescent="0.25">
      <c r="O5707" s="42"/>
      <c r="R5707" s="42"/>
      <c r="AC5707" s="42"/>
    </row>
    <row r="5708" spans="15:29" x14ac:dyDescent="0.25">
      <c r="O5708" s="42"/>
      <c r="R5708" s="42"/>
      <c r="AC5708" s="42"/>
    </row>
    <row r="5709" spans="15:29" x14ac:dyDescent="0.25">
      <c r="O5709" s="42"/>
      <c r="R5709" s="42"/>
      <c r="AC5709" s="42"/>
    </row>
    <row r="5710" spans="15:29" x14ac:dyDescent="0.25">
      <c r="O5710" s="42"/>
      <c r="R5710" s="42"/>
      <c r="AC5710" s="42"/>
    </row>
    <row r="5711" spans="15:29" x14ac:dyDescent="0.25">
      <c r="O5711" s="42"/>
      <c r="R5711" s="42"/>
      <c r="AC5711" s="42"/>
    </row>
    <row r="5712" spans="15:29" x14ac:dyDescent="0.25">
      <c r="O5712" s="42"/>
      <c r="R5712" s="42"/>
      <c r="AC5712" s="42"/>
    </row>
    <row r="5713" spans="15:29" x14ac:dyDescent="0.25">
      <c r="O5713" s="42"/>
      <c r="R5713" s="42"/>
      <c r="AC5713" s="42"/>
    </row>
    <row r="5714" spans="15:29" x14ac:dyDescent="0.25">
      <c r="O5714" s="42"/>
      <c r="R5714" s="42"/>
      <c r="AC5714" s="42"/>
    </row>
    <row r="5715" spans="15:29" x14ac:dyDescent="0.25">
      <c r="O5715" s="42"/>
      <c r="R5715" s="42"/>
      <c r="AC5715" s="42"/>
    </row>
    <row r="5716" spans="15:29" x14ac:dyDescent="0.25">
      <c r="O5716" s="42"/>
      <c r="R5716" s="42"/>
      <c r="AC5716" s="42"/>
    </row>
    <row r="5717" spans="15:29" x14ac:dyDescent="0.25">
      <c r="O5717" s="42"/>
      <c r="R5717" s="42"/>
      <c r="AC5717" s="42"/>
    </row>
    <row r="5718" spans="15:29" x14ac:dyDescent="0.25">
      <c r="O5718" s="42"/>
      <c r="R5718" s="42"/>
      <c r="AC5718" s="42"/>
    </row>
    <row r="5719" spans="15:29" x14ac:dyDescent="0.25">
      <c r="O5719" s="42"/>
      <c r="R5719" s="42"/>
      <c r="AC5719" s="42"/>
    </row>
    <row r="5720" spans="15:29" x14ac:dyDescent="0.25">
      <c r="O5720" s="42"/>
      <c r="R5720" s="42"/>
      <c r="AC5720" s="42"/>
    </row>
    <row r="5721" spans="15:29" x14ac:dyDescent="0.25">
      <c r="O5721" s="42"/>
      <c r="R5721" s="42"/>
      <c r="AC5721" s="42"/>
    </row>
    <row r="5722" spans="15:29" x14ac:dyDescent="0.25">
      <c r="O5722" s="42"/>
      <c r="R5722" s="42"/>
      <c r="AC5722" s="42"/>
    </row>
    <row r="5723" spans="15:29" x14ac:dyDescent="0.25">
      <c r="O5723" s="42"/>
      <c r="R5723" s="42"/>
      <c r="AC5723" s="42"/>
    </row>
    <row r="5724" spans="15:29" x14ac:dyDescent="0.25">
      <c r="O5724" s="42"/>
      <c r="R5724" s="42"/>
      <c r="AC5724" s="42"/>
    </row>
    <row r="5725" spans="15:29" x14ac:dyDescent="0.25">
      <c r="O5725" s="42"/>
      <c r="R5725" s="42"/>
      <c r="AC5725" s="42"/>
    </row>
    <row r="5726" spans="15:29" x14ac:dyDescent="0.25">
      <c r="O5726" s="42"/>
      <c r="R5726" s="42"/>
      <c r="AC5726" s="42"/>
    </row>
    <row r="5727" spans="15:29" x14ac:dyDescent="0.25">
      <c r="O5727" s="42"/>
      <c r="R5727" s="42"/>
      <c r="AC5727" s="42"/>
    </row>
    <row r="5728" spans="15:29" x14ac:dyDescent="0.25">
      <c r="O5728" s="42"/>
      <c r="R5728" s="42"/>
      <c r="AC5728" s="42"/>
    </row>
    <row r="5729" spans="15:29" x14ac:dyDescent="0.25">
      <c r="O5729" s="42"/>
      <c r="R5729" s="42"/>
      <c r="AC5729" s="42"/>
    </row>
    <row r="5730" spans="15:29" x14ac:dyDescent="0.25">
      <c r="O5730" s="42"/>
      <c r="R5730" s="42"/>
      <c r="AC5730" s="42"/>
    </row>
    <row r="5731" spans="15:29" x14ac:dyDescent="0.25">
      <c r="O5731" s="42"/>
      <c r="R5731" s="42"/>
      <c r="AC5731" s="42"/>
    </row>
    <row r="5732" spans="15:29" x14ac:dyDescent="0.25">
      <c r="O5732" s="42"/>
      <c r="R5732" s="42"/>
      <c r="AC5732" s="42"/>
    </row>
    <row r="5733" spans="15:29" x14ac:dyDescent="0.25">
      <c r="O5733" s="42"/>
      <c r="R5733" s="42"/>
      <c r="AC5733" s="42"/>
    </row>
    <row r="5734" spans="15:29" x14ac:dyDescent="0.25">
      <c r="O5734" s="42"/>
      <c r="R5734" s="42"/>
      <c r="AC5734" s="42"/>
    </row>
    <row r="5735" spans="15:29" x14ac:dyDescent="0.25">
      <c r="O5735" s="42"/>
      <c r="R5735" s="42"/>
      <c r="AC5735" s="42"/>
    </row>
    <row r="5736" spans="15:29" x14ac:dyDescent="0.25">
      <c r="O5736" s="42"/>
      <c r="R5736" s="42"/>
      <c r="AC5736" s="42"/>
    </row>
    <row r="5737" spans="15:29" x14ac:dyDescent="0.25">
      <c r="O5737" s="42"/>
      <c r="R5737" s="42"/>
      <c r="AC5737" s="42"/>
    </row>
    <row r="5738" spans="15:29" x14ac:dyDescent="0.25">
      <c r="O5738" s="42"/>
      <c r="R5738" s="42"/>
      <c r="AC5738" s="42"/>
    </row>
    <row r="5739" spans="15:29" x14ac:dyDescent="0.25">
      <c r="O5739" s="42"/>
      <c r="R5739" s="42"/>
      <c r="AC5739" s="42"/>
    </row>
    <row r="5740" spans="15:29" x14ac:dyDescent="0.25">
      <c r="O5740" s="42"/>
      <c r="R5740" s="42"/>
      <c r="AC5740" s="42"/>
    </row>
    <row r="5741" spans="15:29" x14ac:dyDescent="0.25">
      <c r="O5741" s="42"/>
      <c r="R5741" s="42"/>
      <c r="AC5741" s="42"/>
    </row>
    <row r="5742" spans="15:29" x14ac:dyDescent="0.25">
      <c r="O5742" s="42"/>
      <c r="R5742" s="42"/>
      <c r="AC5742" s="42"/>
    </row>
    <row r="5743" spans="15:29" x14ac:dyDescent="0.25">
      <c r="O5743" s="42"/>
      <c r="R5743" s="42"/>
      <c r="AC5743" s="42"/>
    </row>
    <row r="5744" spans="15:29" x14ac:dyDescent="0.25">
      <c r="O5744" s="42"/>
      <c r="R5744" s="42"/>
      <c r="AC5744" s="42"/>
    </row>
    <row r="5745" spans="15:29" x14ac:dyDescent="0.25">
      <c r="O5745" s="42"/>
      <c r="R5745" s="42"/>
      <c r="AC5745" s="42"/>
    </row>
    <row r="5746" spans="15:29" x14ac:dyDescent="0.25">
      <c r="O5746" s="42"/>
      <c r="R5746" s="42"/>
      <c r="AC5746" s="42"/>
    </row>
    <row r="5747" spans="15:29" x14ac:dyDescent="0.25">
      <c r="O5747" s="42"/>
      <c r="R5747" s="42"/>
      <c r="AC5747" s="42"/>
    </row>
    <row r="5748" spans="15:29" x14ac:dyDescent="0.25">
      <c r="O5748" s="42"/>
      <c r="R5748" s="42"/>
      <c r="AC5748" s="42"/>
    </row>
    <row r="5749" spans="15:29" x14ac:dyDescent="0.25">
      <c r="O5749" s="42"/>
      <c r="R5749" s="42"/>
      <c r="AC5749" s="42"/>
    </row>
    <row r="5750" spans="15:29" x14ac:dyDescent="0.25">
      <c r="O5750" s="42"/>
      <c r="R5750" s="42"/>
      <c r="AC5750" s="42"/>
    </row>
    <row r="5751" spans="15:29" x14ac:dyDescent="0.25">
      <c r="O5751" s="42"/>
      <c r="R5751" s="42"/>
      <c r="AC5751" s="42"/>
    </row>
    <row r="5752" spans="15:29" x14ac:dyDescent="0.25">
      <c r="O5752" s="42"/>
      <c r="R5752" s="42"/>
      <c r="AC5752" s="42"/>
    </row>
    <row r="5753" spans="15:29" x14ac:dyDescent="0.25">
      <c r="O5753" s="42"/>
      <c r="R5753" s="42"/>
      <c r="AC5753" s="42"/>
    </row>
    <row r="5754" spans="15:29" x14ac:dyDescent="0.25">
      <c r="O5754" s="42"/>
      <c r="R5754" s="42"/>
      <c r="AC5754" s="42"/>
    </row>
    <row r="5755" spans="15:29" x14ac:dyDescent="0.25">
      <c r="O5755" s="42"/>
      <c r="R5755" s="42"/>
      <c r="AC5755" s="42"/>
    </row>
    <row r="5756" spans="15:29" x14ac:dyDescent="0.25">
      <c r="O5756" s="42"/>
      <c r="R5756" s="42"/>
      <c r="AC5756" s="42"/>
    </row>
    <row r="5757" spans="15:29" x14ac:dyDescent="0.25">
      <c r="O5757" s="42"/>
      <c r="R5757" s="42"/>
      <c r="AC5757" s="42"/>
    </row>
    <row r="5758" spans="15:29" x14ac:dyDescent="0.25">
      <c r="O5758" s="42"/>
      <c r="R5758" s="42"/>
      <c r="AC5758" s="42"/>
    </row>
    <row r="5759" spans="15:29" x14ac:dyDescent="0.25">
      <c r="O5759" s="42"/>
      <c r="R5759" s="42"/>
      <c r="AC5759" s="42"/>
    </row>
    <row r="5760" spans="15:29" x14ac:dyDescent="0.25">
      <c r="O5760" s="42"/>
      <c r="R5760" s="42"/>
      <c r="AC5760" s="42"/>
    </row>
    <row r="5761" spans="15:29" x14ac:dyDescent="0.25">
      <c r="O5761" s="42"/>
      <c r="R5761" s="42"/>
      <c r="AC5761" s="42"/>
    </row>
    <row r="5762" spans="15:29" x14ac:dyDescent="0.25">
      <c r="O5762" s="42"/>
      <c r="R5762" s="42"/>
      <c r="AC5762" s="42"/>
    </row>
    <row r="5763" spans="15:29" x14ac:dyDescent="0.25">
      <c r="O5763" s="42"/>
      <c r="R5763" s="42"/>
      <c r="AC5763" s="42"/>
    </row>
    <row r="5764" spans="15:29" x14ac:dyDescent="0.25">
      <c r="O5764" s="42"/>
      <c r="R5764" s="42"/>
      <c r="AC5764" s="42"/>
    </row>
    <row r="5765" spans="15:29" x14ac:dyDescent="0.25">
      <c r="O5765" s="42"/>
      <c r="R5765" s="42"/>
      <c r="AC5765" s="42"/>
    </row>
    <row r="5766" spans="15:29" x14ac:dyDescent="0.25">
      <c r="O5766" s="42"/>
      <c r="R5766" s="42"/>
      <c r="AC5766" s="42"/>
    </row>
    <row r="5767" spans="15:29" x14ac:dyDescent="0.25">
      <c r="O5767" s="42"/>
      <c r="R5767" s="42"/>
      <c r="AC5767" s="42"/>
    </row>
    <row r="5768" spans="15:29" x14ac:dyDescent="0.25">
      <c r="O5768" s="42"/>
      <c r="R5768" s="42"/>
      <c r="AC5768" s="42"/>
    </row>
    <row r="5769" spans="15:29" x14ac:dyDescent="0.25">
      <c r="O5769" s="42"/>
      <c r="R5769" s="42"/>
      <c r="AC5769" s="42"/>
    </row>
    <row r="5770" spans="15:29" x14ac:dyDescent="0.25">
      <c r="O5770" s="42"/>
      <c r="R5770" s="42"/>
      <c r="AC5770" s="42"/>
    </row>
    <row r="5771" spans="15:29" x14ac:dyDescent="0.25">
      <c r="O5771" s="42"/>
      <c r="R5771" s="42"/>
      <c r="AC5771" s="42"/>
    </row>
    <row r="5772" spans="15:29" x14ac:dyDescent="0.25">
      <c r="O5772" s="42"/>
      <c r="R5772" s="42"/>
      <c r="AC5772" s="42"/>
    </row>
    <row r="5773" spans="15:29" x14ac:dyDescent="0.25">
      <c r="O5773" s="42"/>
      <c r="R5773" s="42"/>
      <c r="AC5773" s="42"/>
    </row>
    <row r="5774" spans="15:29" x14ac:dyDescent="0.25">
      <c r="O5774" s="42"/>
      <c r="R5774" s="42"/>
      <c r="AC5774" s="42"/>
    </row>
    <row r="5775" spans="15:29" x14ac:dyDescent="0.25">
      <c r="O5775" s="42"/>
      <c r="R5775" s="42"/>
      <c r="AC5775" s="42"/>
    </row>
    <row r="5776" spans="15:29" x14ac:dyDescent="0.25">
      <c r="O5776" s="42"/>
      <c r="R5776" s="42"/>
      <c r="AC5776" s="42"/>
    </row>
    <row r="5777" spans="15:29" x14ac:dyDescent="0.25">
      <c r="O5777" s="42"/>
      <c r="R5777" s="42"/>
      <c r="AC5777" s="42"/>
    </row>
    <row r="5778" spans="15:29" x14ac:dyDescent="0.25">
      <c r="O5778" s="42"/>
      <c r="R5778" s="42"/>
      <c r="AC5778" s="42"/>
    </row>
    <row r="5779" spans="15:29" x14ac:dyDescent="0.25">
      <c r="O5779" s="42"/>
      <c r="R5779" s="42"/>
      <c r="AC5779" s="42"/>
    </row>
    <row r="5780" spans="15:29" x14ac:dyDescent="0.25">
      <c r="O5780" s="42"/>
      <c r="R5780" s="42"/>
      <c r="AC5780" s="42"/>
    </row>
    <row r="5781" spans="15:29" x14ac:dyDescent="0.25">
      <c r="O5781" s="42"/>
      <c r="R5781" s="42"/>
      <c r="AC5781" s="42"/>
    </row>
    <row r="5782" spans="15:29" x14ac:dyDescent="0.25">
      <c r="O5782" s="42"/>
      <c r="R5782" s="42"/>
      <c r="AC5782" s="42"/>
    </row>
    <row r="5783" spans="15:29" x14ac:dyDescent="0.25">
      <c r="O5783" s="42"/>
      <c r="R5783" s="42"/>
      <c r="AC5783" s="42"/>
    </row>
    <row r="5784" spans="15:29" x14ac:dyDescent="0.25">
      <c r="O5784" s="42"/>
      <c r="R5784" s="42"/>
      <c r="AC5784" s="42"/>
    </row>
    <row r="5785" spans="15:29" x14ac:dyDescent="0.25">
      <c r="O5785" s="42"/>
      <c r="R5785" s="42"/>
      <c r="AC5785" s="42"/>
    </row>
    <row r="5786" spans="15:29" x14ac:dyDescent="0.25">
      <c r="O5786" s="42"/>
      <c r="R5786" s="42"/>
      <c r="AC5786" s="42"/>
    </row>
    <row r="5787" spans="15:29" x14ac:dyDescent="0.25">
      <c r="O5787" s="42"/>
      <c r="R5787" s="42"/>
      <c r="AC5787" s="42"/>
    </row>
    <row r="5788" spans="15:29" x14ac:dyDescent="0.25">
      <c r="O5788" s="42"/>
      <c r="R5788" s="42"/>
      <c r="AC5788" s="42"/>
    </row>
    <row r="5789" spans="15:29" x14ac:dyDescent="0.25">
      <c r="O5789" s="42"/>
      <c r="R5789" s="42"/>
      <c r="AC5789" s="42"/>
    </row>
    <row r="5790" spans="15:29" x14ac:dyDescent="0.25">
      <c r="O5790" s="42"/>
      <c r="R5790" s="42"/>
      <c r="AC5790" s="42"/>
    </row>
    <row r="5791" spans="15:29" x14ac:dyDescent="0.25">
      <c r="O5791" s="42"/>
      <c r="R5791" s="42"/>
      <c r="AC5791" s="42"/>
    </row>
    <row r="5792" spans="15:29" x14ac:dyDescent="0.25">
      <c r="O5792" s="42"/>
      <c r="R5792" s="42"/>
      <c r="AC5792" s="42"/>
    </row>
    <row r="5793" spans="15:29" x14ac:dyDescent="0.25">
      <c r="O5793" s="42"/>
      <c r="R5793" s="42"/>
      <c r="AC5793" s="42"/>
    </row>
    <row r="5794" spans="15:29" x14ac:dyDescent="0.25">
      <c r="O5794" s="42"/>
      <c r="R5794" s="42"/>
      <c r="AC5794" s="42"/>
    </row>
    <row r="5795" spans="15:29" x14ac:dyDescent="0.25">
      <c r="O5795" s="42"/>
      <c r="R5795" s="42"/>
      <c r="AC5795" s="42"/>
    </row>
    <row r="5796" spans="15:29" x14ac:dyDescent="0.25">
      <c r="O5796" s="42"/>
      <c r="R5796" s="42"/>
      <c r="AC5796" s="42"/>
    </row>
    <row r="5797" spans="15:29" x14ac:dyDescent="0.25">
      <c r="O5797" s="42"/>
      <c r="R5797" s="42"/>
      <c r="AC5797" s="42"/>
    </row>
    <row r="5798" spans="15:29" x14ac:dyDescent="0.25">
      <c r="O5798" s="42"/>
      <c r="R5798" s="42"/>
      <c r="AC5798" s="42"/>
    </row>
    <row r="5799" spans="15:29" x14ac:dyDescent="0.25">
      <c r="O5799" s="42"/>
      <c r="R5799" s="42"/>
      <c r="AC5799" s="42"/>
    </row>
    <row r="5800" spans="15:29" x14ac:dyDescent="0.25">
      <c r="O5800" s="42"/>
      <c r="R5800" s="42"/>
      <c r="AC5800" s="42"/>
    </row>
    <row r="5801" spans="15:29" x14ac:dyDescent="0.25">
      <c r="O5801" s="42"/>
      <c r="R5801" s="42"/>
      <c r="AC5801" s="42"/>
    </row>
    <row r="5802" spans="15:29" x14ac:dyDescent="0.25">
      <c r="O5802" s="42"/>
      <c r="R5802" s="42"/>
      <c r="AC5802" s="42"/>
    </row>
    <row r="5803" spans="15:29" x14ac:dyDescent="0.25">
      <c r="O5803" s="42"/>
      <c r="R5803" s="42"/>
      <c r="AC5803" s="42"/>
    </row>
    <row r="5804" spans="15:29" x14ac:dyDescent="0.25">
      <c r="O5804" s="42"/>
      <c r="R5804" s="42"/>
      <c r="AC5804" s="42"/>
    </row>
    <row r="5805" spans="15:29" x14ac:dyDescent="0.25">
      <c r="O5805" s="42"/>
      <c r="R5805" s="42"/>
      <c r="AC5805" s="42"/>
    </row>
    <row r="5806" spans="15:29" x14ac:dyDescent="0.25">
      <c r="O5806" s="42"/>
      <c r="R5806" s="42"/>
      <c r="AC5806" s="42"/>
    </row>
    <row r="5807" spans="15:29" x14ac:dyDescent="0.25">
      <c r="O5807" s="42"/>
      <c r="R5807" s="42"/>
      <c r="AC5807" s="42"/>
    </row>
    <row r="5808" spans="15:29" x14ac:dyDescent="0.25">
      <c r="O5808" s="42"/>
      <c r="R5808" s="42"/>
      <c r="AC5808" s="42"/>
    </row>
    <row r="5809" spans="15:29" x14ac:dyDescent="0.25">
      <c r="O5809" s="42"/>
      <c r="R5809" s="42"/>
      <c r="AC5809" s="42"/>
    </row>
    <row r="5810" spans="15:29" x14ac:dyDescent="0.25">
      <c r="O5810" s="42"/>
      <c r="R5810" s="42"/>
      <c r="AC5810" s="42"/>
    </row>
    <row r="5811" spans="15:29" x14ac:dyDescent="0.25">
      <c r="O5811" s="42"/>
      <c r="R5811" s="42"/>
      <c r="AC5811" s="42"/>
    </row>
    <row r="5812" spans="15:29" x14ac:dyDescent="0.25">
      <c r="O5812" s="42"/>
      <c r="R5812" s="42"/>
      <c r="AC5812" s="42"/>
    </row>
    <row r="5813" spans="15:29" x14ac:dyDescent="0.25">
      <c r="O5813" s="42"/>
      <c r="R5813" s="42"/>
      <c r="AC5813" s="42"/>
    </row>
    <row r="5814" spans="15:29" x14ac:dyDescent="0.25">
      <c r="O5814" s="42"/>
      <c r="R5814" s="42"/>
      <c r="AC5814" s="42"/>
    </row>
    <row r="5815" spans="15:29" x14ac:dyDescent="0.25">
      <c r="O5815" s="42"/>
      <c r="R5815" s="42"/>
      <c r="AC5815" s="42"/>
    </row>
    <row r="5816" spans="15:29" x14ac:dyDescent="0.25">
      <c r="O5816" s="42"/>
      <c r="R5816" s="42"/>
      <c r="AC5816" s="42"/>
    </row>
    <row r="5817" spans="15:29" x14ac:dyDescent="0.25">
      <c r="O5817" s="42"/>
      <c r="R5817" s="42"/>
      <c r="AC5817" s="42"/>
    </row>
    <row r="5818" spans="15:29" x14ac:dyDescent="0.25">
      <c r="O5818" s="42"/>
      <c r="R5818" s="42"/>
      <c r="AC5818" s="42"/>
    </row>
    <row r="5819" spans="15:29" x14ac:dyDescent="0.25">
      <c r="O5819" s="42"/>
      <c r="R5819" s="42"/>
      <c r="AC5819" s="42"/>
    </row>
    <row r="5820" spans="15:29" x14ac:dyDescent="0.25">
      <c r="O5820" s="42"/>
      <c r="R5820" s="42"/>
      <c r="AC5820" s="42"/>
    </row>
    <row r="5821" spans="15:29" x14ac:dyDescent="0.25">
      <c r="O5821" s="42"/>
      <c r="R5821" s="42"/>
      <c r="AC5821" s="42"/>
    </row>
    <row r="5822" spans="15:29" x14ac:dyDescent="0.25">
      <c r="O5822" s="42"/>
      <c r="R5822" s="42"/>
      <c r="AC5822" s="42"/>
    </row>
    <row r="5823" spans="15:29" x14ac:dyDescent="0.25">
      <c r="O5823" s="42"/>
      <c r="R5823" s="42"/>
      <c r="AC5823" s="42"/>
    </row>
    <row r="5824" spans="15:29" x14ac:dyDescent="0.25">
      <c r="O5824" s="42"/>
      <c r="R5824" s="42"/>
      <c r="AC5824" s="42"/>
    </row>
    <row r="5825" spans="15:29" x14ac:dyDescent="0.25">
      <c r="O5825" s="42"/>
      <c r="R5825" s="42"/>
      <c r="AC5825" s="42"/>
    </row>
    <row r="5826" spans="15:29" x14ac:dyDescent="0.25">
      <c r="O5826" s="42"/>
      <c r="R5826" s="42"/>
      <c r="AC5826" s="42"/>
    </row>
    <row r="5827" spans="15:29" x14ac:dyDescent="0.25">
      <c r="O5827" s="42"/>
      <c r="R5827" s="42"/>
      <c r="AC5827" s="42"/>
    </row>
    <row r="5828" spans="15:29" x14ac:dyDescent="0.25">
      <c r="O5828" s="42"/>
      <c r="R5828" s="42"/>
      <c r="AC5828" s="42"/>
    </row>
    <row r="5829" spans="15:29" x14ac:dyDescent="0.25">
      <c r="O5829" s="42"/>
      <c r="R5829" s="42"/>
      <c r="AC5829" s="42"/>
    </row>
    <row r="5830" spans="15:29" x14ac:dyDescent="0.25">
      <c r="O5830" s="42"/>
      <c r="R5830" s="42"/>
      <c r="AC5830" s="42"/>
    </row>
    <row r="5831" spans="15:29" x14ac:dyDescent="0.25">
      <c r="O5831" s="42"/>
      <c r="R5831" s="42"/>
      <c r="AC5831" s="42"/>
    </row>
    <row r="5832" spans="15:29" x14ac:dyDescent="0.25">
      <c r="O5832" s="42"/>
      <c r="R5832" s="42"/>
      <c r="AC5832" s="42"/>
    </row>
    <row r="5833" spans="15:29" x14ac:dyDescent="0.25">
      <c r="O5833" s="42"/>
      <c r="R5833" s="42"/>
      <c r="AC5833" s="42"/>
    </row>
    <row r="5834" spans="15:29" x14ac:dyDescent="0.25">
      <c r="O5834" s="42"/>
      <c r="R5834" s="42"/>
      <c r="AC5834" s="42"/>
    </row>
    <row r="5835" spans="15:29" x14ac:dyDescent="0.25">
      <c r="O5835" s="42"/>
      <c r="R5835" s="42"/>
      <c r="AC5835" s="42"/>
    </row>
    <row r="5836" spans="15:29" x14ac:dyDescent="0.25">
      <c r="O5836" s="42"/>
      <c r="R5836" s="42"/>
      <c r="AC5836" s="42"/>
    </row>
    <row r="5837" spans="15:29" x14ac:dyDescent="0.25">
      <c r="O5837" s="42"/>
      <c r="R5837" s="42"/>
      <c r="AC5837" s="42"/>
    </row>
    <row r="5838" spans="15:29" x14ac:dyDescent="0.25">
      <c r="O5838" s="42"/>
      <c r="R5838" s="42"/>
      <c r="AC5838" s="42"/>
    </row>
    <row r="5839" spans="15:29" x14ac:dyDescent="0.25">
      <c r="O5839" s="42"/>
      <c r="R5839" s="42"/>
      <c r="AC5839" s="42"/>
    </row>
    <row r="5840" spans="15:29" x14ac:dyDescent="0.25">
      <c r="O5840" s="42"/>
      <c r="R5840" s="42"/>
      <c r="AC5840" s="42"/>
    </row>
    <row r="5841" spans="15:29" x14ac:dyDescent="0.25">
      <c r="O5841" s="42"/>
      <c r="R5841" s="42"/>
      <c r="AC5841" s="42"/>
    </row>
    <row r="5842" spans="15:29" x14ac:dyDescent="0.25">
      <c r="O5842" s="42"/>
      <c r="R5842" s="42"/>
      <c r="AC5842" s="42"/>
    </row>
    <row r="5843" spans="15:29" x14ac:dyDescent="0.25">
      <c r="O5843" s="42"/>
      <c r="R5843" s="42"/>
      <c r="AC5843" s="42"/>
    </row>
    <row r="5844" spans="15:29" x14ac:dyDescent="0.25">
      <c r="O5844" s="42"/>
      <c r="R5844" s="42"/>
      <c r="AC5844" s="42"/>
    </row>
    <row r="5845" spans="15:29" x14ac:dyDescent="0.25">
      <c r="O5845" s="42"/>
      <c r="R5845" s="42"/>
      <c r="AC5845" s="42"/>
    </row>
    <row r="5846" spans="15:29" x14ac:dyDescent="0.25">
      <c r="O5846" s="42"/>
      <c r="R5846" s="42"/>
      <c r="AC5846" s="42"/>
    </row>
    <row r="5847" spans="15:29" x14ac:dyDescent="0.25">
      <c r="O5847" s="42"/>
      <c r="R5847" s="42"/>
      <c r="AC5847" s="42"/>
    </row>
    <row r="5848" spans="15:29" x14ac:dyDescent="0.25">
      <c r="O5848" s="42"/>
      <c r="R5848" s="42"/>
      <c r="AC5848" s="42"/>
    </row>
    <row r="5849" spans="15:29" x14ac:dyDescent="0.25">
      <c r="O5849" s="42"/>
      <c r="R5849" s="42"/>
      <c r="AC5849" s="42"/>
    </row>
    <row r="5850" spans="15:29" x14ac:dyDescent="0.25">
      <c r="O5850" s="42"/>
      <c r="R5850" s="42"/>
      <c r="AC5850" s="42"/>
    </row>
    <row r="5851" spans="15:29" x14ac:dyDescent="0.25">
      <c r="O5851" s="42"/>
      <c r="R5851" s="42"/>
      <c r="AC5851" s="42"/>
    </row>
    <row r="5852" spans="15:29" x14ac:dyDescent="0.25">
      <c r="O5852" s="42"/>
      <c r="R5852" s="42"/>
      <c r="AC5852" s="42"/>
    </row>
    <row r="5853" spans="15:29" x14ac:dyDescent="0.25">
      <c r="O5853" s="42"/>
      <c r="R5853" s="42"/>
      <c r="AC5853" s="42"/>
    </row>
    <row r="5854" spans="15:29" x14ac:dyDescent="0.25">
      <c r="O5854" s="42"/>
      <c r="R5854" s="42"/>
      <c r="AC5854" s="42"/>
    </row>
    <row r="5855" spans="15:29" x14ac:dyDescent="0.25">
      <c r="O5855" s="42"/>
      <c r="R5855" s="42"/>
      <c r="AC5855" s="42"/>
    </row>
    <row r="5856" spans="15:29" x14ac:dyDescent="0.25">
      <c r="O5856" s="42"/>
      <c r="R5856" s="42"/>
      <c r="AC5856" s="42"/>
    </row>
    <row r="5857" spans="15:29" x14ac:dyDescent="0.25">
      <c r="O5857" s="42"/>
      <c r="R5857" s="42"/>
      <c r="AC5857" s="42"/>
    </row>
    <row r="5858" spans="15:29" x14ac:dyDescent="0.25">
      <c r="O5858" s="42"/>
      <c r="R5858" s="42"/>
      <c r="AC5858" s="42"/>
    </row>
    <row r="5859" spans="15:29" x14ac:dyDescent="0.25">
      <c r="O5859" s="42"/>
      <c r="R5859" s="42"/>
      <c r="AC5859" s="42"/>
    </row>
    <row r="5860" spans="15:29" x14ac:dyDescent="0.25">
      <c r="O5860" s="42"/>
      <c r="R5860" s="42"/>
      <c r="AC5860" s="42"/>
    </row>
    <row r="5861" spans="15:29" x14ac:dyDescent="0.25">
      <c r="O5861" s="42"/>
      <c r="R5861" s="42"/>
      <c r="AC5861" s="42"/>
    </row>
    <row r="5862" spans="15:29" x14ac:dyDescent="0.25">
      <c r="O5862" s="42"/>
      <c r="R5862" s="42"/>
      <c r="AC5862" s="42"/>
    </row>
    <row r="5863" spans="15:29" x14ac:dyDescent="0.25">
      <c r="O5863" s="42"/>
      <c r="R5863" s="42"/>
      <c r="AC5863" s="42"/>
    </row>
    <row r="5864" spans="15:29" x14ac:dyDescent="0.25">
      <c r="O5864" s="42"/>
      <c r="R5864" s="42"/>
      <c r="AC5864" s="42"/>
    </row>
    <row r="5865" spans="15:29" x14ac:dyDescent="0.25">
      <c r="O5865" s="42"/>
      <c r="R5865" s="42"/>
      <c r="AC5865" s="42"/>
    </row>
    <row r="5866" spans="15:29" x14ac:dyDescent="0.25">
      <c r="O5866" s="42"/>
      <c r="R5866" s="42"/>
      <c r="AC5866" s="42"/>
    </row>
    <row r="5867" spans="15:29" x14ac:dyDescent="0.25">
      <c r="O5867" s="42"/>
      <c r="R5867" s="42"/>
      <c r="AC5867" s="42"/>
    </row>
    <row r="5868" spans="15:29" x14ac:dyDescent="0.25">
      <c r="O5868" s="42"/>
      <c r="R5868" s="42"/>
      <c r="AC5868" s="42"/>
    </row>
    <row r="5869" spans="15:29" x14ac:dyDescent="0.25">
      <c r="O5869" s="42"/>
      <c r="R5869" s="42"/>
      <c r="AC5869" s="42"/>
    </row>
    <row r="5870" spans="15:29" x14ac:dyDescent="0.25">
      <c r="O5870" s="42"/>
      <c r="R5870" s="42"/>
      <c r="AC5870" s="42"/>
    </row>
    <row r="5871" spans="15:29" x14ac:dyDescent="0.25">
      <c r="O5871" s="42"/>
      <c r="R5871" s="42"/>
      <c r="AC5871" s="42"/>
    </row>
    <row r="5872" spans="15:29" x14ac:dyDescent="0.25">
      <c r="O5872" s="42"/>
      <c r="R5872" s="42"/>
      <c r="AC5872" s="42"/>
    </row>
    <row r="5873" spans="15:29" x14ac:dyDescent="0.25">
      <c r="O5873" s="42"/>
      <c r="R5873" s="42"/>
      <c r="AC5873" s="42"/>
    </row>
    <row r="5874" spans="15:29" x14ac:dyDescent="0.25">
      <c r="O5874" s="42"/>
      <c r="R5874" s="42"/>
      <c r="AC5874" s="42"/>
    </row>
    <row r="5875" spans="15:29" x14ac:dyDescent="0.25">
      <c r="O5875" s="42"/>
      <c r="R5875" s="42"/>
      <c r="AC5875" s="42"/>
    </row>
    <row r="5876" spans="15:29" x14ac:dyDescent="0.25">
      <c r="O5876" s="42"/>
      <c r="R5876" s="42"/>
      <c r="AC5876" s="42"/>
    </row>
    <row r="5877" spans="15:29" x14ac:dyDescent="0.25">
      <c r="O5877" s="42"/>
      <c r="R5877" s="42"/>
      <c r="AC5877" s="42"/>
    </row>
    <row r="5878" spans="15:29" x14ac:dyDescent="0.25">
      <c r="O5878" s="42"/>
      <c r="R5878" s="42"/>
      <c r="AC5878" s="42"/>
    </row>
    <row r="5879" spans="15:29" x14ac:dyDescent="0.25">
      <c r="O5879" s="42"/>
      <c r="R5879" s="42"/>
      <c r="AC5879" s="42"/>
    </row>
    <row r="5880" spans="15:29" x14ac:dyDescent="0.25">
      <c r="O5880" s="42"/>
      <c r="R5880" s="42"/>
      <c r="AC5880" s="42"/>
    </row>
    <row r="5881" spans="15:29" x14ac:dyDescent="0.25">
      <c r="O5881" s="42"/>
      <c r="R5881" s="42"/>
      <c r="AC5881" s="42"/>
    </row>
    <row r="5882" spans="15:29" x14ac:dyDescent="0.25">
      <c r="O5882" s="42"/>
      <c r="R5882" s="42"/>
      <c r="AC5882" s="42"/>
    </row>
    <row r="5883" spans="15:29" x14ac:dyDescent="0.25">
      <c r="O5883" s="42"/>
      <c r="R5883" s="42"/>
      <c r="AC5883" s="42"/>
    </row>
    <row r="5884" spans="15:29" x14ac:dyDescent="0.25">
      <c r="O5884" s="42"/>
      <c r="R5884" s="42"/>
      <c r="AC5884" s="42"/>
    </row>
    <row r="5885" spans="15:29" x14ac:dyDescent="0.25">
      <c r="O5885" s="42"/>
      <c r="R5885" s="42"/>
      <c r="AC5885" s="42"/>
    </row>
    <row r="5886" spans="15:29" x14ac:dyDescent="0.25">
      <c r="O5886" s="42"/>
      <c r="R5886" s="42"/>
      <c r="AC5886" s="42"/>
    </row>
    <row r="5887" spans="15:29" x14ac:dyDescent="0.25">
      <c r="O5887" s="42"/>
      <c r="R5887" s="42"/>
      <c r="AC5887" s="42"/>
    </row>
    <row r="5888" spans="15:29" x14ac:dyDescent="0.25">
      <c r="O5888" s="42"/>
      <c r="R5888" s="42"/>
      <c r="AC5888" s="42"/>
    </row>
    <row r="5889" spans="15:29" x14ac:dyDescent="0.25">
      <c r="O5889" s="42"/>
      <c r="R5889" s="42"/>
      <c r="AC5889" s="42"/>
    </row>
    <row r="5890" spans="15:29" x14ac:dyDescent="0.25">
      <c r="O5890" s="42"/>
      <c r="R5890" s="42"/>
      <c r="AC5890" s="42"/>
    </row>
    <row r="5891" spans="15:29" x14ac:dyDescent="0.25">
      <c r="O5891" s="42"/>
      <c r="R5891" s="42"/>
      <c r="AC5891" s="42"/>
    </row>
    <row r="5892" spans="15:29" x14ac:dyDescent="0.25">
      <c r="O5892" s="42"/>
      <c r="R5892" s="42"/>
      <c r="AC5892" s="42"/>
    </row>
    <row r="5893" spans="15:29" x14ac:dyDescent="0.25">
      <c r="O5893" s="42"/>
      <c r="R5893" s="42"/>
      <c r="AC5893" s="42"/>
    </row>
    <row r="5894" spans="15:29" x14ac:dyDescent="0.25">
      <c r="O5894" s="42"/>
      <c r="R5894" s="42"/>
      <c r="AC5894" s="42"/>
    </row>
    <row r="5895" spans="15:29" x14ac:dyDescent="0.25">
      <c r="O5895" s="42"/>
      <c r="R5895" s="42"/>
      <c r="AC5895" s="42"/>
    </row>
    <row r="5896" spans="15:29" x14ac:dyDescent="0.25">
      <c r="O5896" s="42"/>
      <c r="R5896" s="42"/>
      <c r="AC5896" s="42"/>
    </row>
    <row r="5897" spans="15:29" x14ac:dyDescent="0.25">
      <c r="O5897" s="42"/>
      <c r="R5897" s="42"/>
      <c r="AC5897" s="42"/>
    </row>
    <row r="5898" spans="15:29" x14ac:dyDescent="0.25">
      <c r="O5898" s="42"/>
      <c r="R5898" s="42"/>
      <c r="AC5898" s="42"/>
    </row>
    <row r="5899" spans="15:29" x14ac:dyDescent="0.25">
      <c r="O5899" s="42"/>
      <c r="R5899" s="42"/>
      <c r="AC5899" s="42"/>
    </row>
    <row r="5900" spans="15:29" x14ac:dyDescent="0.25">
      <c r="O5900" s="42"/>
      <c r="R5900" s="42"/>
      <c r="AC5900" s="42"/>
    </row>
    <row r="5901" spans="15:29" x14ac:dyDescent="0.25">
      <c r="O5901" s="42"/>
      <c r="R5901" s="42"/>
      <c r="AC5901" s="42"/>
    </row>
    <row r="5902" spans="15:29" x14ac:dyDescent="0.25">
      <c r="O5902" s="42"/>
      <c r="R5902" s="42"/>
      <c r="AC5902" s="42"/>
    </row>
    <row r="5903" spans="15:29" x14ac:dyDescent="0.25">
      <c r="O5903" s="42"/>
      <c r="R5903" s="42"/>
      <c r="AC5903" s="42"/>
    </row>
    <row r="5904" spans="15:29" x14ac:dyDescent="0.25">
      <c r="O5904" s="42"/>
      <c r="R5904" s="42"/>
      <c r="AC5904" s="42"/>
    </row>
    <row r="5905" spans="15:29" x14ac:dyDescent="0.25">
      <c r="O5905" s="42"/>
      <c r="R5905" s="42"/>
      <c r="AC5905" s="42"/>
    </row>
    <row r="5906" spans="15:29" x14ac:dyDescent="0.25">
      <c r="O5906" s="42"/>
      <c r="R5906" s="42"/>
      <c r="AC5906" s="42"/>
    </row>
    <row r="5907" spans="15:29" x14ac:dyDescent="0.25">
      <c r="O5907" s="42"/>
      <c r="R5907" s="42"/>
      <c r="AC5907" s="42"/>
    </row>
    <row r="5908" spans="15:29" x14ac:dyDescent="0.25">
      <c r="O5908" s="42"/>
      <c r="R5908" s="42"/>
      <c r="AC5908" s="42"/>
    </row>
    <row r="5909" spans="15:29" x14ac:dyDescent="0.25">
      <c r="O5909" s="42"/>
      <c r="R5909" s="42"/>
      <c r="AC5909" s="42"/>
    </row>
    <row r="5910" spans="15:29" x14ac:dyDescent="0.25">
      <c r="O5910" s="42"/>
      <c r="R5910" s="42"/>
      <c r="AC5910" s="42"/>
    </row>
    <row r="5911" spans="15:29" x14ac:dyDescent="0.25">
      <c r="O5911" s="42"/>
      <c r="R5911" s="42"/>
      <c r="AC5911" s="42"/>
    </row>
    <row r="5912" spans="15:29" x14ac:dyDescent="0.25">
      <c r="O5912" s="42"/>
      <c r="R5912" s="42"/>
      <c r="AC5912" s="42"/>
    </row>
    <row r="5913" spans="15:29" x14ac:dyDescent="0.25">
      <c r="O5913" s="42"/>
      <c r="R5913" s="42"/>
      <c r="AC5913" s="42"/>
    </row>
    <row r="5914" spans="15:29" x14ac:dyDescent="0.25">
      <c r="O5914" s="42"/>
      <c r="R5914" s="42"/>
      <c r="AC5914" s="42"/>
    </row>
    <row r="5915" spans="15:29" x14ac:dyDescent="0.25">
      <c r="O5915" s="42"/>
      <c r="R5915" s="42"/>
      <c r="AC5915" s="42"/>
    </row>
    <row r="5916" spans="15:29" x14ac:dyDescent="0.25">
      <c r="O5916" s="42"/>
      <c r="R5916" s="42"/>
      <c r="AC5916" s="42"/>
    </row>
    <row r="5917" spans="15:29" x14ac:dyDescent="0.25">
      <c r="O5917" s="42"/>
      <c r="R5917" s="42"/>
      <c r="AC5917" s="42"/>
    </row>
    <row r="5918" spans="15:29" x14ac:dyDescent="0.25">
      <c r="O5918" s="42"/>
      <c r="R5918" s="42"/>
      <c r="AC5918" s="42"/>
    </row>
    <row r="5919" spans="15:29" x14ac:dyDescent="0.25">
      <c r="O5919" s="42"/>
      <c r="R5919" s="42"/>
      <c r="AC5919" s="42"/>
    </row>
    <row r="5920" spans="15:29" x14ac:dyDescent="0.25">
      <c r="O5920" s="42"/>
      <c r="R5920" s="42"/>
      <c r="AC5920" s="42"/>
    </row>
    <row r="5921" spans="15:29" x14ac:dyDescent="0.25">
      <c r="O5921" s="42"/>
      <c r="R5921" s="42"/>
      <c r="AC5921" s="42"/>
    </row>
    <row r="5922" spans="15:29" x14ac:dyDescent="0.25">
      <c r="O5922" s="42"/>
      <c r="R5922" s="42"/>
      <c r="AC5922" s="42"/>
    </row>
    <row r="5923" spans="15:29" x14ac:dyDescent="0.25">
      <c r="O5923" s="42"/>
      <c r="R5923" s="42"/>
      <c r="AC5923" s="42"/>
    </row>
    <row r="5924" spans="15:29" x14ac:dyDescent="0.25">
      <c r="O5924" s="42"/>
      <c r="R5924" s="42"/>
      <c r="AC5924" s="42"/>
    </row>
    <row r="5925" spans="15:29" x14ac:dyDescent="0.25">
      <c r="O5925" s="42"/>
      <c r="R5925" s="42"/>
      <c r="AC5925" s="42"/>
    </row>
    <row r="5926" spans="15:29" x14ac:dyDescent="0.25">
      <c r="O5926" s="42"/>
      <c r="R5926" s="42"/>
      <c r="AC5926" s="42"/>
    </row>
    <row r="5927" spans="15:29" x14ac:dyDescent="0.25">
      <c r="O5927" s="42"/>
      <c r="R5927" s="42"/>
      <c r="AC5927" s="42"/>
    </row>
    <row r="5928" spans="15:29" x14ac:dyDescent="0.25">
      <c r="O5928" s="42"/>
      <c r="R5928" s="42"/>
      <c r="AC5928" s="42"/>
    </row>
    <row r="5929" spans="15:29" x14ac:dyDescent="0.25">
      <c r="O5929" s="42"/>
      <c r="R5929" s="42"/>
      <c r="AC5929" s="42"/>
    </row>
    <row r="5930" spans="15:29" x14ac:dyDescent="0.25">
      <c r="O5930" s="42"/>
      <c r="R5930" s="42"/>
      <c r="AC5930" s="42"/>
    </row>
    <row r="5931" spans="15:29" x14ac:dyDescent="0.25">
      <c r="O5931" s="42"/>
      <c r="R5931" s="42"/>
      <c r="AC5931" s="42"/>
    </row>
    <row r="5932" spans="15:29" x14ac:dyDescent="0.25">
      <c r="O5932" s="42"/>
      <c r="R5932" s="42"/>
      <c r="AC5932" s="42"/>
    </row>
    <row r="5933" spans="15:29" x14ac:dyDescent="0.25">
      <c r="O5933" s="42"/>
      <c r="R5933" s="42"/>
      <c r="AC5933" s="42"/>
    </row>
    <row r="5934" spans="15:29" x14ac:dyDescent="0.25">
      <c r="O5934" s="42"/>
      <c r="R5934" s="42"/>
      <c r="AC5934" s="42"/>
    </row>
    <row r="5935" spans="15:29" x14ac:dyDescent="0.25">
      <c r="O5935" s="42"/>
      <c r="R5935" s="42"/>
      <c r="AC5935" s="42"/>
    </row>
    <row r="5936" spans="15:29" x14ac:dyDescent="0.25">
      <c r="O5936" s="42"/>
      <c r="R5936" s="42"/>
      <c r="AC5936" s="42"/>
    </row>
    <row r="5937" spans="15:29" x14ac:dyDescent="0.25">
      <c r="O5937" s="42"/>
      <c r="R5937" s="42"/>
      <c r="AC5937" s="42"/>
    </row>
    <row r="5938" spans="15:29" x14ac:dyDescent="0.25">
      <c r="O5938" s="42"/>
      <c r="R5938" s="42"/>
      <c r="AC5938" s="42"/>
    </row>
    <row r="5939" spans="15:29" x14ac:dyDescent="0.25">
      <c r="O5939" s="42"/>
      <c r="R5939" s="42"/>
      <c r="AC5939" s="42"/>
    </row>
    <row r="5940" spans="15:29" x14ac:dyDescent="0.25">
      <c r="O5940" s="42"/>
      <c r="R5940" s="42"/>
      <c r="AC5940" s="42"/>
    </row>
    <row r="5941" spans="15:29" x14ac:dyDescent="0.25">
      <c r="O5941" s="42"/>
      <c r="R5941" s="42"/>
      <c r="AC5941" s="42"/>
    </row>
    <row r="5942" spans="15:29" x14ac:dyDescent="0.25">
      <c r="O5942" s="42"/>
      <c r="R5942" s="42"/>
      <c r="AC5942" s="42"/>
    </row>
    <row r="5943" spans="15:29" x14ac:dyDescent="0.25">
      <c r="O5943" s="42"/>
      <c r="R5943" s="42"/>
      <c r="AC5943" s="42"/>
    </row>
    <row r="5944" spans="15:29" x14ac:dyDescent="0.25">
      <c r="O5944" s="42"/>
      <c r="R5944" s="42"/>
      <c r="AC5944" s="42"/>
    </row>
    <row r="5945" spans="15:29" x14ac:dyDescent="0.25">
      <c r="O5945" s="42"/>
      <c r="R5945" s="42"/>
      <c r="AC5945" s="42"/>
    </row>
    <row r="5946" spans="15:29" x14ac:dyDescent="0.25">
      <c r="O5946" s="42"/>
      <c r="R5946" s="42"/>
      <c r="AC5946" s="42"/>
    </row>
    <row r="5947" spans="15:29" x14ac:dyDescent="0.25">
      <c r="O5947" s="42"/>
      <c r="R5947" s="42"/>
      <c r="AC5947" s="42"/>
    </row>
    <row r="5948" spans="15:29" x14ac:dyDescent="0.25">
      <c r="O5948" s="42"/>
      <c r="R5948" s="42"/>
      <c r="AC5948" s="42"/>
    </row>
    <row r="5949" spans="15:29" x14ac:dyDescent="0.25">
      <c r="O5949" s="42"/>
      <c r="R5949" s="42"/>
      <c r="AC5949" s="42"/>
    </row>
    <row r="5950" spans="15:29" x14ac:dyDescent="0.25">
      <c r="O5950" s="42"/>
      <c r="R5950" s="42"/>
      <c r="AC5950" s="42"/>
    </row>
    <row r="5951" spans="15:29" x14ac:dyDescent="0.25">
      <c r="O5951" s="42"/>
      <c r="R5951" s="42"/>
      <c r="AC5951" s="42"/>
    </row>
    <row r="5952" spans="15:29" x14ac:dyDescent="0.25">
      <c r="O5952" s="42"/>
      <c r="R5952" s="42"/>
      <c r="AC5952" s="42"/>
    </row>
    <row r="5953" spans="15:29" x14ac:dyDescent="0.25">
      <c r="O5953" s="42"/>
      <c r="R5953" s="42"/>
      <c r="AC5953" s="42"/>
    </row>
    <row r="5954" spans="15:29" x14ac:dyDescent="0.25">
      <c r="O5954" s="42"/>
      <c r="R5954" s="42"/>
      <c r="AC5954" s="42"/>
    </row>
    <row r="5955" spans="15:29" x14ac:dyDescent="0.25">
      <c r="O5955" s="42"/>
      <c r="R5955" s="42"/>
      <c r="AC5955" s="42"/>
    </row>
    <row r="5956" spans="15:29" x14ac:dyDescent="0.25">
      <c r="O5956" s="42"/>
      <c r="R5956" s="42"/>
      <c r="AC5956" s="42"/>
    </row>
    <row r="5957" spans="15:29" x14ac:dyDescent="0.25">
      <c r="O5957" s="42"/>
      <c r="R5957" s="42"/>
      <c r="AC5957" s="42"/>
    </row>
    <row r="5958" spans="15:29" x14ac:dyDescent="0.25">
      <c r="O5958" s="42"/>
      <c r="R5958" s="42"/>
      <c r="AC5958" s="42"/>
    </row>
    <row r="5959" spans="15:29" x14ac:dyDescent="0.25">
      <c r="O5959" s="42"/>
      <c r="R5959" s="42"/>
      <c r="AC5959" s="42"/>
    </row>
    <row r="5960" spans="15:29" x14ac:dyDescent="0.25">
      <c r="O5960" s="42"/>
      <c r="R5960" s="42"/>
      <c r="AC5960" s="42"/>
    </row>
    <row r="5961" spans="15:29" x14ac:dyDescent="0.25">
      <c r="O5961" s="42"/>
      <c r="R5961" s="42"/>
      <c r="AC5961" s="42"/>
    </row>
    <row r="5962" spans="15:29" x14ac:dyDescent="0.25">
      <c r="O5962" s="42"/>
      <c r="R5962" s="42"/>
      <c r="AC5962" s="42"/>
    </row>
    <row r="5963" spans="15:29" x14ac:dyDescent="0.25">
      <c r="O5963" s="42"/>
      <c r="R5963" s="42"/>
      <c r="AC5963" s="42"/>
    </row>
    <row r="5964" spans="15:29" x14ac:dyDescent="0.25">
      <c r="O5964" s="42"/>
      <c r="R5964" s="42"/>
      <c r="AC5964" s="42"/>
    </row>
    <row r="5965" spans="15:29" x14ac:dyDescent="0.25">
      <c r="O5965" s="42"/>
      <c r="R5965" s="42"/>
      <c r="AC5965" s="42"/>
    </row>
    <row r="5966" spans="15:29" x14ac:dyDescent="0.25">
      <c r="O5966" s="42"/>
      <c r="R5966" s="42"/>
      <c r="AC5966" s="42"/>
    </row>
    <row r="5967" spans="15:29" x14ac:dyDescent="0.25">
      <c r="O5967" s="42"/>
      <c r="R5967" s="42"/>
      <c r="AC5967" s="42"/>
    </row>
    <row r="5968" spans="15:29" x14ac:dyDescent="0.25">
      <c r="O5968" s="42"/>
      <c r="R5968" s="42"/>
      <c r="AC5968" s="42"/>
    </row>
    <row r="5969" spans="15:29" x14ac:dyDescent="0.25">
      <c r="O5969" s="42"/>
      <c r="R5969" s="42"/>
      <c r="AC5969" s="42"/>
    </row>
    <row r="5970" spans="15:29" x14ac:dyDescent="0.25">
      <c r="O5970" s="42"/>
      <c r="R5970" s="42"/>
      <c r="AC5970" s="42"/>
    </row>
    <row r="5971" spans="15:29" x14ac:dyDescent="0.25">
      <c r="O5971" s="42"/>
      <c r="R5971" s="42"/>
      <c r="AC5971" s="42"/>
    </row>
    <row r="5972" spans="15:29" x14ac:dyDescent="0.25">
      <c r="O5972" s="42"/>
      <c r="R5972" s="42"/>
      <c r="AC5972" s="42"/>
    </row>
    <row r="5973" spans="15:29" x14ac:dyDescent="0.25">
      <c r="O5973" s="42"/>
      <c r="R5973" s="42"/>
      <c r="AC5973" s="42"/>
    </row>
    <row r="5974" spans="15:29" x14ac:dyDescent="0.25">
      <c r="O5974" s="42"/>
      <c r="R5974" s="42"/>
      <c r="AC5974" s="42"/>
    </row>
    <row r="5975" spans="15:29" x14ac:dyDescent="0.25">
      <c r="O5975" s="42"/>
      <c r="R5975" s="42"/>
      <c r="AC5975" s="42"/>
    </row>
    <row r="5976" spans="15:29" x14ac:dyDescent="0.25">
      <c r="O5976" s="42"/>
      <c r="R5976" s="42"/>
      <c r="AC5976" s="42"/>
    </row>
    <row r="5977" spans="15:29" x14ac:dyDescent="0.25">
      <c r="O5977" s="42"/>
      <c r="R5977" s="42"/>
      <c r="AC5977" s="42"/>
    </row>
    <row r="5978" spans="15:29" x14ac:dyDescent="0.25">
      <c r="O5978" s="42"/>
      <c r="R5978" s="42"/>
      <c r="AC5978" s="42"/>
    </row>
    <row r="5979" spans="15:29" x14ac:dyDescent="0.25">
      <c r="O5979" s="42"/>
      <c r="R5979" s="42"/>
      <c r="AC5979" s="42"/>
    </row>
    <row r="5980" spans="15:29" x14ac:dyDescent="0.25">
      <c r="O5980" s="42"/>
      <c r="R5980" s="42"/>
      <c r="AC5980" s="42"/>
    </row>
    <row r="5981" spans="15:29" x14ac:dyDescent="0.25">
      <c r="O5981" s="42"/>
      <c r="R5981" s="42"/>
      <c r="AC5981" s="42"/>
    </row>
    <row r="5982" spans="15:29" x14ac:dyDescent="0.25">
      <c r="O5982" s="42"/>
      <c r="R5982" s="42"/>
      <c r="AC5982" s="42"/>
    </row>
    <row r="5983" spans="15:29" x14ac:dyDescent="0.25">
      <c r="O5983" s="42"/>
      <c r="R5983" s="42"/>
      <c r="AC5983" s="42"/>
    </row>
    <row r="5984" spans="15:29" x14ac:dyDescent="0.25">
      <c r="O5984" s="42"/>
      <c r="R5984" s="42"/>
      <c r="AC5984" s="42"/>
    </row>
    <row r="5985" spans="15:29" x14ac:dyDescent="0.25">
      <c r="O5985" s="42"/>
      <c r="R5985" s="42"/>
      <c r="AC5985" s="42"/>
    </row>
    <row r="5986" spans="15:29" x14ac:dyDescent="0.25">
      <c r="O5986" s="42"/>
      <c r="R5986" s="42"/>
      <c r="AC5986" s="42"/>
    </row>
    <row r="5987" spans="15:29" x14ac:dyDescent="0.25">
      <c r="O5987" s="42"/>
      <c r="R5987" s="42"/>
      <c r="AC5987" s="42"/>
    </row>
    <row r="5988" spans="15:29" x14ac:dyDescent="0.25">
      <c r="O5988" s="42"/>
      <c r="R5988" s="42"/>
      <c r="AC5988" s="42"/>
    </row>
    <row r="5989" spans="15:29" x14ac:dyDescent="0.25">
      <c r="O5989" s="42"/>
      <c r="R5989" s="42"/>
      <c r="AC5989" s="42"/>
    </row>
    <row r="5990" spans="15:29" x14ac:dyDescent="0.25">
      <c r="O5990" s="42"/>
      <c r="R5990" s="42"/>
      <c r="AC5990" s="42"/>
    </row>
    <row r="5991" spans="15:29" x14ac:dyDescent="0.25">
      <c r="O5991" s="42"/>
      <c r="R5991" s="42"/>
      <c r="AC5991" s="42"/>
    </row>
    <row r="5992" spans="15:29" x14ac:dyDescent="0.25">
      <c r="O5992" s="42"/>
      <c r="R5992" s="42"/>
      <c r="AC5992" s="42"/>
    </row>
    <row r="5993" spans="15:29" x14ac:dyDescent="0.25">
      <c r="O5993" s="42"/>
      <c r="R5993" s="42"/>
      <c r="AC5993" s="42"/>
    </row>
    <row r="5994" spans="15:29" x14ac:dyDescent="0.25">
      <c r="O5994" s="42"/>
      <c r="R5994" s="42"/>
      <c r="AC5994" s="42"/>
    </row>
    <row r="5995" spans="15:29" x14ac:dyDescent="0.25">
      <c r="O5995" s="42"/>
      <c r="R5995" s="42"/>
      <c r="AC5995" s="42"/>
    </row>
    <row r="5996" spans="15:29" x14ac:dyDescent="0.25">
      <c r="O5996" s="42"/>
      <c r="R5996" s="42"/>
      <c r="AC5996" s="42"/>
    </row>
    <row r="5997" spans="15:29" x14ac:dyDescent="0.25">
      <c r="O5997" s="42"/>
      <c r="R5997" s="42"/>
      <c r="AC5997" s="42"/>
    </row>
    <row r="5998" spans="15:29" x14ac:dyDescent="0.25">
      <c r="O5998" s="42"/>
      <c r="R5998" s="42"/>
      <c r="AC5998" s="42"/>
    </row>
    <row r="5999" spans="15:29" x14ac:dyDescent="0.25">
      <c r="O5999" s="42"/>
      <c r="R5999" s="42"/>
      <c r="AC5999" s="42"/>
    </row>
    <row r="6000" spans="15:29" x14ac:dyDescent="0.25">
      <c r="O6000" s="42"/>
      <c r="R6000" s="42"/>
      <c r="AC6000" s="42"/>
    </row>
    <row r="6001" spans="15:29" x14ac:dyDescent="0.25">
      <c r="O6001" s="42"/>
      <c r="R6001" s="42"/>
      <c r="AC6001" s="42"/>
    </row>
    <row r="6002" spans="15:29" x14ac:dyDescent="0.25">
      <c r="O6002" s="42"/>
      <c r="R6002" s="42"/>
      <c r="AC6002" s="42"/>
    </row>
    <row r="6003" spans="15:29" x14ac:dyDescent="0.25">
      <c r="O6003" s="42"/>
      <c r="R6003" s="42"/>
      <c r="AC6003" s="42"/>
    </row>
    <row r="6004" spans="15:29" x14ac:dyDescent="0.25">
      <c r="O6004" s="42"/>
      <c r="R6004" s="42"/>
      <c r="AC6004" s="42"/>
    </row>
    <row r="6005" spans="15:29" x14ac:dyDescent="0.25">
      <c r="O6005" s="42"/>
      <c r="R6005" s="42"/>
      <c r="AC6005" s="42"/>
    </row>
    <row r="6006" spans="15:29" x14ac:dyDescent="0.25">
      <c r="O6006" s="42"/>
      <c r="R6006" s="42"/>
      <c r="AC6006" s="42"/>
    </row>
    <row r="6007" spans="15:29" x14ac:dyDescent="0.25">
      <c r="O6007" s="42"/>
      <c r="R6007" s="42"/>
      <c r="AC6007" s="42"/>
    </row>
    <row r="6008" spans="15:29" x14ac:dyDescent="0.25">
      <c r="O6008" s="42"/>
      <c r="R6008" s="42"/>
      <c r="AC6008" s="42"/>
    </row>
    <row r="6009" spans="15:29" x14ac:dyDescent="0.25">
      <c r="O6009" s="42"/>
      <c r="R6009" s="42"/>
      <c r="AC6009" s="42"/>
    </row>
    <row r="6010" spans="15:29" x14ac:dyDescent="0.25">
      <c r="O6010" s="42"/>
      <c r="R6010" s="42"/>
      <c r="AC6010" s="42"/>
    </row>
    <row r="6011" spans="15:29" x14ac:dyDescent="0.25">
      <c r="O6011" s="42"/>
      <c r="R6011" s="42"/>
      <c r="AC6011" s="42"/>
    </row>
    <row r="6012" spans="15:29" x14ac:dyDescent="0.25">
      <c r="O6012" s="42"/>
      <c r="R6012" s="42"/>
      <c r="AC6012" s="42"/>
    </row>
    <row r="6013" spans="15:29" x14ac:dyDescent="0.25">
      <c r="O6013" s="42"/>
      <c r="R6013" s="42"/>
      <c r="AC6013" s="42"/>
    </row>
    <row r="6014" spans="15:29" x14ac:dyDescent="0.25">
      <c r="O6014" s="42"/>
      <c r="R6014" s="42"/>
      <c r="AC6014" s="42"/>
    </row>
    <row r="6015" spans="15:29" x14ac:dyDescent="0.25">
      <c r="O6015" s="42"/>
      <c r="R6015" s="42"/>
      <c r="AC6015" s="42"/>
    </row>
    <row r="6016" spans="15:29" x14ac:dyDescent="0.25">
      <c r="O6016" s="42"/>
      <c r="R6016" s="42"/>
      <c r="AC6016" s="42"/>
    </row>
    <row r="6017" spans="15:29" x14ac:dyDescent="0.25">
      <c r="O6017" s="42"/>
      <c r="R6017" s="42"/>
      <c r="AC6017" s="42"/>
    </row>
    <row r="6018" spans="15:29" x14ac:dyDescent="0.25">
      <c r="O6018" s="42"/>
      <c r="R6018" s="42"/>
      <c r="AC6018" s="42"/>
    </row>
    <row r="6019" spans="15:29" x14ac:dyDescent="0.25">
      <c r="O6019" s="42"/>
      <c r="R6019" s="42"/>
      <c r="AC6019" s="42"/>
    </row>
    <row r="6020" spans="15:29" x14ac:dyDescent="0.25">
      <c r="O6020" s="42"/>
      <c r="R6020" s="42"/>
      <c r="AC6020" s="42"/>
    </row>
    <row r="6021" spans="15:29" x14ac:dyDescent="0.25">
      <c r="O6021" s="42"/>
      <c r="R6021" s="42"/>
      <c r="AC6021" s="42"/>
    </row>
    <row r="6022" spans="15:29" x14ac:dyDescent="0.25">
      <c r="O6022" s="42"/>
      <c r="R6022" s="42"/>
      <c r="AC6022" s="42"/>
    </row>
    <row r="6023" spans="15:29" x14ac:dyDescent="0.25">
      <c r="O6023" s="42"/>
      <c r="R6023" s="42"/>
      <c r="AC6023" s="42"/>
    </row>
    <row r="6024" spans="15:29" x14ac:dyDescent="0.25">
      <c r="O6024" s="42"/>
      <c r="R6024" s="42"/>
      <c r="AC6024" s="42"/>
    </row>
    <row r="6025" spans="15:29" x14ac:dyDescent="0.25">
      <c r="O6025" s="42"/>
      <c r="R6025" s="42"/>
      <c r="AC6025" s="42"/>
    </row>
    <row r="6026" spans="15:29" x14ac:dyDescent="0.25">
      <c r="O6026" s="42"/>
      <c r="R6026" s="42"/>
      <c r="AC6026" s="42"/>
    </row>
    <row r="6027" spans="15:29" x14ac:dyDescent="0.25">
      <c r="O6027" s="42"/>
      <c r="R6027" s="42"/>
      <c r="AC6027" s="42"/>
    </row>
    <row r="6028" spans="15:29" x14ac:dyDescent="0.25">
      <c r="O6028" s="42"/>
      <c r="R6028" s="42"/>
      <c r="AC6028" s="42"/>
    </row>
    <row r="6029" spans="15:29" x14ac:dyDescent="0.25">
      <c r="O6029" s="42"/>
      <c r="R6029" s="42"/>
      <c r="AC6029" s="42"/>
    </row>
    <row r="6030" spans="15:29" x14ac:dyDescent="0.25">
      <c r="O6030" s="42"/>
      <c r="R6030" s="42"/>
      <c r="AC6030" s="42"/>
    </row>
    <row r="6031" spans="15:29" x14ac:dyDescent="0.25">
      <c r="O6031" s="42"/>
      <c r="R6031" s="42"/>
      <c r="AC6031" s="42"/>
    </row>
    <row r="6032" spans="15:29" x14ac:dyDescent="0.25">
      <c r="O6032" s="42"/>
      <c r="R6032" s="42"/>
      <c r="AC6032" s="42"/>
    </row>
    <row r="6033" spans="15:29" x14ac:dyDescent="0.25">
      <c r="O6033" s="42"/>
      <c r="R6033" s="42"/>
      <c r="AC6033" s="42"/>
    </row>
    <row r="6034" spans="15:29" x14ac:dyDescent="0.25">
      <c r="O6034" s="42"/>
      <c r="R6034" s="42"/>
      <c r="AC6034" s="42"/>
    </row>
    <row r="6035" spans="15:29" x14ac:dyDescent="0.25">
      <c r="O6035" s="42"/>
      <c r="R6035" s="42"/>
      <c r="AC6035" s="42"/>
    </row>
    <row r="6036" spans="15:29" x14ac:dyDescent="0.25">
      <c r="O6036" s="42"/>
      <c r="R6036" s="42"/>
      <c r="AC6036" s="42"/>
    </row>
    <row r="6037" spans="15:29" x14ac:dyDescent="0.25">
      <c r="O6037" s="42"/>
      <c r="R6037" s="42"/>
      <c r="AC6037" s="42"/>
    </row>
    <row r="6038" spans="15:29" x14ac:dyDescent="0.25">
      <c r="O6038" s="42"/>
      <c r="R6038" s="42"/>
      <c r="AC6038" s="42"/>
    </row>
    <row r="6039" spans="15:29" x14ac:dyDescent="0.25">
      <c r="O6039" s="42"/>
      <c r="R6039" s="42"/>
      <c r="AC6039" s="42"/>
    </row>
    <row r="6040" spans="15:29" x14ac:dyDescent="0.25">
      <c r="O6040" s="42"/>
      <c r="R6040" s="42"/>
      <c r="AC6040" s="42"/>
    </row>
    <row r="6041" spans="15:29" x14ac:dyDescent="0.25">
      <c r="O6041" s="42"/>
      <c r="R6041" s="42"/>
      <c r="AC6041" s="42"/>
    </row>
    <row r="6042" spans="15:29" x14ac:dyDescent="0.25">
      <c r="O6042" s="42"/>
      <c r="R6042" s="42"/>
      <c r="AC6042" s="42"/>
    </row>
    <row r="6043" spans="15:29" x14ac:dyDescent="0.25">
      <c r="O6043" s="42"/>
      <c r="R6043" s="42"/>
      <c r="AC6043" s="42"/>
    </row>
    <row r="6044" spans="15:29" x14ac:dyDescent="0.25">
      <c r="O6044" s="42"/>
      <c r="R6044" s="42"/>
      <c r="AC6044" s="42"/>
    </row>
    <row r="6045" spans="15:29" x14ac:dyDescent="0.25">
      <c r="O6045" s="42"/>
      <c r="R6045" s="42"/>
      <c r="AC6045" s="42"/>
    </row>
    <row r="6046" spans="15:29" x14ac:dyDescent="0.25">
      <c r="O6046" s="42"/>
      <c r="R6046" s="42"/>
      <c r="AC6046" s="42"/>
    </row>
    <row r="6047" spans="15:29" x14ac:dyDescent="0.25">
      <c r="O6047" s="42"/>
      <c r="R6047" s="42"/>
      <c r="AC6047" s="42"/>
    </row>
    <row r="6048" spans="15:29" x14ac:dyDescent="0.25">
      <c r="O6048" s="42"/>
      <c r="R6048" s="42"/>
      <c r="AC6048" s="42"/>
    </row>
    <row r="6049" spans="15:29" x14ac:dyDescent="0.25">
      <c r="O6049" s="42"/>
      <c r="R6049" s="42"/>
      <c r="AC6049" s="42"/>
    </row>
    <row r="6050" spans="15:29" x14ac:dyDescent="0.25">
      <c r="O6050" s="42"/>
      <c r="R6050" s="42"/>
      <c r="AC6050" s="42"/>
    </row>
    <row r="6051" spans="15:29" x14ac:dyDescent="0.25">
      <c r="O6051" s="42"/>
      <c r="R6051" s="42"/>
      <c r="AC6051" s="42"/>
    </row>
    <row r="6052" spans="15:29" x14ac:dyDescent="0.25">
      <c r="O6052" s="42"/>
      <c r="R6052" s="42"/>
      <c r="AC6052" s="42"/>
    </row>
    <row r="6053" spans="15:29" x14ac:dyDescent="0.25">
      <c r="O6053" s="42"/>
      <c r="R6053" s="42"/>
      <c r="AC6053" s="42"/>
    </row>
    <row r="6054" spans="15:29" x14ac:dyDescent="0.25">
      <c r="O6054" s="42"/>
      <c r="R6054" s="42"/>
      <c r="AC6054" s="42"/>
    </row>
    <row r="6055" spans="15:29" x14ac:dyDescent="0.25">
      <c r="O6055" s="42"/>
      <c r="R6055" s="42"/>
      <c r="AC6055" s="42"/>
    </row>
    <row r="6056" spans="15:29" x14ac:dyDescent="0.25">
      <c r="O6056" s="42"/>
      <c r="R6056" s="42"/>
      <c r="AC6056" s="42"/>
    </row>
    <row r="6057" spans="15:29" x14ac:dyDescent="0.25">
      <c r="O6057" s="42"/>
      <c r="R6057" s="42"/>
      <c r="AC6057" s="42"/>
    </row>
    <row r="6058" spans="15:29" x14ac:dyDescent="0.25">
      <c r="O6058" s="42"/>
      <c r="R6058" s="42"/>
      <c r="AC6058" s="42"/>
    </row>
    <row r="6059" spans="15:29" x14ac:dyDescent="0.25">
      <c r="O6059" s="42"/>
      <c r="R6059" s="42"/>
      <c r="AC6059" s="42"/>
    </row>
    <row r="6060" spans="15:29" x14ac:dyDescent="0.25">
      <c r="O6060" s="42"/>
      <c r="R6060" s="42"/>
      <c r="AC6060" s="42"/>
    </row>
    <row r="6061" spans="15:29" x14ac:dyDescent="0.25">
      <c r="O6061" s="42"/>
      <c r="R6061" s="42"/>
      <c r="AC6061" s="42"/>
    </row>
    <row r="6062" spans="15:29" x14ac:dyDescent="0.25">
      <c r="O6062" s="42"/>
      <c r="R6062" s="42"/>
      <c r="AC6062" s="42"/>
    </row>
    <row r="6063" spans="15:29" x14ac:dyDescent="0.25">
      <c r="O6063" s="42"/>
      <c r="R6063" s="42"/>
      <c r="AC6063" s="42"/>
    </row>
    <row r="6064" spans="15:29" x14ac:dyDescent="0.25">
      <c r="O6064" s="42"/>
      <c r="R6064" s="42"/>
      <c r="AC6064" s="42"/>
    </row>
    <row r="6065" spans="15:29" x14ac:dyDescent="0.25">
      <c r="O6065" s="42"/>
      <c r="R6065" s="42"/>
      <c r="AC6065" s="42"/>
    </row>
    <row r="6066" spans="15:29" x14ac:dyDescent="0.25">
      <c r="O6066" s="42"/>
      <c r="R6066" s="42"/>
      <c r="AC6066" s="42"/>
    </row>
    <row r="6067" spans="15:29" x14ac:dyDescent="0.25">
      <c r="O6067" s="42"/>
      <c r="R6067" s="42"/>
      <c r="AC6067" s="42"/>
    </row>
    <row r="6068" spans="15:29" x14ac:dyDescent="0.25">
      <c r="O6068" s="42"/>
      <c r="R6068" s="42"/>
      <c r="AC6068" s="42"/>
    </row>
    <row r="6069" spans="15:29" x14ac:dyDescent="0.25">
      <c r="O6069" s="42"/>
      <c r="R6069" s="42"/>
      <c r="AC6069" s="42"/>
    </row>
    <row r="6070" spans="15:29" x14ac:dyDescent="0.25">
      <c r="O6070" s="42"/>
      <c r="R6070" s="42"/>
      <c r="AC6070" s="42"/>
    </row>
    <row r="6071" spans="15:29" x14ac:dyDescent="0.25">
      <c r="O6071" s="42"/>
      <c r="R6071" s="42"/>
      <c r="AC6071" s="42"/>
    </row>
    <row r="6072" spans="15:29" x14ac:dyDescent="0.25">
      <c r="O6072" s="42"/>
      <c r="R6072" s="42"/>
      <c r="AC6072" s="42"/>
    </row>
    <row r="6073" spans="15:29" x14ac:dyDescent="0.25">
      <c r="O6073" s="42"/>
      <c r="R6073" s="42"/>
      <c r="AC6073" s="42"/>
    </row>
    <row r="6074" spans="15:29" x14ac:dyDescent="0.25">
      <c r="O6074" s="42"/>
      <c r="R6074" s="42"/>
      <c r="AC6074" s="42"/>
    </row>
    <row r="6075" spans="15:29" x14ac:dyDescent="0.25">
      <c r="O6075" s="42"/>
      <c r="R6075" s="42"/>
      <c r="AC6075" s="42"/>
    </row>
    <row r="6076" spans="15:29" x14ac:dyDescent="0.25">
      <c r="O6076" s="42"/>
      <c r="R6076" s="42"/>
      <c r="AC6076" s="42"/>
    </row>
    <row r="6077" spans="15:29" x14ac:dyDescent="0.25">
      <c r="O6077" s="42"/>
      <c r="R6077" s="42"/>
      <c r="AC6077" s="42"/>
    </row>
    <row r="6078" spans="15:29" x14ac:dyDescent="0.25">
      <c r="O6078" s="42"/>
      <c r="R6078" s="42"/>
      <c r="AC6078" s="42"/>
    </row>
    <row r="6079" spans="15:29" x14ac:dyDescent="0.25">
      <c r="O6079" s="42"/>
      <c r="R6079" s="42"/>
      <c r="AC6079" s="42"/>
    </row>
    <row r="6080" spans="15:29" x14ac:dyDescent="0.25">
      <c r="O6080" s="42"/>
      <c r="R6080" s="42"/>
      <c r="AC6080" s="42"/>
    </row>
    <row r="6081" spans="15:29" x14ac:dyDescent="0.25">
      <c r="O6081" s="42"/>
      <c r="R6081" s="42"/>
      <c r="AC6081" s="42"/>
    </row>
    <row r="6082" spans="15:29" x14ac:dyDescent="0.25">
      <c r="O6082" s="42"/>
      <c r="R6082" s="42"/>
      <c r="AC6082" s="42"/>
    </row>
    <row r="6083" spans="15:29" x14ac:dyDescent="0.25">
      <c r="O6083" s="42"/>
      <c r="R6083" s="42"/>
      <c r="AC6083" s="42"/>
    </row>
    <row r="6084" spans="15:29" x14ac:dyDescent="0.25">
      <c r="O6084" s="42"/>
      <c r="R6084" s="42"/>
      <c r="AC6084" s="42"/>
    </row>
    <row r="6085" spans="15:29" x14ac:dyDescent="0.25">
      <c r="O6085" s="42"/>
      <c r="R6085" s="42"/>
      <c r="AC6085" s="42"/>
    </row>
    <row r="6086" spans="15:29" x14ac:dyDescent="0.25">
      <c r="O6086" s="42"/>
      <c r="R6086" s="42"/>
      <c r="AC6086" s="42"/>
    </row>
    <row r="6087" spans="15:29" x14ac:dyDescent="0.25">
      <c r="O6087" s="42"/>
      <c r="R6087" s="42"/>
      <c r="AC6087" s="42"/>
    </row>
    <row r="6088" spans="15:29" x14ac:dyDescent="0.25">
      <c r="O6088" s="42"/>
      <c r="R6088" s="42"/>
      <c r="AC6088" s="42"/>
    </row>
    <row r="6089" spans="15:29" x14ac:dyDescent="0.25">
      <c r="O6089" s="42"/>
      <c r="R6089" s="42"/>
      <c r="AC6089" s="42"/>
    </row>
    <row r="6090" spans="15:29" x14ac:dyDescent="0.25">
      <c r="O6090" s="42"/>
      <c r="R6090" s="42"/>
      <c r="AC6090" s="42"/>
    </row>
    <row r="6091" spans="15:29" x14ac:dyDescent="0.25">
      <c r="O6091" s="42"/>
      <c r="R6091" s="42"/>
      <c r="AC6091" s="42"/>
    </row>
    <row r="6092" spans="15:29" x14ac:dyDescent="0.25">
      <c r="O6092" s="42"/>
      <c r="R6092" s="42"/>
      <c r="AC6092" s="42"/>
    </row>
    <row r="6093" spans="15:29" x14ac:dyDescent="0.25">
      <c r="O6093" s="42"/>
      <c r="R6093" s="42"/>
      <c r="AC6093" s="42"/>
    </row>
    <row r="6094" spans="15:29" x14ac:dyDescent="0.25">
      <c r="O6094" s="42"/>
      <c r="R6094" s="42"/>
      <c r="AC6094" s="42"/>
    </row>
    <row r="6095" spans="15:29" x14ac:dyDescent="0.25">
      <c r="O6095" s="42"/>
      <c r="R6095" s="42"/>
      <c r="AC6095" s="42"/>
    </row>
    <row r="6096" spans="15:29" x14ac:dyDescent="0.25">
      <c r="O6096" s="42"/>
      <c r="R6096" s="42"/>
      <c r="AC6096" s="42"/>
    </row>
    <row r="6097" spans="15:29" x14ac:dyDescent="0.25">
      <c r="O6097" s="42"/>
      <c r="R6097" s="42"/>
      <c r="AC6097" s="42"/>
    </row>
    <row r="6098" spans="15:29" x14ac:dyDescent="0.25">
      <c r="O6098" s="42"/>
      <c r="R6098" s="42"/>
      <c r="AC6098" s="42"/>
    </row>
    <row r="6099" spans="15:29" x14ac:dyDescent="0.25">
      <c r="O6099" s="42"/>
      <c r="R6099" s="42"/>
      <c r="AC6099" s="42"/>
    </row>
    <row r="6100" spans="15:29" x14ac:dyDescent="0.25">
      <c r="O6100" s="42"/>
      <c r="R6100" s="42"/>
      <c r="AC6100" s="42"/>
    </row>
    <row r="6101" spans="15:29" x14ac:dyDescent="0.25">
      <c r="O6101" s="42"/>
      <c r="R6101" s="42"/>
      <c r="AC6101" s="42"/>
    </row>
    <row r="6102" spans="15:29" x14ac:dyDescent="0.25">
      <c r="O6102" s="42"/>
      <c r="R6102" s="42"/>
      <c r="AC6102" s="42"/>
    </row>
    <row r="6103" spans="15:29" x14ac:dyDescent="0.25">
      <c r="O6103" s="42"/>
      <c r="R6103" s="42"/>
      <c r="AC6103" s="42"/>
    </row>
    <row r="6104" spans="15:29" x14ac:dyDescent="0.25">
      <c r="O6104" s="42"/>
      <c r="R6104" s="42"/>
      <c r="AC6104" s="42"/>
    </row>
    <row r="6105" spans="15:29" x14ac:dyDescent="0.25">
      <c r="O6105" s="42"/>
      <c r="R6105" s="42"/>
      <c r="AC6105" s="42"/>
    </row>
    <row r="6106" spans="15:29" x14ac:dyDescent="0.25">
      <c r="O6106" s="42"/>
      <c r="R6106" s="42"/>
      <c r="AC6106" s="42"/>
    </row>
    <row r="6107" spans="15:29" x14ac:dyDescent="0.25">
      <c r="O6107" s="42"/>
      <c r="R6107" s="42"/>
      <c r="AC6107" s="42"/>
    </row>
    <row r="6108" spans="15:29" x14ac:dyDescent="0.25">
      <c r="O6108" s="42"/>
      <c r="R6108" s="42"/>
      <c r="AC6108" s="42"/>
    </row>
    <row r="6109" spans="15:29" x14ac:dyDescent="0.25">
      <c r="O6109" s="42"/>
      <c r="R6109" s="42"/>
      <c r="AC6109" s="42"/>
    </row>
    <row r="6110" spans="15:29" x14ac:dyDescent="0.25">
      <c r="O6110" s="42"/>
      <c r="R6110" s="42"/>
      <c r="AC6110" s="42"/>
    </row>
    <row r="6111" spans="15:29" x14ac:dyDescent="0.25">
      <c r="O6111" s="42"/>
      <c r="R6111" s="42"/>
      <c r="AC6111" s="42"/>
    </row>
    <row r="6112" spans="15:29" x14ac:dyDescent="0.25">
      <c r="O6112" s="42"/>
      <c r="R6112" s="42"/>
      <c r="AC6112" s="42"/>
    </row>
    <row r="6113" spans="15:29" x14ac:dyDescent="0.25">
      <c r="O6113" s="42"/>
      <c r="R6113" s="42"/>
      <c r="AC6113" s="42"/>
    </row>
    <row r="6114" spans="15:29" x14ac:dyDescent="0.25">
      <c r="O6114" s="42"/>
      <c r="R6114" s="42"/>
      <c r="AC6114" s="42"/>
    </row>
    <row r="6115" spans="15:29" x14ac:dyDescent="0.25">
      <c r="O6115" s="42"/>
      <c r="R6115" s="42"/>
      <c r="AC6115" s="42"/>
    </row>
    <row r="6116" spans="15:29" x14ac:dyDescent="0.25">
      <c r="O6116" s="42"/>
      <c r="R6116" s="42"/>
      <c r="AC6116" s="42"/>
    </row>
    <row r="6117" spans="15:29" x14ac:dyDescent="0.25">
      <c r="O6117" s="42"/>
      <c r="R6117" s="42"/>
      <c r="AC6117" s="42"/>
    </row>
    <row r="6118" spans="15:29" x14ac:dyDescent="0.25">
      <c r="O6118" s="42"/>
      <c r="R6118" s="42"/>
      <c r="AC6118" s="42"/>
    </row>
    <row r="6119" spans="15:29" x14ac:dyDescent="0.25">
      <c r="O6119" s="42"/>
      <c r="R6119" s="42"/>
      <c r="AC6119" s="42"/>
    </row>
    <row r="6120" spans="15:29" x14ac:dyDescent="0.25">
      <c r="O6120" s="42"/>
      <c r="R6120" s="42"/>
      <c r="AC6120" s="42"/>
    </row>
    <row r="6121" spans="15:29" x14ac:dyDescent="0.25">
      <c r="O6121" s="42"/>
      <c r="R6121" s="42"/>
      <c r="AC6121" s="42"/>
    </row>
    <row r="6122" spans="15:29" x14ac:dyDescent="0.25">
      <c r="O6122" s="42"/>
      <c r="R6122" s="42"/>
      <c r="AC6122" s="42"/>
    </row>
    <row r="6123" spans="15:29" x14ac:dyDescent="0.25">
      <c r="O6123" s="42"/>
      <c r="R6123" s="42"/>
      <c r="AC6123" s="42"/>
    </row>
    <row r="6124" spans="15:29" x14ac:dyDescent="0.25">
      <c r="O6124" s="42"/>
      <c r="R6124" s="42"/>
      <c r="AC6124" s="42"/>
    </row>
    <row r="6125" spans="15:29" x14ac:dyDescent="0.25">
      <c r="O6125" s="42"/>
      <c r="R6125" s="42"/>
      <c r="AC6125" s="42"/>
    </row>
    <row r="6126" spans="15:29" x14ac:dyDescent="0.25">
      <c r="O6126" s="42"/>
      <c r="R6126" s="42"/>
      <c r="AC6126" s="42"/>
    </row>
    <row r="6127" spans="15:29" x14ac:dyDescent="0.25">
      <c r="O6127" s="42"/>
      <c r="R6127" s="42"/>
      <c r="AC6127" s="42"/>
    </row>
    <row r="6128" spans="15:29" x14ac:dyDescent="0.25">
      <c r="O6128" s="42"/>
      <c r="R6128" s="42"/>
      <c r="AC6128" s="42"/>
    </row>
    <row r="6129" spans="15:29" x14ac:dyDescent="0.25">
      <c r="O6129" s="42"/>
      <c r="R6129" s="42"/>
      <c r="AC6129" s="42"/>
    </row>
    <row r="6130" spans="15:29" x14ac:dyDescent="0.25">
      <c r="O6130" s="42"/>
      <c r="R6130" s="42"/>
      <c r="AC6130" s="42"/>
    </row>
    <row r="6131" spans="15:29" x14ac:dyDescent="0.25">
      <c r="O6131" s="42"/>
      <c r="R6131" s="42"/>
      <c r="AC6131" s="42"/>
    </row>
    <row r="6132" spans="15:29" x14ac:dyDescent="0.25">
      <c r="O6132" s="42"/>
      <c r="R6132" s="42"/>
      <c r="AC6132" s="42"/>
    </row>
    <row r="6133" spans="15:29" x14ac:dyDescent="0.25">
      <c r="O6133" s="42"/>
      <c r="R6133" s="42"/>
      <c r="AC6133" s="42"/>
    </row>
    <row r="6134" spans="15:29" x14ac:dyDescent="0.25">
      <c r="O6134" s="42"/>
      <c r="R6134" s="42"/>
      <c r="AC6134" s="42"/>
    </row>
    <row r="6135" spans="15:29" x14ac:dyDescent="0.25">
      <c r="O6135" s="42"/>
      <c r="R6135" s="42"/>
      <c r="AC6135" s="42"/>
    </row>
    <row r="6136" spans="15:29" x14ac:dyDescent="0.25">
      <c r="O6136" s="42"/>
      <c r="R6136" s="42"/>
      <c r="AC6136" s="42"/>
    </row>
    <row r="6137" spans="15:29" x14ac:dyDescent="0.25">
      <c r="O6137" s="42"/>
      <c r="R6137" s="42"/>
      <c r="AC6137" s="42"/>
    </row>
    <row r="6138" spans="15:29" x14ac:dyDescent="0.25">
      <c r="O6138" s="42"/>
      <c r="R6138" s="42"/>
      <c r="AC6138" s="42"/>
    </row>
    <row r="6139" spans="15:29" x14ac:dyDescent="0.25">
      <c r="O6139" s="42"/>
      <c r="R6139" s="42"/>
      <c r="AC6139" s="42"/>
    </row>
    <row r="6140" spans="15:29" x14ac:dyDescent="0.25">
      <c r="O6140" s="42"/>
      <c r="R6140" s="42"/>
      <c r="AC6140" s="42"/>
    </row>
    <row r="6141" spans="15:29" x14ac:dyDescent="0.25">
      <c r="O6141" s="42"/>
      <c r="R6141" s="42"/>
      <c r="AC6141" s="42"/>
    </row>
    <row r="6142" spans="15:29" x14ac:dyDescent="0.25">
      <c r="O6142" s="42"/>
      <c r="R6142" s="42"/>
      <c r="AC6142" s="42"/>
    </row>
    <row r="6143" spans="15:29" x14ac:dyDescent="0.25">
      <c r="O6143" s="42"/>
      <c r="R6143" s="42"/>
      <c r="AC6143" s="42"/>
    </row>
    <row r="6144" spans="15:29" x14ac:dyDescent="0.25">
      <c r="O6144" s="42"/>
      <c r="R6144" s="42"/>
      <c r="AC6144" s="42"/>
    </row>
    <row r="6145" spans="15:29" x14ac:dyDescent="0.25">
      <c r="O6145" s="42"/>
      <c r="R6145" s="42"/>
      <c r="AC6145" s="42"/>
    </row>
    <row r="6146" spans="15:29" x14ac:dyDescent="0.25">
      <c r="O6146" s="42"/>
      <c r="R6146" s="42"/>
      <c r="AC6146" s="42"/>
    </row>
    <row r="6147" spans="15:29" x14ac:dyDescent="0.25">
      <c r="O6147" s="42"/>
      <c r="R6147" s="42"/>
      <c r="AC6147" s="42"/>
    </row>
    <row r="6148" spans="15:29" x14ac:dyDescent="0.25">
      <c r="O6148" s="42"/>
      <c r="R6148" s="42"/>
      <c r="AC6148" s="42"/>
    </row>
    <row r="6149" spans="15:29" x14ac:dyDescent="0.25">
      <c r="O6149" s="42"/>
      <c r="R6149" s="42"/>
      <c r="AC6149" s="42"/>
    </row>
    <row r="6150" spans="15:29" x14ac:dyDescent="0.25">
      <c r="O6150" s="42"/>
      <c r="R6150" s="42"/>
      <c r="AC6150" s="42"/>
    </row>
    <row r="6151" spans="15:29" x14ac:dyDescent="0.25">
      <c r="O6151" s="42"/>
      <c r="R6151" s="42"/>
      <c r="AC6151" s="42"/>
    </row>
    <row r="6152" spans="15:29" x14ac:dyDescent="0.25">
      <c r="O6152" s="42"/>
      <c r="R6152" s="42"/>
      <c r="AC6152" s="42"/>
    </row>
    <row r="6153" spans="15:29" x14ac:dyDescent="0.25">
      <c r="O6153" s="42"/>
      <c r="R6153" s="42"/>
      <c r="AC6153" s="42"/>
    </row>
    <row r="6154" spans="15:29" x14ac:dyDescent="0.25">
      <c r="O6154" s="42"/>
      <c r="R6154" s="42"/>
      <c r="AC6154" s="42"/>
    </row>
    <row r="6155" spans="15:29" x14ac:dyDescent="0.25">
      <c r="O6155" s="42"/>
      <c r="R6155" s="42"/>
      <c r="AC6155" s="42"/>
    </row>
    <row r="6156" spans="15:29" x14ac:dyDescent="0.25">
      <c r="O6156" s="42"/>
      <c r="R6156" s="42"/>
      <c r="AC6156" s="42"/>
    </row>
    <row r="6157" spans="15:29" x14ac:dyDescent="0.25">
      <c r="O6157" s="42"/>
      <c r="R6157" s="42"/>
      <c r="AC6157" s="42"/>
    </row>
    <row r="6158" spans="15:29" x14ac:dyDescent="0.25">
      <c r="O6158" s="42"/>
      <c r="R6158" s="42"/>
      <c r="AC6158" s="42"/>
    </row>
    <row r="6159" spans="15:29" x14ac:dyDescent="0.25">
      <c r="O6159" s="42"/>
      <c r="R6159" s="42"/>
      <c r="AC6159" s="42"/>
    </row>
    <row r="6160" spans="15:29" x14ac:dyDescent="0.25">
      <c r="O6160" s="42"/>
      <c r="R6160" s="42"/>
      <c r="AC6160" s="42"/>
    </row>
    <row r="6161" spans="15:29" x14ac:dyDescent="0.25">
      <c r="O6161" s="42"/>
      <c r="R6161" s="42"/>
      <c r="AC6161" s="42"/>
    </row>
    <row r="6162" spans="15:29" x14ac:dyDescent="0.25">
      <c r="O6162" s="42"/>
      <c r="R6162" s="42"/>
      <c r="AC6162" s="42"/>
    </row>
    <row r="6163" spans="15:29" x14ac:dyDescent="0.25">
      <c r="O6163" s="42"/>
      <c r="R6163" s="42"/>
      <c r="AC6163" s="42"/>
    </row>
    <row r="6164" spans="15:29" x14ac:dyDescent="0.25">
      <c r="O6164" s="42"/>
      <c r="R6164" s="42"/>
      <c r="AC6164" s="42"/>
    </row>
    <row r="6165" spans="15:29" x14ac:dyDescent="0.25">
      <c r="O6165" s="42"/>
      <c r="R6165" s="42"/>
      <c r="AC6165" s="42"/>
    </row>
    <row r="6166" spans="15:29" x14ac:dyDescent="0.25">
      <c r="O6166" s="42"/>
      <c r="R6166" s="42"/>
      <c r="AC6166" s="42"/>
    </row>
    <row r="6167" spans="15:29" x14ac:dyDescent="0.25">
      <c r="O6167" s="42"/>
      <c r="R6167" s="42"/>
      <c r="AC6167" s="42"/>
    </row>
    <row r="6168" spans="15:29" x14ac:dyDescent="0.25">
      <c r="O6168" s="42"/>
      <c r="R6168" s="42"/>
      <c r="AC6168" s="42"/>
    </row>
    <row r="6169" spans="15:29" x14ac:dyDescent="0.25">
      <c r="O6169" s="42"/>
      <c r="R6169" s="42"/>
      <c r="AC6169" s="42"/>
    </row>
    <row r="6170" spans="15:29" x14ac:dyDescent="0.25">
      <c r="O6170" s="42"/>
      <c r="R6170" s="42"/>
      <c r="AC6170" s="42"/>
    </row>
    <row r="6171" spans="15:29" x14ac:dyDescent="0.25">
      <c r="O6171" s="42"/>
      <c r="R6171" s="42"/>
      <c r="AC6171" s="42"/>
    </row>
    <row r="6172" spans="15:29" x14ac:dyDescent="0.25">
      <c r="O6172" s="42"/>
      <c r="R6172" s="42"/>
      <c r="AC6172" s="42"/>
    </row>
    <row r="6173" spans="15:29" x14ac:dyDescent="0.25">
      <c r="O6173" s="42"/>
      <c r="R6173" s="42"/>
      <c r="AC6173" s="42"/>
    </row>
    <row r="6174" spans="15:29" x14ac:dyDescent="0.25">
      <c r="O6174" s="42"/>
      <c r="R6174" s="42"/>
      <c r="AC6174" s="42"/>
    </row>
    <row r="6175" spans="15:29" x14ac:dyDescent="0.25">
      <c r="O6175" s="42"/>
      <c r="R6175" s="42"/>
      <c r="AC6175" s="42"/>
    </row>
    <row r="6176" spans="15:29" x14ac:dyDescent="0.25">
      <c r="O6176" s="42"/>
      <c r="R6176" s="42"/>
      <c r="AC6176" s="42"/>
    </row>
    <row r="6177" spans="15:29" x14ac:dyDescent="0.25">
      <c r="O6177" s="42"/>
      <c r="R6177" s="42"/>
      <c r="AC6177" s="42"/>
    </row>
    <row r="6178" spans="15:29" x14ac:dyDescent="0.25">
      <c r="O6178" s="42"/>
      <c r="R6178" s="42"/>
      <c r="AC6178" s="42"/>
    </row>
    <row r="6179" spans="15:29" x14ac:dyDescent="0.25">
      <c r="O6179" s="42"/>
      <c r="R6179" s="42"/>
      <c r="AC6179" s="42"/>
    </row>
    <row r="6180" spans="15:29" x14ac:dyDescent="0.25">
      <c r="O6180" s="42"/>
      <c r="R6180" s="42"/>
      <c r="AC6180" s="42"/>
    </row>
    <row r="6181" spans="15:29" x14ac:dyDescent="0.25">
      <c r="O6181" s="42"/>
      <c r="R6181" s="42"/>
      <c r="AC6181" s="42"/>
    </row>
    <row r="6182" spans="15:29" x14ac:dyDescent="0.25">
      <c r="O6182" s="42"/>
      <c r="R6182" s="42"/>
      <c r="AC6182" s="42"/>
    </row>
    <row r="6183" spans="15:29" x14ac:dyDescent="0.25">
      <c r="O6183" s="42"/>
      <c r="R6183" s="42"/>
      <c r="AC6183" s="42"/>
    </row>
    <row r="6184" spans="15:29" x14ac:dyDescent="0.25">
      <c r="O6184" s="42"/>
      <c r="R6184" s="42"/>
      <c r="AC6184" s="42"/>
    </row>
    <row r="6185" spans="15:29" x14ac:dyDescent="0.25">
      <c r="O6185" s="42"/>
      <c r="R6185" s="42"/>
      <c r="AC6185" s="42"/>
    </row>
    <row r="6186" spans="15:29" x14ac:dyDescent="0.25">
      <c r="O6186" s="42"/>
      <c r="R6186" s="42"/>
      <c r="AC6186" s="42"/>
    </row>
    <row r="6187" spans="15:29" x14ac:dyDescent="0.25">
      <c r="O6187" s="42"/>
      <c r="R6187" s="42"/>
      <c r="AC6187" s="42"/>
    </row>
    <row r="6188" spans="15:29" x14ac:dyDescent="0.25">
      <c r="O6188" s="42"/>
      <c r="R6188" s="42"/>
      <c r="AC6188" s="42"/>
    </row>
    <row r="6189" spans="15:29" x14ac:dyDescent="0.25">
      <c r="O6189" s="42"/>
      <c r="R6189" s="42"/>
      <c r="AC6189" s="42"/>
    </row>
    <row r="6190" spans="15:29" x14ac:dyDescent="0.25">
      <c r="O6190" s="42"/>
      <c r="R6190" s="42"/>
      <c r="AC6190" s="42"/>
    </row>
    <row r="6191" spans="15:29" x14ac:dyDescent="0.25">
      <c r="O6191" s="42"/>
      <c r="R6191" s="42"/>
      <c r="AC6191" s="42"/>
    </row>
    <row r="6192" spans="15:29" x14ac:dyDescent="0.25">
      <c r="O6192" s="42"/>
      <c r="R6192" s="42"/>
      <c r="AC6192" s="42"/>
    </row>
    <row r="6193" spans="15:29" x14ac:dyDescent="0.25">
      <c r="O6193" s="42"/>
      <c r="R6193" s="42"/>
      <c r="AC6193" s="42"/>
    </row>
    <row r="6194" spans="15:29" x14ac:dyDescent="0.25">
      <c r="O6194" s="42"/>
      <c r="R6194" s="42"/>
      <c r="AC6194" s="42"/>
    </row>
    <row r="6195" spans="15:29" x14ac:dyDescent="0.25">
      <c r="O6195" s="42"/>
      <c r="R6195" s="42"/>
      <c r="AC6195" s="42"/>
    </row>
    <row r="6196" spans="15:29" x14ac:dyDescent="0.25">
      <c r="O6196" s="42"/>
      <c r="R6196" s="42"/>
      <c r="AC6196" s="42"/>
    </row>
    <row r="6197" spans="15:29" x14ac:dyDescent="0.25">
      <c r="O6197" s="42"/>
      <c r="R6197" s="42"/>
      <c r="AC6197" s="42"/>
    </row>
    <row r="6198" spans="15:29" x14ac:dyDescent="0.25">
      <c r="O6198" s="42"/>
      <c r="R6198" s="42"/>
      <c r="AC6198" s="42"/>
    </row>
    <row r="6199" spans="15:29" x14ac:dyDescent="0.25">
      <c r="O6199" s="42"/>
      <c r="R6199" s="42"/>
      <c r="AC6199" s="42"/>
    </row>
    <row r="6200" spans="15:29" x14ac:dyDescent="0.25">
      <c r="O6200" s="42"/>
      <c r="R6200" s="42"/>
      <c r="AC6200" s="42"/>
    </row>
    <row r="6201" spans="15:29" x14ac:dyDescent="0.25">
      <c r="O6201" s="42"/>
      <c r="R6201" s="42"/>
      <c r="AC6201" s="42"/>
    </row>
    <row r="6202" spans="15:29" x14ac:dyDescent="0.25">
      <c r="O6202" s="42"/>
      <c r="R6202" s="42"/>
      <c r="AC6202" s="42"/>
    </row>
    <row r="6203" spans="15:29" x14ac:dyDescent="0.25">
      <c r="O6203" s="42"/>
      <c r="R6203" s="42"/>
      <c r="AC6203" s="42"/>
    </row>
    <row r="6204" spans="15:29" x14ac:dyDescent="0.25">
      <c r="O6204" s="42"/>
      <c r="R6204" s="42"/>
      <c r="AC6204" s="42"/>
    </row>
    <row r="6205" spans="15:29" x14ac:dyDescent="0.25">
      <c r="O6205" s="42"/>
      <c r="R6205" s="42"/>
      <c r="AC6205" s="42"/>
    </row>
    <row r="6206" spans="15:29" x14ac:dyDescent="0.25">
      <c r="O6206" s="42"/>
      <c r="R6206" s="42"/>
      <c r="AC6206" s="42"/>
    </row>
    <row r="6207" spans="15:29" x14ac:dyDescent="0.25">
      <c r="O6207" s="42"/>
      <c r="R6207" s="42"/>
      <c r="AC6207" s="42"/>
    </row>
    <row r="6208" spans="15:29" x14ac:dyDescent="0.25">
      <c r="O6208" s="42"/>
      <c r="R6208" s="42"/>
      <c r="AC6208" s="42"/>
    </row>
    <row r="6209" spans="15:29" x14ac:dyDescent="0.25">
      <c r="O6209" s="42"/>
      <c r="R6209" s="42"/>
      <c r="AC6209" s="42"/>
    </row>
    <row r="6210" spans="15:29" x14ac:dyDescent="0.25">
      <c r="O6210" s="42"/>
      <c r="R6210" s="42"/>
      <c r="AC6210" s="42"/>
    </row>
    <row r="6211" spans="15:29" x14ac:dyDescent="0.25">
      <c r="O6211" s="42"/>
      <c r="R6211" s="42"/>
      <c r="AC6211" s="42"/>
    </row>
    <row r="6212" spans="15:29" x14ac:dyDescent="0.25">
      <c r="O6212" s="42"/>
      <c r="R6212" s="42"/>
      <c r="AC6212" s="42"/>
    </row>
    <row r="6213" spans="15:29" x14ac:dyDescent="0.25">
      <c r="O6213" s="42"/>
      <c r="R6213" s="42"/>
      <c r="AC6213" s="42"/>
    </row>
    <row r="6214" spans="15:29" x14ac:dyDescent="0.25">
      <c r="O6214" s="42"/>
      <c r="R6214" s="42"/>
      <c r="AC6214" s="42"/>
    </row>
    <row r="6215" spans="15:29" x14ac:dyDescent="0.25">
      <c r="O6215" s="42"/>
      <c r="R6215" s="42"/>
      <c r="AC6215" s="42"/>
    </row>
    <row r="6216" spans="15:29" x14ac:dyDescent="0.25">
      <c r="O6216" s="42"/>
      <c r="R6216" s="42"/>
      <c r="AC6216" s="42"/>
    </row>
    <row r="6217" spans="15:29" x14ac:dyDescent="0.25">
      <c r="O6217" s="42"/>
      <c r="R6217" s="42"/>
      <c r="AC6217" s="42"/>
    </row>
    <row r="6218" spans="15:29" x14ac:dyDescent="0.25">
      <c r="O6218" s="42"/>
      <c r="R6218" s="42"/>
      <c r="AC6218" s="42"/>
    </row>
    <row r="6219" spans="15:29" x14ac:dyDescent="0.25">
      <c r="O6219" s="42"/>
      <c r="R6219" s="42"/>
      <c r="AC6219" s="42"/>
    </row>
    <row r="6220" spans="15:29" x14ac:dyDescent="0.25">
      <c r="O6220" s="42"/>
      <c r="R6220" s="42"/>
      <c r="AC6220" s="42"/>
    </row>
    <row r="6221" spans="15:29" x14ac:dyDescent="0.25">
      <c r="O6221" s="42"/>
      <c r="R6221" s="42"/>
      <c r="AC6221" s="42"/>
    </row>
    <row r="6222" spans="15:29" x14ac:dyDescent="0.25">
      <c r="O6222" s="42"/>
      <c r="R6222" s="42"/>
      <c r="AC6222" s="42"/>
    </row>
    <row r="6223" spans="15:29" x14ac:dyDescent="0.25">
      <c r="O6223" s="42"/>
      <c r="R6223" s="42"/>
      <c r="AC6223" s="42"/>
    </row>
    <row r="6224" spans="15:29" x14ac:dyDescent="0.25">
      <c r="O6224" s="42"/>
      <c r="R6224" s="42"/>
      <c r="AC6224" s="42"/>
    </row>
    <row r="6225" spans="15:29" x14ac:dyDescent="0.25">
      <c r="O6225" s="42"/>
      <c r="R6225" s="42"/>
      <c r="AC6225" s="42"/>
    </row>
    <row r="6226" spans="15:29" x14ac:dyDescent="0.25">
      <c r="O6226" s="42"/>
      <c r="R6226" s="42"/>
      <c r="AC6226" s="42"/>
    </row>
    <row r="6227" spans="15:29" x14ac:dyDescent="0.25">
      <c r="O6227" s="42"/>
      <c r="R6227" s="42"/>
      <c r="AC6227" s="42"/>
    </row>
    <row r="6228" spans="15:29" x14ac:dyDescent="0.25">
      <c r="O6228" s="42"/>
      <c r="R6228" s="42"/>
      <c r="AC6228" s="42"/>
    </row>
    <row r="6229" spans="15:29" x14ac:dyDescent="0.25">
      <c r="O6229" s="42"/>
      <c r="R6229" s="42"/>
      <c r="AC6229" s="42"/>
    </row>
    <row r="6230" spans="15:29" x14ac:dyDescent="0.25">
      <c r="O6230" s="42"/>
      <c r="R6230" s="42"/>
      <c r="AC6230" s="42"/>
    </row>
    <row r="6231" spans="15:29" x14ac:dyDescent="0.25">
      <c r="O6231" s="42"/>
      <c r="R6231" s="42"/>
      <c r="AC6231" s="42"/>
    </row>
    <row r="6232" spans="15:29" x14ac:dyDescent="0.25">
      <c r="O6232" s="42"/>
      <c r="R6232" s="42"/>
      <c r="AC6232" s="42"/>
    </row>
    <row r="6233" spans="15:29" x14ac:dyDescent="0.25">
      <c r="O6233" s="42"/>
      <c r="R6233" s="42"/>
      <c r="AC6233" s="42"/>
    </row>
    <row r="6234" spans="15:29" x14ac:dyDescent="0.25">
      <c r="O6234" s="42"/>
      <c r="R6234" s="42"/>
      <c r="AC6234" s="42"/>
    </row>
    <row r="6235" spans="15:29" x14ac:dyDescent="0.25">
      <c r="O6235" s="42"/>
      <c r="R6235" s="42"/>
      <c r="AC6235" s="42"/>
    </row>
    <row r="6236" spans="15:29" x14ac:dyDescent="0.25">
      <c r="O6236" s="42"/>
      <c r="R6236" s="42"/>
      <c r="AC6236" s="42"/>
    </row>
    <row r="6237" spans="15:29" x14ac:dyDescent="0.25">
      <c r="O6237" s="42"/>
      <c r="R6237" s="42"/>
      <c r="AC6237" s="42"/>
    </row>
    <row r="6238" spans="15:29" x14ac:dyDescent="0.25">
      <c r="O6238" s="42"/>
      <c r="R6238" s="42"/>
      <c r="AC6238" s="42"/>
    </row>
    <row r="6239" spans="15:29" x14ac:dyDescent="0.25">
      <c r="O6239" s="42"/>
      <c r="R6239" s="42"/>
      <c r="AC6239" s="42"/>
    </row>
    <row r="6240" spans="15:29" x14ac:dyDescent="0.25">
      <c r="O6240" s="42"/>
      <c r="R6240" s="42"/>
      <c r="AC6240" s="42"/>
    </row>
    <row r="6241" spans="15:29" x14ac:dyDescent="0.25">
      <c r="O6241" s="42"/>
      <c r="R6241" s="42"/>
      <c r="AC6241" s="42"/>
    </row>
    <row r="6242" spans="15:29" x14ac:dyDescent="0.25">
      <c r="O6242" s="42"/>
      <c r="R6242" s="42"/>
      <c r="AC6242" s="42"/>
    </row>
    <row r="6243" spans="15:29" x14ac:dyDescent="0.25">
      <c r="O6243" s="42"/>
      <c r="R6243" s="42"/>
      <c r="AC6243" s="42"/>
    </row>
    <row r="6244" spans="15:29" x14ac:dyDescent="0.25">
      <c r="O6244" s="42"/>
      <c r="R6244" s="42"/>
      <c r="AC6244" s="42"/>
    </row>
    <row r="6245" spans="15:29" x14ac:dyDescent="0.25">
      <c r="O6245" s="42"/>
      <c r="R6245" s="42"/>
      <c r="AC6245" s="42"/>
    </row>
    <row r="6246" spans="15:29" x14ac:dyDescent="0.25">
      <c r="O6246" s="42"/>
      <c r="R6246" s="42"/>
      <c r="AC6246" s="42"/>
    </row>
    <row r="6247" spans="15:29" x14ac:dyDescent="0.25">
      <c r="O6247" s="42"/>
      <c r="R6247" s="42"/>
      <c r="AC6247" s="42"/>
    </row>
    <row r="6248" spans="15:29" x14ac:dyDescent="0.25">
      <c r="O6248" s="42"/>
      <c r="R6248" s="42"/>
      <c r="AC6248" s="42"/>
    </row>
    <row r="6249" spans="15:29" x14ac:dyDescent="0.25">
      <c r="O6249" s="42"/>
      <c r="R6249" s="42"/>
      <c r="AC6249" s="42"/>
    </row>
    <row r="6250" spans="15:29" x14ac:dyDescent="0.25">
      <c r="O6250" s="42"/>
      <c r="R6250" s="42"/>
      <c r="AC6250" s="42"/>
    </row>
    <row r="6251" spans="15:29" x14ac:dyDescent="0.25">
      <c r="O6251" s="42"/>
      <c r="R6251" s="42"/>
      <c r="AC6251" s="42"/>
    </row>
    <row r="6252" spans="15:29" x14ac:dyDescent="0.25">
      <c r="O6252" s="42"/>
      <c r="R6252" s="42"/>
      <c r="AC6252" s="42"/>
    </row>
    <row r="6253" spans="15:29" x14ac:dyDescent="0.25">
      <c r="O6253" s="42"/>
      <c r="R6253" s="42"/>
      <c r="AC6253" s="42"/>
    </row>
    <row r="6254" spans="15:29" x14ac:dyDescent="0.25">
      <c r="O6254" s="42"/>
      <c r="R6254" s="42"/>
      <c r="AC6254" s="42"/>
    </row>
    <row r="6255" spans="15:29" x14ac:dyDescent="0.25">
      <c r="O6255" s="42"/>
      <c r="R6255" s="42"/>
      <c r="AC6255" s="42"/>
    </row>
    <row r="6256" spans="15:29" x14ac:dyDescent="0.25">
      <c r="O6256" s="42"/>
      <c r="R6256" s="42"/>
      <c r="AC6256" s="42"/>
    </row>
    <row r="6257" spans="15:29" x14ac:dyDescent="0.25">
      <c r="O6257" s="42"/>
      <c r="R6257" s="42"/>
      <c r="AC6257" s="42"/>
    </row>
    <row r="6258" spans="15:29" x14ac:dyDescent="0.25">
      <c r="O6258" s="42"/>
      <c r="R6258" s="42"/>
      <c r="AC6258" s="42"/>
    </row>
    <row r="6259" spans="15:29" x14ac:dyDescent="0.25">
      <c r="O6259" s="42"/>
      <c r="R6259" s="42"/>
      <c r="AC6259" s="42"/>
    </row>
    <row r="6260" spans="15:29" x14ac:dyDescent="0.25">
      <c r="O6260" s="42"/>
      <c r="R6260" s="42"/>
      <c r="AC6260" s="42"/>
    </row>
    <row r="6261" spans="15:29" x14ac:dyDescent="0.25">
      <c r="O6261" s="42"/>
      <c r="R6261" s="42"/>
      <c r="AC6261" s="42"/>
    </row>
    <row r="6262" spans="15:29" x14ac:dyDescent="0.25">
      <c r="O6262" s="42"/>
      <c r="R6262" s="42"/>
      <c r="AC6262" s="42"/>
    </row>
    <row r="6263" spans="15:29" x14ac:dyDescent="0.25">
      <c r="O6263" s="42"/>
      <c r="R6263" s="42"/>
      <c r="AC6263" s="42"/>
    </row>
    <row r="6264" spans="15:29" x14ac:dyDescent="0.25">
      <c r="O6264" s="42"/>
      <c r="R6264" s="42"/>
      <c r="AC6264" s="42"/>
    </row>
    <row r="6265" spans="15:29" x14ac:dyDescent="0.25">
      <c r="O6265" s="42"/>
      <c r="R6265" s="42"/>
      <c r="AC6265" s="42"/>
    </row>
    <row r="6266" spans="15:29" x14ac:dyDescent="0.25">
      <c r="O6266" s="42"/>
      <c r="R6266" s="42"/>
      <c r="AC6266" s="42"/>
    </row>
    <row r="6267" spans="15:29" x14ac:dyDescent="0.25">
      <c r="O6267" s="42"/>
      <c r="R6267" s="42"/>
      <c r="AC6267" s="42"/>
    </row>
    <row r="6268" spans="15:29" x14ac:dyDescent="0.25">
      <c r="O6268" s="42"/>
      <c r="R6268" s="42"/>
      <c r="AC6268" s="42"/>
    </row>
    <row r="6269" spans="15:29" x14ac:dyDescent="0.25">
      <c r="O6269" s="42"/>
      <c r="R6269" s="42"/>
      <c r="AC6269" s="42"/>
    </row>
    <row r="6270" spans="15:29" x14ac:dyDescent="0.25">
      <c r="O6270" s="42"/>
      <c r="R6270" s="42"/>
      <c r="AC6270" s="42"/>
    </row>
    <row r="6271" spans="15:29" x14ac:dyDescent="0.25">
      <c r="O6271" s="42"/>
      <c r="R6271" s="42"/>
      <c r="AC6271" s="42"/>
    </row>
    <row r="6272" spans="15:29" x14ac:dyDescent="0.25">
      <c r="O6272" s="42"/>
      <c r="R6272" s="42"/>
      <c r="AC6272" s="42"/>
    </row>
    <row r="6273" spans="15:29" x14ac:dyDescent="0.25">
      <c r="O6273" s="42"/>
      <c r="R6273" s="42"/>
      <c r="AC6273" s="42"/>
    </row>
    <row r="6274" spans="15:29" x14ac:dyDescent="0.25">
      <c r="O6274" s="42"/>
      <c r="R6274" s="42"/>
      <c r="AC6274" s="42"/>
    </row>
    <row r="6275" spans="15:29" x14ac:dyDescent="0.25">
      <c r="O6275" s="42"/>
      <c r="R6275" s="42"/>
      <c r="AC6275" s="42"/>
    </row>
    <row r="6276" spans="15:29" x14ac:dyDescent="0.25">
      <c r="O6276" s="42"/>
      <c r="R6276" s="42"/>
      <c r="AC6276" s="42"/>
    </row>
    <row r="6277" spans="15:29" x14ac:dyDescent="0.25">
      <c r="O6277" s="42"/>
      <c r="R6277" s="42"/>
      <c r="AC6277" s="42"/>
    </row>
    <row r="6278" spans="15:29" x14ac:dyDescent="0.25">
      <c r="O6278" s="42"/>
      <c r="R6278" s="42"/>
      <c r="AC6278" s="42"/>
    </row>
    <row r="6279" spans="15:29" x14ac:dyDescent="0.25">
      <c r="O6279" s="42"/>
      <c r="R6279" s="42"/>
      <c r="AC6279" s="42"/>
    </row>
    <row r="6280" spans="15:29" x14ac:dyDescent="0.25">
      <c r="O6280" s="42"/>
      <c r="R6280" s="42"/>
      <c r="AC6280" s="42"/>
    </row>
    <row r="6281" spans="15:29" x14ac:dyDescent="0.25">
      <c r="O6281" s="42"/>
      <c r="R6281" s="42"/>
      <c r="AC6281" s="42"/>
    </row>
    <row r="6282" spans="15:29" x14ac:dyDescent="0.25">
      <c r="O6282" s="42"/>
      <c r="R6282" s="42"/>
      <c r="AC6282" s="42"/>
    </row>
    <row r="6283" spans="15:29" x14ac:dyDescent="0.25">
      <c r="O6283" s="42"/>
      <c r="R6283" s="42"/>
      <c r="AC6283" s="42"/>
    </row>
    <row r="6284" spans="15:29" x14ac:dyDescent="0.25">
      <c r="O6284" s="42"/>
      <c r="R6284" s="42"/>
      <c r="AC6284" s="42"/>
    </row>
    <row r="6285" spans="15:29" x14ac:dyDescent="0.25">
      <c r="O6285" s="42"/>
      <c r="R6285" s="42"/>
      <c r="AC6285" s="42"/>
    </row>
    <row r="6286" spans="15:29" x14ac:dyDescent="0.25">
      <c r="O6286" s="42"/>
      <c r="R6286" s="42"/>
      <c r="AC6286" s="42"/>
    </row>
    <row r="6287" spans="15:29" x14ac:dyDescent="0.25">
      <c r="O6287" s="42"/>
      <c r="R6287" s="42"/>
      <c r="AC6287" s="42"/>
    </row>
    <row r="6288" spans="15:29" x14ac:dyDescent="0.25">
      <c r="O6288" s="42"/>
      <c r="R6288" s="42"/>
      <c r="AC6288" s="42"/>
    </row>
    <row r="6289" spans="15:29" x14ac:dyDescent="0.25">
      <c r="O6289" s="42"/>
      <c r="R6289" s="42"/>
      <c r="AC6289" s="42"/>
    </row>
    <row r="6290" spans="15:29" x14ac:dyDescent="0.25">
      <c r="O6290" s="42"/>
      <c r="R6290" s="42"/>
      <c r="AC6290" s="42"/>
    </row>
    <row r="6291" spans="15:29" x14ac:dyDescent="0.25">
      <c r="O6291" s="42"/>
      <c r="R6291" s="42"/>
      <c r="AC6291" s="42"/>
    </row>
    <row r="6292" spans="15:29" x14ac:dyDescent="0.25">
      <c r="O6292" s="42"/>
      <c r="R6292" s="42"/>
      <c r="AC6292" s="42"/>
    </row>
    <row r="6293" spans="15:29" x14ac:dyDescent="0.25">
      <c r="O6293" s="42"/>
      <c r="R6293" s="42"/>
      <c r="AC6293" s="42"/>
    </row>
    <row r="6294" spans="15:29" x14ac:dyDescent="0.25">
      <c r="O6294" s="42"/>
      <c r="R6294" s="42"/>
      <c r="AC6294" s="42"/>
    </row>
    <row r="6295" spans="15:29" x14ac:dyDescent="0.25">
      <c r="O6295" s="42"/>
      <c r="R6295" s="42"/>
      <c r="AC6295" s="42"/>
    </row>
    <row r="6296" spans="15:29" x14ac:dyDescent="0.25">
      <c r="O6296" s="42"/>
      <c r="R6296" s="42"/>
      <c r="AC6296" s="42"/>
    </row>
    <row r="6297" spans="15:29" x14ac:dyDescent="0.25">
      <c r="O6297" s="42"/>
      <c r="R6297" s="42"/>
      <c r="AC6297" s="42"/>
    </row>
    <row r="6298" spans="15:29" x14ac:dyDescent="0.25">
      <c r="O6298" s="42"/>
      <c r="R6298" s="42"/>
      <c r="AC6298" s="42"/>
    </row>
    <row r="6299" spans="15:29" x14ac:dyDescent="0.25">
      <c r="O6299" s="42"/>
      <c r="R6299" s="42"/>
      <c r="AC6299" s="42"/>
    </row>
    <row r="6300" spans="15:29" x14ac:dyDescent="0.25">
      <c r="O6300" s="42"/>
      <c r="R6300" s="42"/>
      <c r="AC6300" s="42"/>
    </row>
    <row r="6301" spans="15:29" x14ac:dyDescent="0.25">
      <c r="O6301" s="42"/>
      <c r="R6301" s="42"/>
      <c r="AC6301" s="42"/>
    </row>
    <row r="6302" spans="15:29" x14ac:dyDescent="0.25">
      <c r="O6302" s="42"/>
      <c r="R6302" s="42"/>
      <c r="AC6302" s="42"/>
    </row>
    <row r="6303" spans="15:29" x14ac:dyDescent="0.25">
      <c r="O6303" s="42"/>
      <c r="R6303" s="42"/>
      <c r="AC6303" s="42"/>
    </row>
    <row r="6304" spans="15:29" x14ac:dyDescent="0.25">
      <c r="O6304" s="42"/>
      <c r="R6304" s="42"/>
      <c r="AC6304" s="42"/>
    </row>
    <row r="6305" spans="15:29" x14ac:dyDescent="0.25">
      <c r="O6305" s="42"/>
      <c r="R6305" s="42"/>
      <c r="AC6305" s="42"/>
    </row>
    <row r="6306" spans="15:29" x14ac:dyDescent="0.25">
      <c r="O6306" s="42"/>
      <c r="R6306" s="42"/>
      <c r="AC6306" s="42"/>
    </row>
    <row r="6307" spans="15:29" x14ac:dyDescent="0.25">
      <c r="O6307" s="42"/>
      <c r="R6307" s="42"/>
      <c r="AC6307" s="42"/>
    </row>
    <row r="6308" spans="15:29" x14ac:dyDescent="0.25">
      <c r="O6308" s="42"/>
      <c r="R6308" s="42"/>
      <c r="AC6308" s="42"/>
    </row>
    <row r="6309" spans="15:29" x14ac:dyDescent="0.25">
      <c r="O6309" s="42"/>
      <c r="R6309" s="42"/>
      <c r="AC6309" s="42"/>
    </row>
    <row r="6310" spans="15:29" x14ac:dyDescent="0.25">
      <c r="O6310" s="42"/>
      <c r="R6310" s="42"/>
      <c r="AC6310" s="42"/>
    </row>
    <row r="6311" spans="15:29" x14ac:dyDescent="0.25">
      <c r="O6311" s="42"/>
      <c r="R6311" s="42"/>
      <c r="AC6311" s="42"/>
    </row>
    <row r="6312" spans="15:29" x14ac:dyDescent="0.25">
      <c r="O6312" s="42"/>
      <c r="R6312" s="42"/>
      <c r="AC6312" s="42"/>
    </row>
    <row r="6313" spans="15:29" x14ac:dyDescent="0.25">
      <c r="O6313" s="42"/>
      <c r="R6313" s="42"/>
      <c r="AC6313" s="42"/>
    </row>
    <row r="6314" spans="15:29" x14ac:dyDescent="0.25">
      <c r="O6314" s="42"/>
      <c r="R6314" s="42"/>
      <c r="AC6314" s="42"/>
    </row>
    <row r="6315" spans="15:29" x14ac:dyDescent="0.25">
      <c r="O6315" s="42"/>
      <c r="R6315" s="42"/>
      <c r="AC6315" s="42"/>
    </row>
    <row r="6316" spans="15:29" x14ac:dyDescent="0.25">
      <c r="O6316" s="42"/>
      <c r="R6316" s="42"/>
      <c r="AC6316" s="42"/>
    </row>
    <row r="6317" spans="15:29" x14ac:dyDescent="0.25">
      <c r="O6317" s="42"/>
      <c r="R6317" s="42"/>
      <c r="AC6317" s="42"/>
    </row>
    <row r="6318" spans="15:29" x14ac:dyDescent="0.25">
      <c r="O6318" s="42"/>
      <c r="R6318" s="42"/>
      <c r="AC6318" s="42"/>
    </row>
    <row r="6319" spans="15:29" x14ac:dyDescent="0.25">
      <c r="O6319" s="42"/>
      <c r="R6319" s="42"/>
      <c r="AC6319" s="42"/>
    </row>
    <row r="6320" spans="15:29" x14ac:dyDescent="0.25">
      <c r="O6320" s="42"/>
      <c r="R6320" s="42"/>
      <c r="AC6320" s="42"/>
    </row>
    <row r="6321" spans="15:29" x14ac:dyDescent="0.25">
      <c r="O6321" s="42"/>
      <c r="R6321" s="42"/>
      <c r="AC6321" s="42"/>
    </row>
    <row r="6322" spans="15:29" x14ac:dyDescent="0.25">
      <c r="O6322" s="42"/>
      <c r="R6322" s="42"/>
      <c r="AC6322" s="42"/>
    </row>
    <row r="6323" spans="15:29" x14ac:dyDescent="0.25">
      <c r="O6323" s="42"/>
      <c r="R6323" s="42"/>
      <c r="AC6323" s="42"/>
    </row>
    <row r="6324" spans="15:29" x14ac:dyDescent="0.25">
      <c r="O6324" s="42"/>
      <c r="R6324" s="42"/>
      <c r="AC6324" s="42"/>
    </row>
    <row r="6325" spans="15:29" x14ac:dyDescent="0.25">
      <c r="O6325" s="42"/>
      <c r="R6325" s="42"/>
      <c r="AC6325" s="42"/>
    </row>
    <row r="6326" spans="15:29" x14ac:dyDescent="0.25">
      <c r="O6326" s="42"/>
      <c r="R6326" s="42"/>
      <c r="AC6326" s="42"/>
    </row>
    <row r="6327" spans="15:29" x14ac:dyDescent="0.25">
      <c r="O6327" s="42"/>
      <c r="R6327" s="42"/>
      <c r="AC6327" s="42"/>
    </row>
    <row r="6328" spans="15:29" x14ac:dyDescent="0.25">
      <c r="O6328" s="42"/>
      <c r="R6328" s="42"/>
      <c r="AC6328" s="42"/>
    </row>
    <row r="6329" spans="15:29" x14ac:dyDescent="0.25">
      <c r="O6329" s="42"/>
      <c r="R6329" s="42"/>
      <c r="AC6329" s="42"/>
    </row>
    <row r="6330" spans="15:29" x14ac:dyDescent="0.25">
      <c r="O6330" s="42"/>
      <c r="R6330" s="42"/>
      <c r="AC6330" s="42"/>
    </row>
    <row r="6331" spans="15:29" x14ac:dyDescent="0.25">
      <c r="O6331" s="42"/>
      <c r="R6331" s="42"/>
      <c r="AC6331" s="42"/>
    </row>
    <row r="6332" spans="15:29" x14ac:dyDescent="0.25">
      <c r="O6332" s="42"/>
      <c r="R6332" s="42"/>
      <c r="AC6332" s="42"/>
    </row>
    <row r="6333" spans="15:29" x14ac:dyDescent="0.25">
      <c r="O6333" s="42"/>
      <c r="R6333" s="42"/>
      <c r="AC6333" s="42"/>
    </row>
    <row r="6334" spans="15:29" x14ac:dyDescent="0.25">
      <c r="O6334" s="42"/>
      <c r="R6334" s="42"/>
      <c r="AC6334" s="42"/>
    </row>
    <row r="6335" spans="15:29" x14ac:dyDescent="0.25">
      <c r="O6335" s="42"/>
      <c r="R6335" s="42"/>
      <c r="AC6335" s="42"/>
    </row>
    <row r="6336" spans="15:29" x14ac:dyDescent="0.25">
      <c r="O6336" s="42"/>
      <c r="R6336" s="42"/>
      <c r="AC6336" s="42"/>
    </row>
    <row r="6337" spans="15:29" x14ac:dyDescent="0.25">
      <c r="O6337" s="42"/>
      <c r="R6337" s="42"/>
      <c r="AC6337" s="42"/>
    </row>
    <row r="6338" spans="15:29" x14ac:dyDescent="0.25">
      <c r="O6338" s="42"/>
      <c r="R6338" s="42"/>
      <c r="AC6338" s="42"/>
    </row>
    <row r="6339" spans="15:29" x14ac:dyDescent="0.25">
      <c r="O6339" s="42"/>
      <c r="R6339" s="42"/>
      <c r="AC6339" s="42"/>
    </row>
    <row r="6340" spans="15:29" x14ac:dyDescent="0.25">
      <c r="O6340" s="42"/>
      <c r="R6340" s="42"/>
      <c r="AC6340" s="42"/>
    </row>
    <row r="6341" spans="15:29" x14ac:dyDescent="0.25">
      <c r="O6341" s="42"/>
      <c r="R6341" s="42"/>
      <c r="AC6341" s="42"/>
    </row>
    <row r="6342" spans="15:29" x14ac:dyDescent="0.25">
      <c r="O6342" s="42"/>
      <c r="R6342" s="42"/>
      <c r="AC6342" s="42"/>
    </row>
    <row r="6343" spans="15:29" x14ac:dyDescent="0.25">
      <c r="O6343" s="42"/>
      <c r="R6343" s="42"/>
      <c r="AC6343" s="42"/>
    </row>
    <row r="6344" spans="15:29" x14ac:dyDescent="0.25">
      <c r="O6344" s="42"/>
      <c r="R6344" s="42"/>
      <c r="AC6344" s="42"/>
    </row>
    <row r="6345" spans="15:29" x14ac:dyDescent="0.25">
      <c r="O6345" s="42"/>
      <c r="R6345" s="42"/>
      <c r="AC6345" s="42"/>
    </row>
    <row r="6346" spans="15:29" x14ac:dyDescent="0.25">
      <c r="O6346" s="42"/>
      <c r="R6346" s="42"/>
      <c r="AC6346" s="42"/>
    </row>
    <row r="6347" spans="15:29" x14ac:dyDescent="0.25">
      <c r="O6347" s="42"/>
      <c r="R6347" s="42"/>
      <c r="AC6347" s="42"/>
    </row>
    <row r="6348" spans="15:29" x14ac:dyDescent="0.25">
      <c r="O6348" s="42"/>
      <c r="R6348" s="42"/>
      <c r="AC6348" s="42"/>
    </row>
    <row r="6349" spans="15:29" x14ac:dyDescent="0.25">
      <c r="O6349" s="42"/>
      <c r="R6349" s="42"/>
      <c r="AC6349" s="42"/>
    </row>
    <row r="6350" spans="15:29" x14ac:dyDescent="0.25">
      <c r="O6350" s="42"/>
      <c r="R6350" s="42"/>
      <c r="AC6350" s="42"/>
    </row>
    <row r="6351" spans="15:29" x14ac:dyDescent="0.25">
      <c r="O6351" s="42"/>
      <c r="R6351" s="42"/>
      <c r="AC6351" s="42"/>
    </row>
    <row r="6352" spans="15:29" x14ac:dyDescent="0.25">
      <c r="O6352" s="42"/>
      <c r="R6352" s="42"/>
      <c r="AC6352" s="42"/>
    </row>
    <row r="6353" spans="15:29" x14ac:dyDescent="0.25">
      <c r="O6353" s="42"/>
      <c r="R6353" s="42"/>
      <c r="AC6353" s="42"/>
    </row>
    <row r="6354" spans="15:29" x14ac:dyDescent="0.25">
      <c r="O6354" s="42"/>
      <c r="R6354" s="42"/>
      <c r="AC6354" s="42"/>
    </row>
    <row r="6355" spans="15:29" x14ac:dyDescent="0.25">
      <c r="O6355" s="42"/>
      <c r="R6355" s="42"/>
      <c r="AC6355" s="42"/>
    </row>
    <row r="6356" spans="15:29" x14ac:dyDescent="0.25">
      <c r="O6356" s="42"/>
      <c r="R6356" s="42"/>
      <c r="AC6356" s="42"/>
    </row>
    <row r="6357" spans="15:29" x14ac:dyDescent="0.25">
      <c r="O6357" s="42"/>
      <c r="R6357" s="42"/>
      <c r="AC6357" s="42"/>
    </row>
    <row r="6358" spans="15:29" x14ac:dyDescent="0.25">
      <c r="O6358" s="42"/>
      <c r="R6358" s="42"/>
      <c r="AC6358" s="42"/>
    </row>
    <row r="6359" spans="15:29" x14ac:dyDescent="0.25">
      <c r="O6359" s="42"/>
      <c r="R6359" s="42"/>
      <c r="AC6359" s="42"/>
    </row>
    <row r="6360" spans="15:29" x14ac:dyDescent="0.25">
      <c r="O6360" s="42"/>
      <c r="R6360" s="42"/>
      <c r="AC6360" s="42"/>
    </row>
    <row r="6361" spans="15:29" x14ac:dyDescent="0.25">
      <c r="O6361" s="42"/>
      <c r="R6361" s="42"/>
      <c r="AC6361" s="42"/>
    </row>
    <row r="6362" spans="15:29" x14ac:dyDescent="0.25">
      <c r="O6362" s="42"/>
      <c r="R6362" s="42"/>
      <c r="AC6362" s="42"/>
    </row>
    <row r="6363" spans="15:29" x14ac:dyDescent="0.25">
      <c r="O6363" s="42"/>
      <c r="R6363" s="42"/>
      <c r="AC6363" s="42"/>
    </row>
    <row r="6364" spans="15:29" x14ac:dyDescent="0.25">
      <c r="O6364" s="42"/>
      <c r="R6364" s="42"/>
      <c r="AC6364" s="42"/>
    </row>
    <row r="6365" spans="15:29" x14ac:dyDescent="0.25">
      <c r="O6365" s="42"/>
      <c r="R6365" s="42"/>
      <c r="AC6365" s="42"/>
    </row>
    <row r="6366" spans="15:29" x14ac:dyDescent="0.25">
      <c r="O6366" s="42"/>
      <c r="R6366" s="42"/>
      <c r="AC6366" s="42"/>
    </row>
    <row r="6367" spans="15:29" x14ac:dyDescent="0.25">
      <c r="O6367" s="42"/>
      <c r="R6367" s="42"/>
      <c r="AC6367" s="42"/>
    </row>
    <row r="6368" spans="15:29" x14ac:dyDescent="0.25">
      <c r="O6368" s="42"/>
      <c r="R6368" s="42"/>
      <c r="AC6368" s="42"/>
    </row>
    <row r="6369" spans="15:29" x14ac:dyDescent="0.25">
      <c r="O6369" s="42"/>
      <c r="R6369" s="42"/>
      <c r="AC6369" s="42"/>
    </row>
    <row r="6370" spans="15:29" x14ac:dyDescent="0.25">
      <c r="O6370" s="42"/>
      <c r="R6370" s="42"/>
      <c r="AC6370" s="42"/>
    </row>
    <row r="6371" spans="15:29" x14ac:dyDescent="0.25">
      <c r="O6371" s="42"/>
      <c r="R6371" s="42"/>
      <c r="AC6371" s="42"/>
    </row>
    <row r="6372" spans="15:29" x14ac:dyDescent="0.25">
      <c r="O6372" s="42"/>
      <c r="R6372" s="42"/>
      <c r="AC6372" s="42"/>
    </row>
    <row r="6373" spans="15:29" x14ac:dyDescent="0.25">
      <c r="O6373" s="42"/>
      <c r="R6373" s="42"/>
      <c r="AC6373" s="42"/>
    </row>
    <row r="6374" spans="15:29" x14ac:dyDescent="0.25">
      <c r="O6374" s="42"/>
      <c r="R6374" s="42"/>
      <c r="AC6374" s="42"/>
    </row>
    <row r="6375" spans="15:29" x14ac:dyDescent="0.25">
      <c r="O6375" s="42"/>
      <c r="R6375" s="42"/>
      <c r="AC6375" s="42"/>
    </row>
    <row r="6376" spans="15:29" x14ac:dyDescent="0.25">
      <c r="O6376" s="42"/>
      <c r="R6376" s="42"/>
      <c r="AC6376" s="42"/>
    </row>
    <row r="6377" spans="15:29" x14ac:dyDescent="0.25">
      <c r="O6377" s="42"/>
      <c r="R6377" s="42"/>
      <c r="AC6377" s="42"/>
    </row>
    <row r="6378" spans="15:29" x14ac:dyDescent="0.25">
      <c r="O6378" s="42"/>
      <c r="R6378" s="42"/>
      <c r="AC6378" s="42"/>
    </row>
    <row r="6379" spans="15:29" x14ac:dyDescent="0.25">
      <c r="O6379" s="42"/>
      <c r="R6379" s="42"/>
      <c r="AC6379" s="42"/>
    </row>
    <row r="6380" spans="15:29" x14ac:dyDescent="0.25">
      <c r="O6380" s="42"/>
      <c r="R6380" s="42"/>
      <c r="AC6380" s="42"/>
    </row>
    <row r="6381" spans="15:29" x14ac:dyDescent="0.25">
      <c r="O6381" s="42"/>
      <c r="R6381" s="42"/>
      <c r="AC6381" s="42"/>
    </row>
    <row r="6382" spans="15:29" x14ac:dyDescent="0.25">
      <c r="O6382" s="42"/>
      <c r="R6382" s="42"/>
      <c r="AC6382" s="42"/>
    </row>
    <row r="6383" spans="15:29" x14ac:dyDescent="0.25">
      <c r="O6383" s="42"/>
      <c r="R6383" s="42"/>
      <c r="AC6383" s="42"/>
    </row>
    <row r="6384" spans="15:29" x14ac:dyDescent="0.25">
      <c r="O6384" s="42"/>
      <c r="R6384" s="42"/>
      <c r="AC6384" s="42"/>
    </row>
    <row r="6385" spans="15:29" x14ac:dyDescent="0.25">
      <c r="O6385" s="42"/>
      <c r="R6385" s="42"/>
      <c r="AC6385" s="42"/>
    </row>
    <row r="6386" spans="15:29" x14ac:dyDescent="0.25">
      <c r="O6386" s="42"/>
      <c r="R6386" s="42"/>
      <c r="AC6386" s="42"/>
    </row>
    <row r="6387" spans="15:29" x14ac:dyDescent="0.25">
      <c r="O6387" s="42"/>
      <c r="R6387" s="42"/>
      <c r="AC6387" s="42"/>
    </row>
    <row r="6388" spans="15:29" x14ac:dyDescent="0.25">
      <c r="O6388" s="42"/>
      <c r="R6388" s="42"/>
      <c r="AC6388" s="42"/>
    </row>
    <row r="6389" spans="15:29" x14ac:dyDescent="0.25">
      <c r="O6389" s="42"/>
      <c r="R6389" s="42"/>
      <c r="AC6389" s="42"/>
    </row>
    <row r="6390" spans="15:29" x14ac:dyDescent="0.25">
      <c r="O6390" s="42"/>
      <c r="R6390" s="42"/>
      <c r="AC6390" s="42"/>
    </row>
    <row r="6391" spans="15:29" x14ac:dyDescent="0.25">
      <c r="O6391" s="42"/>
      <c r="R6391" s="42"/>
      <c r="AC6391" s="42"/>
    </row>
    <row r="6392" spans="15:29" x14ac:dyDescent="0.25">
      <c r="O6392" s="42"/>
      <c r="R6392" s="42"/>
      <c r="AC6392" s="42"/>
    </row>
    <row r="6393" spans="15:29" x14ac:dyDescent="0.25">
      <c r="O6393" s="42"/>
      <c r="R6393" s="42"/>
      <c r="AC6393" s="42"/>
    </row>
    <row r="6394" spans="15:29" x14ac:dyDescent="0.25">
      <c r="O6394" s="42"/>
      <c r="R6394" s="42"/>
      <c r="AC6394" s="42"/>
    </row>
    <row r="6395" spans="15:29" x14ac:dyDescent="0.25">
      <c r="O6395" s="42"/>
      <c r="R6395" s="42"/>
      <c r="AC6395" s="42"/>
    </row>
    <row r="6396" spans="15:29" x14ac:dyDescent="0.25">
      <c r="O6396" s="42"/>
      <c r="R6396" s="42"/>
      <c r="AC6396" s="42"/>
    </row>
    <row r="6397" spans="15:29" x14ac:dyDescent="0.25">
      <c r="O6397" s="42"/>
      <c r="R6397" s="42"/>
      <c r="AC6397" s="42"/>
    </row>
    <row r="6398" spans="15:29" x14ac:dyDescent="0.25">
      <c r="O6398" s="42"/>
      <c r="R6398" s="42"/>
      <c r="AC6398" s="42"/>
    </row>
    <row r="6399" spans="15:29" x14ac:dyDescent="0.25">
      <c r="O6399" s="42"/>
      <c r="R6399" s="42"/>
      <c r="AC6399" s="42"/>
    </row>
    <row r="6400" spans="15:29" x14ac:dyDescent="0.25">
      <c r="O6400" s="42"/>
      <c r="R6400" s="42"/>
      <c r="AC6400" s="42"/>
    </row>
    <row r="6401" spans="15:29" x14ac:dyDescent="0.25">
      <c r="O6401" s="42"/>
      <c r="R6401" s="42"/>
      <c r="AC6401" s="42"/>
    </row>
    <row r="6402" spans="15:29" x14ac:dyDescent="0.25">
      <c r="O6402" s="42"/>
      <c r="R6402" s="42"/>
      <c r="AC6402" s="42"/>
    </row>
    <row r="6403" spans="15:29" x14ac:dyDescent="0.25">
      <c r="O6403" s="42"/>
      <c r="R6403" s="42"/>
      <c r="AC6403" s="42"/>
    </row>
    <row r="6404" spans="15:29" x14ac:dyDescent="0.25">
      <c r="O6404" s="42"/>
      <c r="R6404" s="42"/>
      <c r="AC6404" s="42"/>
    </row>
    <row r="6405" spans="15:29" x14ac:dyDescent="0.25">
      <c r="O6405" s="42"/>
      <c r="R6405" s="42"/>
      <c r="AC6405" s="42"/>
    </row>
    <row r="6406" spans="15:29" x14ac:dyDescent="0.25">
      <c r="O6406" s="42"/>
      <c r="R6406" s="42"/>
      <c r="AC6406" s="42"/>
    </row>
    <row r="6407" spans="15:29" x14ac:dyDescent="0.25">
      <c r="O6407" s="42"/>
      <c r="R6407" s="42"/>
      <c r="AC6407" s="42"/>
    </row>
    <row r="6408" spans="15:29" x14ac:dyDescent="0.25">
      <c r="O6408" s="42"/>
      <c r="R6408" s="42"/>
      <c r="AC6408" s="42"/>
    </row>
    <row r="6409" spans="15:29" x14ac:dyDescent="0.25">
      <c r="O6409" s="42"/>
      <c r="R6409" s="42"/>
      <c r="AC6409" s="42"/>
    </row>
    <row r="6410" spans="15:29" x14ac:dyDescent="0.25">
      <c r="O6410" s="42"/>
      <c r="R6410" s="42"/>
      <c r="AC6410" s="42"/>
    </row>
    <row r="6411" spans="15:29" x14ac:dyDescent="0.25">
      <c r="O6411" s="42"/>
      <c r="R6411" s="42"/>
      <c r="AC6411" s="42"/>
    </row>
    <row r="6412" spans="15:29" x14ac:dyDescent="0.25">
      <c r="O6412" s="42"/>
      <c r="R6412" s="42"/>
      <c r="AC6412" s="42"/>
    </row>
    <row r="6413" spans="15:29" x14ac:dyDescent="0.25">
      <c r="O6413" s="42"/>
      <c r="R6413" s="42"/>
      <c r="AC6413" s="42"/>
    </row>
    <row r="6414" spans="15:29" x14ac:dyDescent="0.25">
      <c r="O6414" s="42"/>
      <c r="R6414" s="42"/>
      <c r="AC6414" s="42"/>
    </row>
    <row r="6415" spans="15:29" x14ac:dyDescent="0.25">
      <c r="O6415" s="42"/>
      <c r="R6415" s="42"/>
      <c r="AC6415" s="42"/>
    </row>
    <row r="6416" spans="15:29" x14ac:dyDescent="0.25">
      <c r="O6416" s="42"/>
      <c r="R6416" s="42"/>
      <c r="AC6416" s="42"/>
    </row>
    <row r="6417" spans="15:29" x14ac:dyDescent="0.25">
      <c r="O6417" s="42"/>
      <c r="R6417" s="42"/>
      <c r="AC6417" s="42"/>
    </row>
    <row r="6418" spans="15:29" x14ac:dyDescent="0.25">
      <c r="O6418" s="42"/>
      <c r="R6418" s="42"/>
      <c r="AC6418" s="42"/>
    </row>
    <row r="6419" spans="15:29" x14ac:dyDescent="0.25">
      <c r="O6419" s="42"/>
      <c r="R6419" s="42"/>
      <c r="AC6419" s="42"/>
    </row>
    <row r="6420" spans="15:29" x14ac:dyDescent="0.25">
      <c r="O6420" s="42"/>
      <c r="R6420" s="42"/>
      <c r="AC6420" s="42"/>
    </row>
    <row r="6421" spans="15:29" x14ac:dyDescent="0.25">
      <c r="O6421" s="42"/>
      <c r="R6421" s="42"/>
      <c r="AC6421" s="42"/>
    </row>
    <row r="6422" spans="15:29" x14ac:dyDescent="0.25">
      <c r="O6422" s="42"/>
      <c r="R6422" s="42"/>
      <c r="AC6422" s="42"/>
    </row>
    <row r="6423" spans="15:29" x14ac:dyDescent="0.25">
      <c r="O6423" s="42"/>
      <c r="R6423" s="42"/>
      <c r="AC6423" s="42"/>
    </row>
    <row r="6424" spans="15:29" x14ac:dyDescent="0.25">
      <c r="O6424" s="42"/>
      <c r="R6424" s="42"/>
      <c r="AC6424" s="42"/>
    </row>
    <row r="6425" spans="15:29" x14ac:dyDescent="0.25">
      <c r="O6425" s="42"/>
      <c r="R6425" s="42"/>
      <c r="AC6425" s="42"/>
    </row>
    <row r="6426" spans="15:29" x14ac:dyDescent="0.25">
      <c r="O6426" s="42"/>
      <c r="R6426" s="42"/>
      <c r="AC6426" s="42"/>
    </row>
    <row r="6427" spans="15:29" x14ac:dyDescent="0.25">
      <c r="O6427" s="42"/>
      <c r="R6427" s="42"/>
      <c r="AC6427" s="42"/>
    </row>
    <row r="6428" spans="15:29" x14ac:dyDescent="0.25">
      <c r="O6428" s="42"/>
      <c r="R6428" s="42"/>
      <c r="AC6428" s="42"/>
    </row>
    <row r="6429" spans="15:29" x14ac:dyDescent="0.25">
      <c r="O6429" s="42"/>
      <c r="R6429" s="42"/>
      <c r="AC6429" s="42"/>
    </row>
    <row r="6430" spans="15:29" x14ac:dyDescent="0.25">
      <c r="O6430" s="42"/>
      <c r="R6430" s="42"/>
      <c r="AC6430" s="42"/>
    </row>
    <row r="6431" spans="15:29" x14ac:dyDescent="0.25">
      <c r="O6431" s="42"/>
      <c r="R6431" s="42"/>
      <c r="AC6431" s="42"/>
    </row>
    <row r="6432" spans="15:29" x14ac:dyDescent="0.25">
      <c r="O6432" s="42"/>
      <c r="R6432" s="42"/>
      <c r="AC6432" s="42"/>
    </row>
    <row r="6433" spans="15:29" x14ac:dyDescent="0.25">
      <c r="O6433" s="42"/>
      <c r="R6433" s="42"/>
      <c r="AC6433" s="42"/>
    </row>
    <row r="6434" spans="15:29" x14ac:dyDescent="0.25">
      <c r="O6434" s="42"/>
      <c r="R6434" s="42"/>
      <c r="AC6434" s="42"/>
    </row>
    <row r="6435" spans="15:29" x14ac:dyDescent="0.25">
      <c r="O6435" s="42"/>
      <c r="R6435" s="42"/>
      <c r="AC6435" s="42"/>
    </row>
    <row r="6436" spans="15:29" x14ac:dyDescent="0.25">
      <c r="O6436" s="42"/>
      <c r="R6436" s="42"/>
      <c r="AC6436" s="42"/>
    </row>
    <row r="6437" spans="15:29" x14ac:dyDescent="0.25">
      <c r="O6437" s="42"/>
      <c r="R6437" s="42"/>
      <c r="AC6437" s="42"/>
    </row>
    <row r="6438" spans="15:29" x14ac:dyDescent="0.25">
      <c r="O6438" s="42"/>
      <c r="R6438" s="42"/>
      <c r="AC6438" s="42"/>
    </row>
    <row r="6439" spans="15:29" x14ac:dyDescent="0.25">
      <c r="O6439" s="42"/>
      <c r="R6439" s="42"/>
      <c r="AC6439" s="42"/>
    </row>
    <row r="6440" spans="15:29" x14ac:dyDescent="0.25">
      <c r="O6440" s="42"/>
      <c r="R6440" s="42"/>
      <c r="AC6440" s="42"/>
    </row>
    <row r="6441" spans="15:29" x14ac:dyDescent="0.25">
      <c r="O6441" s="42"/>
      <c r="R6441" s="42"/>
      <c r="AC6441" s="42"/>
    </row>
    <row r="6442" spans="15:29" x14ac:dyDescent="0.25">
      <c r="O6442" s="42"/>
      <c r="R6442" s="42"/>
      <c r="AC6442" s="42"/>
    </row>
    <row r="6443" spans="15:29" x14ac:dyDescent="0.25">
      <c r="O6443" s="42"/>
      <c r="R6443" s="42"/>
      <c r="AC6443" s="42"/>
    </row>
    <row r="6444" spans="15:29" x14ac:dyDescent="0.25">
      <c r="O6444" s="42"/>
      <c r="R6444" s="42"/>
      <c r="AC6444" s="42"/>
    </row>
    <row r="6445" spans="15:29" x14ac:dyDescent="0.25">
      <c r="O6445" s="42"/>
      <c r="R6445" s="42"/>
      <c r="AC6445" s="42"/>
    </row>
    <row r="6446" spans="15:29" x14ac:dyDescent="0.25">
      <c r="O6446" s="42"/>
      <c r="R6446" s="42"/>
      <c r="AC6446" s="42"/>
    </row>
    <row r="6447" spans="15:29" x14ac:dyDescent="0.25">
      <c r="O6447" s="42"/>
      <c r="R6447" s="42"/>
      <c r="AC6447" s="42"/>
    </row>
    <row r="6448" spans="15:29" x14ac:dyDescent="0.25">
      <c r="O6448" s="42"/>
      <c r="R6448" s="42"/>
      <c r="AC6448" s="42"/>
    </row>
    <row r="6449" spans="15:29" x14ac:dyDescent="0.25">
      <c r="O6449" s="42"/>
      <c r="R6449" s="42"/>
      <c r="AC6449" s="42"/>
    </row>
    <row r="6450" spans="15:29" x14ac:dyDescent="0.25">
      <c r="O6450" s="42"/>
      <c r="R6450" s="42"/>
      <c r="AC6450" s="42"/>
    </row>
    <row r="6451" spans="15:29" x14ac:dyDescent="0.25">
      <c r="O6451" s="42"/>
      <c r="R6451" s="42"/>
      <c r="AC6451" s="42"/>
    </row>
    <row r="6452" spans="15:29" x14ac:dyDescent="0.25">
      <c r="O6452" s="42"/>
      <c r="R6452" s="42"/>
      <c r="AC6452" s="42"/>
    </row>
    <row r="6453" spans="15:29" x14ac:dyDescent="0.25">
      <c r="O6453" s="42"/>
      <c r="R6453" s="42"/>
      <c r="AC6453" s="42"/>
    </row>
    <row r="6454" spans="15:29" x14ac:dyDescent="0.25">
      <c r="O6454" s="42"/>
      <c r="R6454" s="42"/>
      <c r="AC6454" s="42"/>
    </row>
    <row r="6455" spans="15:29" x14ac:dyDescent="0.25">
      <c r="O6455" s="42"/>
      <c r="R6455" s="42"/>
      <c r="AC6455" s="42"/>
    </row>
    <row r="6456" spans="15:29" x14ac:dyDescent="0.25">
      <c r="O6456" s="42"/>
      <c r="R6456" s="42"/>
      <c r="AC6456" s="42"/>
    </row>
    <row r="6457" spans="15:29" x14ac:dyDescent="0.25">
      <c r="O6457" s="42"/>
      <c r="R6457" s="42"/>
      <c r="AC6457" s="42"/>
    </row>
    <row r="6458" spans="15:29" x14ac:dyDescent="0.25">
      <c r="O6458" s="42"/>
      <c r="R6458" s="42"/>
      <c r="AC6458" s="42"/>
    </row>
    <row r="6459" spans="15:29" x14ac:dyDescent="0.25">
      <c r="O6459" s="42"/>
      <c r="R6459" s="42"/>
      <c r="AC6459" s="42"/>
    </row>
    <row r="6460" spans="15:29" x14ac:dyDescent="0.25">
      <c r="O6460" s="42"/>
      <c r="R6460" s="42"/>
      <c r="AC6460" s="42"/>
    </row>
    <row r="6461" spans="15:29" x14ac:dyDescent="0.25">
      <c r="O6461" s="42"/>
      <c r="R6461" s="42"/>
      <c r="AC6461" s="42"/>
    </row>
    <row r="6462" spans="15:29" x14ac:dyDescent="0.25">
      <c r="O6462" s="42"/>
      <c r="R6462" s="42"/>
      <c r="AC6462" s="42"/>
    </row>
    <row r="6463" spans="15:29" x14ac:dyDescent="0.25">
      <c r="O6463" s="42"/>
      <c r="R6463" s="42"/>
      <c r="AC6463" s="42"/>
    </row>
    <row r="6464" spans="15:29" x14ac:dyDescent="0.25">
      <c r="O6464" s="42"/>
      <c r="R6464" s="42"/>
      <c r="AC6464" s="42"/>
    </row>
    <row r="6465" spans="15:29" x14ac:dyDescent="0.25">
      <c r="O6465" s="42"/>
      <c r="R6465" s="42"/>
      <c r="AC6465" s="42"/>
    </row>
    <row r="6466" spans="15:29" x14ac:dyDescent="0.25">
      <c r="O6466" s="42"/>
      <c r="R6466" s="42"/>
      <c r="AC6466" s="42"/>
    </row>
    <row r="6467" spans="15:29" x14ac:dyDescent="0.25">
      <c r="O6467" s="42"/>
      <c r="R6467" s="42"/>
      <c r="AC6467" s="42"/>
    </row>
    <row r="6468" spans="15:29" x14ac:dyDescent="0.25">
      <c r="O6468" s="42"/>
      <c r="R6468" s="42"/>
      <c r="AC6468" s="42"/>
    </row>
    <row r="6469" spans="15:29" x14ac:dyDescent="0.25">
      <c r="O6469" s="42"/>
      <c r="R6469" s="42"/>
      <c r="AC6469" s="42"/>
    </row>
    <row r="6470" spans="15:29" x14ac:dyDescent="0.25">
      <c r="O6470" s="42"/>
      <c r="R6470" s="42"/>
      <c r="AC6470" s="42"/>
    </row>
    <row r="6471" spans="15:29" x14ac:dyDescent="0.25">
      <c r="O6471" s="42"/>
      <c r="R6471" s="42"/>
      <c r="AC6471" s="42"/>
    </row>
    <row r="6472" spans="15:29" x14ac:dyDescent="0.25">
      <c r="O6472" s="42"/>
      <c r="R6472" s="42"/>
      <c r="AC6472" s="42"/>
    </row>
    <row r="6473" spans="15:29" x14ac:dyDescent="0.25">
      <c r="O6473" s="42"/>
      <c r="R6473" s="42"/>
      <c r="AC6473" s="42"/>
    </row>
    <row r="6474" spans="15:29" x14ac:dyDescent="0.25">
      <c r="O6474" s="42"/>
      <c r="R6474" s="42"/>
      <c r="AC6474" s="42"/>
    </row>
    <row r="6475" spans="15:29" x14ac:dyDescent="0.25">
      <c r="O6475" s="42"/>
      <c r="R6475" s="42"/>
      <c r="AC6475" s="42"/>
    </row>
    <row r="6476" spans="15:29" x14ac:dyDescent="0.25">
      <c r="O6476" s="42"/>
      <c r="R6476" s="42"/>
      <c r="AC6476" s="42"/>
    </row>
    <row r="6477" spans="15:29" x14ac:dyDescent="0.25">
      <c r="O6477" s="42"/>
      <c r="R6477" s="42"/>
      <c r="AC6477" s="42"/>
    </row>
    <row r="6478" spans="15:29" x14ac:dyDescent="0.25">
      <c r="O6478" s="42"/>
      <c r="R6478" s="42"/>
      <c r="AC6478" s="42"/>
    </row>
    <row r="6479" spans="15:29" x14ac:dyDescent="0.25">
      <c r="O6479" s="42"/>
      <c r="R6479" s="42"/>
      <c r="AC6479" s="42"/>
    </row>
    <row r="6480" spans="15:29" x14ac:dyDescent="0.25">
      <c r="O6480" s="42"/>
      <c r="R6480" s="42"/>
      <c r="AC6480" s="42"/>
    </row>
    <row r="6481" spans="15:29" x14ac:dyDescent="0.25">
      <c r="O6481" s="42"/>
      <c r="R6481" s="42"/>
      <c r="AC6481" s="42"/>
    </row>
    <row r="6482" spans="15:29" x14ac:dyDescent="0.25">
      <c r="O6482" s="42"/>
      <c r="R6482" s="42"/>
      <c r="AC6482" s="42"/>
    </row>
    <row r="6483" spans="15:29" x14ac:dyDescent="0.25">
      <c r="O6483" s="42"/>
      <c r="R6483" s="42"/>
      <c r="AC6483" s="42"/>
    </row>
    <row r="6484" spans="15:29" x14ac:dyDescent="0.25">
      <c r="O6484" s="42"/>
      <c r="R6484" s="42"/>
      <c r="AC6484" s="42"/>
    </row>
    <row r="6485" spans="15:29" x14ac:dyDescent="0.25">
      <c r="O6485" s="42"/>
      <c r="R6485" s="42"/>
      <c r="AC6485" s="42"/>
    </row>
    <row r="6486" spans="15:29" x14ac:dyDescent="0.25">
      <c r="O6486" s="42"/>
      <c r="R6486" s="42"/>
      <c r="AC6486" s="42"/>
    </row>
    <row r="6487" spans="15:29" x14ac:dyDescent="0.25">
      <c r="O6487" s="42"/>
      <c r="R6487" s="42"/>
      <c r="AC6487" s="42"/>
    </row>
    <row r="6488" spans="15:29" x14ac:dyDescent="0.25">
      <c r="O6488" s="42"/>
      <c r="R6488" s="42"/>
      <c r="AC6488" s="42"/>
    </row>
    <row r="6489" spans="15:29" x14ac:dyDescent="0.25">
      <c r="O6489" s="42"/>
      <c r="R6489" s="42"/>
      <c r="AC6489" s="42"/>
    </row>
    <row r="6490" spans="15:29" x14ac:dyDescent="0.25">
      <c r="O6490" s="42"/>
      <c r="R6490" s="42"/>
      <c r="AC6490" s="42"/>
    </row>
    <row r="6491" spans="15:29" x14ac:dyDescent="0.25">
      <c r="O6491" s="42"/>
      <c r="R6491" s="42"/>
      <c r="AC6491" s="42"/>
    </row>
    <row r="6492" spans="15:29" x14ac:dyDescent="0.25">
      <c r="O6492" s="42"/>
      <c r="R6492" s="42"/>
      <c r="AC6492" s="42"/>
    </row>
    <row r="6493" spans="15:29" x14ac:dyDescent="0.25">
      <c r="O6493" s="42"/>
      <c r="R6493" s="42"/>
      <c r="AC6493" s="42"/>
    </row>
    <row r="6494" spans="15:29" x14ac:dyDescent="0.25">
      <c r="O6494" s="42"/>
      <c r="R6494" s="42"/>
      <c r="AC6494" s="42"/>
    </row>
    <row r="6495" spans="15:29" x14ac:dyDescent="0.25">
      <c r="O6495" s="42"/>
      <c r="R6495" s="42"/>
      <c r="AC6495" s="42"/>
    </row>
    <row r="6496" spans="15:29" x14ac:dyDescent="0.25">
      <c r="O6496" s="42"/>
      <c r="R6496" s="42"/>
      <c r="AC6496" s="42"/>
    </row>
    <row r="6497" spans="15:29" x14ac:dyDescent="0.25">
      <c r="O6497" s="42"/>
      <c r="R6497" s="42"/>
      <c r="AC6497" s="42"/>
    </row>
    <row r="6498" spans="15:29" x14ac:dyDescent="0.25">
      <c r="O6498" s="42"/>
      <c r="R6498" s="42"/>
      <c r="AC6498" s="42"/>
    </row>
    <row r="6499" spans="15:29" x14ac:dyDescent="0.25">
      <c r="O6499" s="42"/>
      <c r="R6499" s="42"/>
      <c r="AC6499" s="42"/>
    </row>
    <row r="6500" spans="15:29" x14ac:dyDescent="0.25">
      <c r="O6500" s="42"/>
      <c r="R6500" s="42"/>
      <c r="AC6500" s="42"/>
    </row>
    <row r="6501" spans="15:29" x14ac:dyDescent="0.25">
      <c r="O6501" s="42"/>
      <c r="R6501" s="42"/>
      <c r="AC6501" s="42"/>
    </row>
    <row r="6502" spans="15:29" x14ac:dyDescent="0.25">
      <c r="O6502" s="42"/>
      <c r="R6502" s="42"/>
      <c r="AC6502" s="42"/>
    </row>
    <row r="6503" spans="15:29" x14ac:dyDescent="0.25">
      <c r="O6503" s="42"/>
      <c r="R6503" s="42"/>
      <c r="AC6503" s="42"/>
    </row>
    <row r="6504" spans="15:29" x14ac:dyDescent="0.25">
      <c r="O6504" s="42"/>
      <c r="R6504" s="42"/>
      <c r="AC6504" s="42"/>
    </row>
    <row r="6505" spans="15:29" x14ac:dyDescent="0.25">
      <c r="O6505" s="42"/>
      <c r="R6505" s="42"/>
      <c r="AC6505" s="42"/>
    </row>
    <row r="6506" spans="15:29" x14ac:dyDescent="0.25">
      <c r="O6506" s="42"/>
      <c r="R6506" s="42"/>
      <c r="AC6506" s="42"/>
    </row>
    <row r="6507" spans="15:29" x14ac:dyDescent="0.25">
      <c r="O6507" s="42"/>
      <c r="R6507" s="42"/>
      <c r="AC6507" s="42"/>
    </row>
    <row r="6508" spans="15:29" x14ac:dyDescent="0.25">
      <c r="O6508" s="42"/>
      <c r="R6508" s="42"/>
      <c r="AC6508" s="42"/>
    </row>
    <row r="6509" spans="15:29" x14ac:dyDescent="0.25">
      <c r="O6509" s="42"/>
      <c r="R6509" s="42"/>
      <c r="AC6509" s="42"/>
    </row>
    <row r="6510" spans="15:29" x14ac:dyDescent="0.25">
      <c r="O6510" s="42"/>
      <c r="R6510" s="42"/>
      <c r="AC6510" s="42"/>
    </row>
    <row r="6511" spans="15:29" x14ac:dyDescent="0.25">
      <c r="O6511" s="42"/>
      <c r="R6511" s="42"/>
      <c r="AC6511" s="42"/>
    </row>
    <row r="6512" spans="15:29" x14ac:dyDescent="0.25">
      <c r="O6512" s="42"/>
      <c r="R6512" s="42"/>
      <c r="AC6512" s="42"/>
    </row>
    <row r="6513" spans="15:29" x14ac:dyDescent="0.25">
      <c r="O6513" s="42"/>
      <c r="R6513" s="42"/>
      <c r="AC6513" s="42"/>
    </row>
    <row r="6514" spans="15:29" x14ac:dyDescent="0.25">
      <c r="O6514" s="42"/>
      <c r="R6514" s="42"/>
      <c r="AC6514" s="42"/>
    </row>
    <row r="6515" spans="15:29" x14ac:dyDescent="0.25">
      <c r="O6515" s="42"/>
      <c r="R6515" s="42"/>
      <c r="AC6515" s="42"/>
    </row>
    <row r="6516" spans="15:29" x14ac:dyDescent="0.25">
      <c r="O6516" s="42"/>
      <c r="R6516" s="42"/>
      <c r="AC6516" s="42"/>
    </row>
    <row r="6517" spans="15:29" x14ac:dyDescent="0.25">
      <c r="O6517" s="42"/>
      <c r="R6517" s="42"/>
      <c r="AC6517" s="42"/>
    </row>
    <row r="6518" spans="15:29" x14ac:dyDescent="0.25">
      <c r="O6518" s="42"/>
      <c r="R6518" s="42"/>
      <c r="AC6518" s="42"/>
    </row>
    <row r="6519" spans="15:29" x14ac:dyDescent="0.25">
      <c r="O6519" s="42"/>
      <c r="R6519" s="42"/>
      <c r="AC6519" s="42"/>
    </row>
    <row r="6520" spans="15:29" x14ac:dyDescent="0.25">
      <c r="O6520" s="42"/>
      <c r="R6520" s="42"/>
      <c r="AC6520" s="42"/>
    </row>
    <row r="6521" spans="15:29" x14ac:dyDescent="0.25">
      <c r="O6521" s="42"/>
      <c r="R6521" s="42"/>
      <c r="AC6521" s="42"/>
    </row>
    <row r="6522" spans="15:29" x14ac:dyDescent="0.25">
      <c r="O6522" s="42"/>
      <c r="R6522" s="42"/>
      <c r="AC6522" s="42"/>
    </row>
    <row r="6523" spans="15:29" x14ac:dyDescent="0.25">
      <c r="O6523" s="42"/>
      <c r="R6523" s="42"/>
      <c r="AC6523" s="42"/>
    </row>
    <row r="6524" spans="15:29" x14ac:dyDescent="0.25">
      <c r="O6524" s="42"/>
      <c r="R6524" s="42"/>
      <c r="AC6524" s="42"/>
    </row>
    <row r="6525" spans="15:29" x14ac:dyDescent="0.25">
      <c r="O6525" s="42"/>
      <c r="R6525" s="42"/>
      <c r="AC6525" s="42"/>
    </row>
    <row r="6526" spans="15:29" x14ac:dyDescent="0.25">
      <c r="O6526" s="42"/>
      <c r="R6526" s="42"/>
      <c r="AC6526" s="42"/>
    </row>
    <row r="6527" spans="15:29" x14ac:dyDescent="0.25">
      <c r="O6527" s="42"/>
      <c r="R6527" s="42"/>
      <c r="AC6527" s="42"/>
    </row>
    <row r="6528" spans="15:29" x14ac:dyDescent="0.25">
      <c r="O6528" s="42"/>
      <c r="R6528" s="42"/>
      <c r="AC6528" s="42"/>
    </row>
    <row r="6529" spans="15:29" x14ac:dyDescent="0.25">
      <c r="O6529" s="42"/>
      <c r="R6529" s="42"/>
      <c r="AC6529" s="42"/>
    </row>
    <row r="6530" spans="15:29" x14ac:dyDescent="0.25">
      <c r="O6530" s="42"/>
      <c r="R6530" s="42"/>
      <c r="AC6530" s="42"/>
    </row>
    <row r="6531" spans="15:29" x14ac:dyDescent="0.25">
      <c r="O6531" s="42"/>
      <c r="R6531" s="42"/>
      <c r="AC6531" s="42"/>
    </row>
    <row r="6532" spans="15:29" x14ac:dyDescent="0.25">
      <c r="O6532" s="42"/>
      <c r="R6532" s="42"/>
      <c r="AC6532" s="42"/>
    </row>
    <row r="6533" spans="15:29" x14ac:dyDescent="0.25">
      <c r="O6533" s="42"/>
      <c r="R6533" s="42"/>
      <c r="AC6533" s="42"/>
    </row>
    <row r="6534" spans="15:29" x14ac:dyDescent="0.25">
      <c r="O6534" s="42"/>
      <c r="R6534" s="42"/>
      <c r="AC6534" s="42"/>
    </row>
    <row r="6535" spans="15:29" x14ac:dyDescent="0.25">
      <c r="O6535" s="42"/>
      <c r="R6535" s="42"/>
      <c r="AC6535" s="42"/>
    </row>
    <row r="6536" spans="15:29" x14ac:dyDescent="0.25">
      <c r="O6536" s="42"/>
      <c r="R6536" s="42"/>
      <c r="AC6536" s="42"/>
    </row>
    <row r="6537" spans="15:29" x14ac:dyDescent="0.25">
      <c r="O6537" s="42"/>
      <c r="R6537" s="42"/>
      <c r="AC6537" s="42"/>
    </row>
    <row r="6538" spans="15:29" x14ac:dyDescent="0.25">
      <c r="O6538" s="42"/>
      <c r="R6538" s="42"/>
      <c r="AC6538" s="42"/>
    </row>
    <row r="6539" spans="15:29" x14ac:dyDescent="0.25">
      <c r="O6539" s="42"/>
      <c r="R6539" s="42"/>
      <c r="AC6539" s="42"/>
    </row>
    <row r="6540" spans="15:29" x14ac:dyDescent="0.25">
      <c r="O6540" s="42"/>
      <c r="R6540" s="42"/>
      <c r="AC6540" s="42"/>
    </row>
    <row r="6541" spans="15:29" x14ac:dyDescent="0.25">
      <c r="O6541" s="42"/>
      <c r="R6541" s="42"/>
      <c r="AC6541" s="42"/>
    </row>
    <row r="6542" spans="15:29" x14ac:dyDescent="0.25">
      <c r="O6542" s="42"/>
      <c r="R6542" s="42"/>
      <c r="AC6542" s="42"/>
    </row>
    <row r="6543" spans="15:29" x14ac:dyDescent="0.25">
      <c r="O6543" s="42"/>
      <c r="R6543" s="42"/>
      <c r="AC6543" s="42"/>
    </row>
    <row r="6544" spans="15:29" x14ac:dyDescent="0.25">
      <c r="O6544" s="42"/>
      <c r="R6544" s="42"/>
      <c r="AC6544" s="42"/>
    </row>
    <row r="6545" spans="15:29" x14ac:dyDescent="0.25">
      <c r="O6545" s="42"/>
      <c r="R6545" s="42"/>
      <c r="AC6545" s="42"/>
    </row>
    <row r="6546" spans="15:29" x14ac:dyDescent="0.25">
      <c r="O6546" s="42"/>
      <c r="R6546" s="42"/>
      <c r="AC6546" s="42"/>
    </row>
    <row r="6547" spans="15:29" x14ac:dyDescent="0.25">
      <c r="O6547" s="42"/>
      <c r="R6547" s="42"/>
      <c r="AC6547" s="42"/>
    </row>
    <row r="6548" spans="15:29" x14ac:dyDescent="0.25">
      <c r="O6548" s="42"/>
      <c r="R6548" s="42"/>
      <c r="AC6548" s="42"/>
    </row>
    <row r="6549" spans="15:29" x14ac:dyDescent="0.25">
      <c r="O6549" s="42"/>
      <c r="R6549" s="42"/>
      <c r="AC6549" s="42"/>
    </row>
    <row r="6550" spans="15:29" x14ac:dyDescent="0.25">
      <c r="O6550" s="42"/>
      <c r="R6550" s="42"/>
      <c r="AC6550" s="42"/>
    </row>
    <row r="6551" spans="15:29" x14ac:dyDescent="0.25">
      <c r="O6551" s="42"/>
      <c r="R6551" s="42"/>
      <c r="AC6551" s="42"/>
    </row>
    <row r="6552" spans="15:29" x14ac:dyDescent="0.25">
      <c r="O6552" s="42"/>
      <c r="R6552" s="42"/>
      <c r="AC6552" s="42"/>
    </row>
    <row r="6553" spans="15:29" x14ac:dyDescent="0.25">
      <c r="O6553" s="42"/>
      <c r="R6553" s="42"/>
      <c r="AC6553" s="42"/>
    </row>
    <row r="6554" spans="15:29" x14ac:dyDescent="0.25">
      <c r="O6554" s="42"/>
      <c r="R6554" s="42"/>
      <c r="AC6554" s="42"/>
    </row>
    <row r="6555" spans="15:29" x14ac:dyDescent="0.25">
      <c r="O6555" s="42"/>
      <c r="R6555" s="42"/>
      <c r="AC6555" s="42"/>
    </row>
    <row r="6556" spans="15:29" x14ac:dyDescent="0.25">
      <c r="O6556" s="42"/>
      <c r="R6556" s="42"/>
      <c r="AC6556" s="42"/>
    </row>
    <row r="6557" spans="15:29" x14ac:dyDescent="0.25">
      <c r="O6557" s="42"/>
      <c r="R6557" s="42"/>
      <c r="AC6557" s="42"/>
    </row>
    <row r="6558" spans="15:29" x14ac:dyDescent="0.25">
      <c r="O6558" s="42"/>
      <c r="R6558" s="42"/>
      <c r="AC6558" s="42"/>
    </row>
    <row r="6559" spans="15:29" x14ac:dyDescent="0.25">
      <c r="O6559" s="42"/>
      <c r="R6559" s="42"/>
      <c r="AC6559" s="42"/>
    </row>
    <row r="6560" spans="15:29" x14ac:dyDescent="0.25">
      <c r="O6560" s="42"/>
      <c r="R6560" s="42"/>
      <c r="AC6560" s="42"/>
    </row>
    <row r="6561" spans="15:29" x14ac:dyDescent="0.25">
      <c r="O6561" s="42"/>
      <c r="R6561" s="42"/>
      <c r="AC6561" s="42"/>
    </row>
    <row r="6562" spans="15:29" x14ac:dyDescent="0.25">
      <c r="O6562" s="42"/>
      <c r="R6562" s="42"/>
      <c r="AC6562" s="42"/>
    </row>
    <row r="6563" spans="15:29" x14ac:dyDescent="0.25">
      <c r="O6563" s="42"/>
      <c r="R6563" s="42"/>
      <c r="AC6563" s="42"/>
    </row>
    <row r="6564" spans="15:29" x14ac:dyDescent="0.25">
      <c r="O6564" s="42"/>
      <c r="R6564" s="42"/>
      <c r="AC6564" s="42"/>
    </row>
    <row r="6565" spans="15:29" x14ac:dyDescent="0.25">
      <c r="O6565" s="42"/>
      <c r="R6565" s="42"/>
      <c r="AC6565" s="42"/>
    </row>
    <row r="6566" spans="15:29" x14ac:dyDescent="0.25">
      <c r="O6566" s="42"/>
      <c r="R6566" s="42"/>
      <c r="AC6566" s="42"/>
    </row>
    <row r="6567" spans="15:29" x14ac:dyDescent="0.25">
      <c r="O6567" s="42"/>
      <c r="R6567" s="42"/>
      <c r="AC6567" s="42"/>
    </row>
    <row r="6568" spans="15:29" x14ac:dyDescent="0.25">
      <c r="O6568" s="42"/>
      <c r="R6568" s="42"/>
      <c r="AC6568" s="42"/>
    </row>
    <row r="6569" spans="15:29" x14ac:dyDescent="0.25">
      <c r="O6569" s="42"/>
      <c r="R6569" s="42"/>
      <c r="AC6569" s="42"/>
    </row>
    <row r="6570" spans="15:29" x14ac:dyDescent="0.25">
      <c r="O6570" s="42"/>
      <c r="R6570" s="42"/>
      <c r="AC6570" s="42"/>
    </row>
    <row r="6571" spans="15:29" x14ac:dyDescent="0.25">
      <c r="O6571" s="42"/>
      <c r="R6571" s="42"/>
      <c r="AC6571" s="42"/>
    </row>
    <row r="6572" spans="15:29" x14ac:dyDescent="0.25">
      <c r="O6572" s="42"/>
      <c r="R6572" s="42"/>
      <c r="AC6572" s="42"/>
    </row>
    <row r="6573" spans="15:29" x14ac:dyDescent="0.25">
      <c r="O6573" s="42"/>
      <c r="R6573" s="42"/>
      <c r="AC6573" s="42"/>
    </row>
    <row r="6574" spans="15:29" x14ac:dyDescent="0.25">
      <c r="O6574" s="42"/>
      <c r="R6574" s="42"/>
      <c r="AC6574" s="42"/>
    </row>
    <row r="6575" spans="15:29" x14ac:dyDescent="0.25">
      <c r="O6575" s="42"/>
      <c r="R6575" s="42"/>
      <c r="AC6575" s="42"/>
    </row>
    <row r="6576" spans="15:29" x14ac:dyDescent="0.25">
      <c r="O6576" s="42"/>
      <c r="R6576" s="42"/>
      <c r="AC6576" s="42"/>
    </row>
    <row r="6577" spans="15:29" x14ac:dyDescent="0.25">
      <c r="O6577" s="42"/>
      <c r="R6577" s="42"/>
      <c r="AC6577" s="42"/>
    </row>
    <row r="6578" spans="15:29" x14ac:dyDescent="0.25">
      <c r="O6578" s="42"/>
      <c r="R6578" s="42"/>
      <c r="AC6578" s="42"/>
    </row>
    <row r="6579" spans="15:29" x14ac:dyDescent="0.25">
      <c r="O6579" s="42"/>
      <c r="R6579" s="42"/>
      <c r="AC6579" s="42"/>
    </row>
    <row r="6580" spans="15:29" x14ac:dyDescent="0.25">
      <c r="O6580" s="42"/>
      <c r="R6580" s="42"/>
      <c r="AC6580" s="42"/>
    </row>
    <row r="6581" spans="15:29" x14ac:dyDescent="0.25">
      <c r="O6581" s="42"/>
      <c r="R6581" s="42"/>
      <c r="AC6581" s="42"/>
    </row>
    <row r="6582" spans="15:29" x14ac:dyDescent="0.25">
      <c r="O6582" s="42"/>
      <c r="R6582" s="42"/>
      <c r="AC6582" s="42"/>
    </row>
    <row r="6583" spans="15:29" x14ac:dyDescent="0.25">
      <c r="O6583" s="42"/>
      <c r="R6583" s="42"/>
      <c r="AC6583" s="42"/>
    </row>
    <row r="6584" spans="15:29" x14ac:dyDescent="0.25">
      <c r="O6584" s="42"/>
      <c r="R6584" s="42"/>
      <c r="AC6584" s="42"/>
    </row>
    <row r="6585" spans="15:29" x14ac:dyDescent="0.25">
      <c r="O6585" s="42"/>
      <c r="R6585" s="42"/>
      <c r="AC6585" s="42"/>
    </row>
    <row r="6586" spans="15:29" x14ac:dyDescent="0.25">
      <c r="O6586" s="42"/>
      <c r="R6586" s="42"/>
      <c r="AC6586" s="42"/>
    </row>
    <row r="6587" spans="15:29" x14ac:dyDescent="0.25">
      <c r="O6587" s="42"/>
      <c r="R6587" s="42"/>
      <c r="AC6587" s="42"/>
    </row>
    <row r="6588" spans="15:29" x14ac:dyDescent="0.25">
      <c r="O6588" s="42"/>
      <c r="R6588" s="42"/>
      <c r="AC6588" s="42"/>
    </row>
    <row r="6589" spans="15:29" x14ac:dyDescent="0.25">
      <c r="O6589" s="42"/>
      <c r="R6589" s="42"/>
      <c r="AC6589" s="42"/>
    </row>
    <row r="6590" spans="15:29" x14ac:dyDescent="0.25">
      <c r="O6590" s="42"/>
      <c r="R6590" s="42"/>
      <c r="AC6590" s="42"/>
    </row>
    <row r="6591" spans="15:29" x14ac:dyDescent="0.25">
      <c r="O6591" s="42"/>
      <c r="R6591" s="42"/>
      <c r="AC6591" s="42"/>
    </row>
    <row r="6592" spans="15:29" x14ac:dyDescent="0.25">
      <c r="O6592" s="42"/>
      <c r="R6592" s="42"/>
      <c r="AC6592" s="42"/>
    </row>
    <row r="6593" spans="15:29" x14ac:dyDescent="0.25">
      <c r="O6593" s="42"/>
      <c r="R6593" s="42"/>
      <c r="AC6593" s="42"/>
    </row>
    <row r="6594" spans="15:29" x14ac:dyDescent="0.25">
      <c r="O6594" s="42"/>
      <c r="R6594" s="42"/>
      <c r="AC6594" s="42"/>
    </row>
    <row r="6595" spans="15:29" x14ac:dyDescent="0.25">
      <c r="O6595" s="42"/>
      <c r="R6595" s="42"/>
      <c r="AC6595" s="42"/>
    </row>
    <row r="6596" spans="15:29" x14ac:dyDescent="0.25">
      <c r="O6596" s="42"/>
      <c r="R6596" s="42"/>
      <c r="AC6596" s="42"/>
    </row>
    <row r="6597" spans="15:29" x14ac:dyDescent="0.25">
      <c r="O6597" s="42"/>
      <c r="R6597" s="42"/>
      <c r="AC6597" s="42"/>
    </row>
    <row r="6598" spans="15:29" x14ac:dyDescent="0.25">
      <c r="O6598" s="42"/>
      <c r="R6598" s="42"/>
      <c r="AC6598" s="42"/>
    </row>
    <row r="6599" spans="15:29" x14ac:dyDescent="0.25">
      <c r="O6599" s="42"/>
      <c r="R6599" s="42"/>
      <c r="AC6599" s="42"/>
    </row>
    <row r="6600" spans="15:29" x14ac:dyDescent="0.25">
      <c r="O6600" s="42"/>
      <c r="R6600" s="42"/>
      <c r="AC6600" s="42"/>
    </row>
    <row r="6601" spans="15:29" x14ac:dyDescent="0.25">
      <c r="O6601" s="42"/>
      <c r="R6601" s="42"/>
      <c r="AC6601" s="42"/>
    </row>
    <row r="6602" spans="15:29" x14ac:dyDescent="0.25">
      <c r="O6602" s="42"/>
      <c r="R6602" s="42"/>
      <c r="AC6602" s="42"/>
    </row>
    <row r="6603" spans="15:29" x14ac:dyDescent="0.25">
      <c r="O6603" s="42"/>
      <c r="R6603" s="42"/>
      <c r="AC6603" s="42"/>
    </row>
    <row r="6604" spans="15:29" x14ac:dyDescent="0.25">
      <c r="O6604" s="42"/>
      <c r="R6604" s="42"/>
      <c r="AC6604" s="42"/>
    </row>
    <row r="6605" spans="15:29" x14ac:dyDescent="0.25">
      <c r="O6605" s="42"/>
      <c r="R6605" s="42"/>
      <c r="AC6605" s="42"/>
    </row>
    <row r="6606" spans="15:29" x14ac:dyDescent="0.25">
      <c r="O6606" s="42"/>
      <c r="R6606" s="42"/>
      <c r="AC6606" s="42"/>
    </row>
    <row r="6607" spans="15:29" x14ac:dyDescent="0.25">
      <c r="O6607" s="42"/>
      <c r="R6607" s="42"/>
      <c r="AC6607" s="42"/>
    </row>
    <row r="6608" spans="15:29" x14ac:dyDescent="0.25">
      <c r="O6608" s="42"/>
      <c r="R6608" s="42"/>
      <c r="AC6608" s="42"/>
    </row>
    <row r="6609" spans="15:29" x14ac:dyDescent="0.25">
      <c r="O6609" s="42"/>
      <c r="R6609" s="42"/>
      <c r="AC6609" s="42"/>
    </row>
    <row r="6610" spans="15:29" x14ac:dyDescent="0.25">
      <c r="O6610" s="42"/>
      <c r="R6610" s="42"/>
      <c r="AC6610" s="42"/>
    </row>
    <row r="6611" spans="15:29" x14ac:dyDescent="0.25">
      <c r="O6611" s="42"/>
      <c r="R6611" s="42"/>
      <c r="AC6611" s="42"/>
    </row>
    <row r="6612" spans="15:29" x14ac:dyDescent="0.25">
      <c r="O6612" s="42"/>
      <c r="R6612" s="42"/>
      <c r="AC6612" s="42"/>
    </row>
    <row r="6613" spans="15:29" x14ac:dyDescent="0.25">
      <c r="O6613" s="42"/>
      <c r="R6613" s="42"/>
      <c r="AC6613" s="42"/>
    </row>
    <row r="6614" spans="15:29" x14ac:dyDescent="0.25">
      <c r="O6614" s="42"/>
      <c r="R6614" s="42"/>
      <c r="AC6614" s="42"/>
    </row>
    <row r="6615" spans="15:29" x14ac:dyDescent="0.25">
      <c r="O6615" s="42"/>
      <c r="R6615" s="42"/>
      <c r="AC6615" s="42"/>
    </row>
    <row r="6616" spans="15:29" x14ac:dyDescent="0.25">
      <c r="O6616" s="42"/>
      <c r="R6616" s="42"/>
      <c r="AC6616" s="42"/>
    </row>
    <row r="6617" spans="15:29" x14ac:dyDescent="0.25">
      <c r="O6617" s="42"/>
      <c r="R6617" s="42"/>
      <c r="AC6617" s="42"/>
    </row>
    <row r="6618" spans="15:29" x14ac:dyDescent="0.25">
      <c r="O6618" s="42"/>
      <c r="R6618" s="42"/>
      <c r="AC6618" s="42"/>
    </row>
    <row r="6619" spans="15:29" x14ac:dyDescent="0.25">
      <c r="O6619" s="42"/>
      <c r="R6619" s="42"/>
      <c r="AC6619" s="42"/>
    </row>
    <row r="6620" spans="15:29" x14ac:dyDescent="0.25">
      <c r="O6620" s="42"/>
      <c r="R6620" s="42"/>
      <c r="AC6620" s="42"/>
    </row>
    <row r="6621" spans="15:29" x14ac:dyDescent="0.25">
      <c r="O6621" s="42"/>
      <c r="R6621" s="42"/>
      <c r="AC6621" s="42"/>
    </row>
    <row r="6622" spans="15:29" x14ac:dyDescent="0.25">
      <c r="O6622" s="42"/>
      <c r="R6622" s="42"/>
      <c r="AC6622" s="42"/>
    </row>
    <row r="6623" spans="15:29" x14ac:dyDescent="0.25">
      <c r="O6623" s="42"/>
      <c r="R6623" s="42"/>
      <c r="AC6623" s="42"/>
    </row>
    <row r="6624" spans="15:29" x14ac:dyDescent="0.25">
      <c r="O6624" s="42"/>
      <c r="R6624" s="42"/>
      <c r="AC6624" s="42"/>
    </row>
    <row r="6625" spans="15:29" x14ac:dyDescent="0.25">
      <c r="O6625" s="42"/>
      <c r="R6625" s="42"/>
      <c r="AC6625" s="42"/>
    </row>
    <row r="6626" spans="15:29" x14ac:dyDescent="0.25">
      <c r="O6626" s="42"/>
      <c r="R6626" s="42"/>
      <c r="AC6626" s="42"/>
    </row>
    <row r="6627" spans="15:29" x14ac:dyDescent="0.25">
      <c r="O6627" s="42"/>
      <c r="R6627" s="42"/>
      <c r="AC6627" s="42"/>
    </row>
    <row r="6628" spans="15:29" x14ac:dyDescent="0.25">
      <c r="O6628" s="42"/>
      <c r="R6628" s="42"/>
      <c r="AC6628" s="42"/>
    </row>
    <row r="6629" spans="15:29" x14ac:dyDescent="0.25">
      <c r="O6629" s="42"/>
      <c r="R6629" s="42"/>
      <c r="AC6629" s="42"/>
    </row>
    <row r="6630" spans="15:29" x14ac:dyDescent="0.25">
      <c r="O6630" s="42"/>
      <c r="R6630" s="42"/>
      <c r="AC6630" s="42"/>
    </row>
    <row r="6631" spans="15:29" x14ac:dyDescent="0.25">
      <c r="O6631" s="42"/>
      <c r="R6631" s="42"/>
      <c r="AC6631" s="42"/>
    </row>
    <row r="6632" spans="15:29" x14ac:dyDescent="0.25">
      <c r="O6632" s="42"/>
      <c r="R6632" s="42"/>
      <c r="AC6632" s="42"/>
    </row>
    <row r="6633" spans="15:29" x14ac:dyDescent="0.25">
      <c r="O6633" s="42"/>
      <c r="R6633" s="42"/>
      <c r="AC6633" s="42"/>
    </row>
    <row r="6634" spans="15:29" x14ac:dyDescent="0.25">
      <c r="O6634" s="42"/>
      <c r="R6634" s="42"/>
      <c r="AC6634" s="42"/>
    </row>
    <row r="6635" spans="15:29" x14ac:dyDescent="0.25">
      <c r="O6635" s="42"/>
      <c r="R6635" s="42"/>
      <c r="AC6635" s="42"/>
    </row>
    <row r="6636" spans="15:29" x14ac:dyDescent="0.25">
      <c r="O6636" s="42"/>
      <c r="R6636" s="42"/>
      <c r="AC6636" s="42"/>
    </row>
    <row r="6637" spans="15:29" x14ac:dyDescent="0.25">
      <c r="O6637" s="42"/>
      <c r="R6637" s="42"/>
      <c r="AC6637" s="42"/>
    </row>
    <row r="6638" spans="15:29" x14ac:dyDescent="0.25">
      <c r="O6638" s="42"/>
      <c r="R6638" s="42"/>
      <c r="AC6638" s="42"/>
    </row>
    <row r="6639" spans="15:29" x14ac:dyDescent="0.25">
      <c r="O6639" s="42"/>
      <c r="R6639" s="42"/>
      <c r="AC6639" s="42"/>
    </row>
    <row r="6640" spans="15:29" x14ac:dyDescent="0.25">
      <c r="O6640" s="42"/>
      <c r="R6640" s="42"/>
      <c r="AC6640" s="42"/>
    </row>
    <row r="6641" spans="15:29" x14ac:dyDescent="0.25">
      <c r="O6641" s="42"/>
      <c r="R6641" s="42"/>
      <c r="AC6641" s="42"/>
    </row>
    <row r="6642" spans="15:29" x14ac:dyDescent="0.25">
      <c r="O6642" s="42"/>
      <c r="R6642" s="42"/>
      <c r="AC6642" s="42"/>
    </row>
    <row r="6643" spans="15:29" x14ac:dyDescent="0.25">
      <c r="O6643" s="42"/>
      <c r="R6643" s="42"/>
      <c r="AC6643" s="42"/>
    </row>
    <row r="6644" spans="15:29" x14ac:dyDescent="0.25">
      <c r="O6644" s="42"/>
      <c r="R6644" s="42"/>
      <c r="AC6644" s="42"/>
    </row>
    <row r="6645" spans="15:29" x14ac:dyDescent="0.25">
      <c r="O6645" s="42"/>
      <c r="R6645" s="42"/>
      <c r="AC6645" s="42"/>
    </row>
    <row r="6646" spans="15:29" x14ac:dyDescent="0.25">
      <c r="O6646" s="42"/>
      <c r="R6646" s="42"/>
      <c r="AC6646" s="42"/>
    </row>
    <row r="6647" spans="15:29" x14ac:dyDescent="0.25">
      <c r="O6647" s="42"/>
      <c r="R6647" s="42"/>
      <c r="AC6647" s="42"/>
    </row>
    <row r="6648" spans="15:29" x14ac:dyDescent="0.25">
      <c r="O6648" s="42"/>
      <c r="R6648" s="42"/>
      <c r="AC6648" s="42"/>
    </row>
    <row r="6649" spans="15:29" x14ac:dyDescent="0.25">
      <c r="O6649" s="42"/>
      <c r="R6649" s="42"/>
      <c r="AC6649" s="42"/>
    </row>
    <row r="6650" spans="15:29" x14ac:dyDescent="0.25">
      <c r="O6650" s="42"/>
      <c r="R6650" s="42"/>
      <c r="AC6650" s="42"/>
    </row>
    <row r="6651" spans="15:29" x14ac:dyDescent="0.25">
      <c r="O6651" s="42"/>
      <c r="R6651" s="42"/>
      <c r="AC6651" s="42"/>
    </row>
    <row r="6652" spans="15:29" x14ac:dyDescent="0.25">
      <c r="O6652" s="42"/>
      <c r="R6652" s="42"/>
      <c r="AC6652" s="42"/>
    </row>
    <row r="6653" spans="15:29" x14ac:dyDescent="0.25">
      <c r="O6653" s="42"/>
      <c r="R6653" s="42"/>
      <c r="AC6653" s="42"/>
    </row>
    <row r="6654" spans="15:29" x14ac:dyDescent="0.25">
      <c r="O6654" s="42"/>
      <c r="R6654" s="42"/>
      <c r="AC6654" s="42"/>
    </row>
    <row r="6655" spans="15:29" x14ac:dyDescent="0.25">
      <c r="O6655" s="42"/>
      <c r="R6655" s="42"/>
      <c r="AC6655" s="42"/>
    </row>
    <row r="6656" spans="15:29" x14ac:dyDescent="0.25">
      <c r="O6656" s="42"/>
      <c r="R6656" s="42"/>
      <c r="AC6656" s="42"/>
    </row>
    <row r="6657" spans="15:29" x14ac:dyDescent="0.25">
      <c r="O6657" s="42"/>
      <c r="R6657" s="42"/>
      <c r="AC6657" s="42"/>
    </row>
    <row r="6658" spans="15:29" x14ac:dyDescent="0.25">
      <c r="O6658" s="42"/>
      <c r="R6658" s="42"/>
      <c r="AC6658" s="42"/>
    </row>
    <row r="6659" spans="15:29" x14ac:dyDescent="0.25">
      <c r="O6659" s="42"/>
      <c r="R6659" s="42"/>
      <c r="AC6659" s="42"/>
    </row>
    <row r="6660" spans="15:29" x14ac:dyDescent="0.25">
      <c r="O6660" s="42"/>
      <c r="R6660" s="42"/>
      <c r="AC6660" s="42"/>
    </row>
    <row r="6661" spans="15:29" x14ac:dyDescent="0.25">
      <c r="O6661" s="42"/>
      <c r="R6661" s="42"/>
      <c r="AC6661" s="42"/>
    </row>
    <row r="6662" spans="15:29" x14ac:dyDescent="0.25">
      <c r="O6662" s="42"/>
      <c r="R6662" s="42"/>
      <c r="AC6662" s="42"/>
    </row>
    <row r="6663" spans="15:29" x14ac:dyDescent="0.25">
      <c r="O6663" s="42"/>
      <c r="R6663" s="42"/>
      <c r="AC6663" s="42"/>
    </row>
    <row r="6664" spans="15:29" x14ac:dyDescent="0.25">
      <c r="O6664" s="42"/>
      <c r="R6664" s="42"/>
      <c r="AC6664" s="42"/>
    </row>
    <row r="6665" spans="15:29" x14ac:dyDescent="0.25">
      <c r="O6665" s="42"/>
      <c r="R6665" s="42"/>
      <c r="AC6665" s="42"/>
    </row>
    <row r="6666" spans="15:29" x14ac:dyDescent="0.25">
      <c r="O6666" s="42"/>
      <c r="R6666" s="42"/>
      <c r="AC6666" s="42"/>
    </row>
    <row r="6667" spans="15:29" x14ac:dyDescent="0.25">
      <c r="O6667" s="42"/>
      <c r="R6667" s="42"/>
      <c r="AC6667" s="42"/>
    </row>
    <row r="6668" spans="15:29" x14ac:dyDescent="0.25">
      <c r="O6668" s="42"/>
      <c r="R6668" s="42"/>
      <c r="AC6668" s="42"/>
    </row>
    <row r="6669" spans="15:29" x14ac:dyDescent="0.25">
      <c r="O6669" s="42"/>
      <c r="R6669" s="42"/>
      <c r="AC6669" s="42"/>
    </row>
    <row r="6670" spans="15:29" x14ac:dyDescent="0.25">
      <c r="O6670" s="42"/>
      <c r="R6670" s="42"/>
      <c r="AC6670" s="42"/>
    </row>
    <row r="6671" spans="15:29" x14ac:dyDescent="0.25">
      <c r="O6671" s="42"/>
      <c r="R6671" s="42"/>
      <c r="AC6671" s="42"/>
    </row>
    <row r="6672" spans="15:29" x14ac:dyDescent="0.25">
      <c r="O6672" s="42"/>
      <c r="R6672" s="42"/>
      <c r="AC6672" s="42"/>
    </row>
    <row r="6673" spans="15:29" x14ac:dyDescent="0.25">
      <c r="O6673" s="42"/>
      <c r="R6673" s="42"/>
      <c r="AC6673" s="42"/>
    </row>
    <row r="6674" spans="15:29" x14ac:dyDescent="0.25">
      <c r="O6674" s="42"/>
      <c r="R6674" s="42"/>
      <c r="AC6674" s="42"/>
    </row>
    <row r="6675" spans="15:29" x14ac:dyDescent="0.25">
      <c r="O6675" s="42"/>
      <c r="R6675" s="42"/>
      <c r="AC6675" s="42"/>
    </row>
    <row r="6676" spans="15:29" x14ac:dyDescent="0.25">
      <c r="O6676" s="42"/>
      <c r="R6676" s="42"/>
      <c r="AC6676" s="42"/>
    </row>
    <row r="6677" spans="15:29" x14ac:dyDescent="0.25">
      <c r="O6677" s="42"/>
      <c r="R6677" s="42"/>
      <c r="AC6677" s="42"/>
    </row>
    <row r="6678" spans="15:29" x14ac:dyDescent="0.25">
      <c r="O6678" s="42"/>
      <c r="R6678" s="42"/>
      <c r="AC6678" s="42"/>
    </row>
    <row r="6679" spans="15:29" x14ac:dyDescent="0.25">
      <c r="O6679" s="42"/>
      <c r="R6679" s="42"/>
      <c r="AC6679" s="42"/>
    </row>
    <row r="6680" spans="15:29" x14ac:dyDescent="0.25">
      <c r="O6680" s="42"/>
      <c r="R6680" s="42"/>
      <c r="AC6680" s="42"/>
    </row>
    <row r="6681" spans="15:29" x14ac:dyDescent="0.25">
      <c r="O6681" s="42"/>
      <c r="R6681" s="42"/>
      <c r="AC6681" s="42"/>
    </row>
    <row r="6682" spans="15:29" x14ac:dyDescent="0.25">
      <c r="O6682" s="42"/>
      <c r="R6682" s="42"/>
      <c r="AC6682" s="42"/>
    </row>
    <row r="6683" spans="15:29" x14ac:dyDescent="0.25">
      <c r="O6683" s="42"/>
      <c r="R6683" s="42"/>
      <c r="AC6683" s="42"/>
    </row>
    <row r="6684" spans="15:29" x14ac:dyDescent="0.25">
      <c r="O6684" s="42"/>
      <c r="R6684" s="42"/>
      <c r="AC6684" s="42"/>
    </row>
    <row r="6685" spans="15:29" x14ac:dyDescent="0.25">
      <c r="O6685" s="42"/>
      <c r="R6685" s="42"/>
      <c r="AC6685" s="42"/>
    </row>
    <row r="6686" spans="15:29" x14ac:dyDescent="0.25">
      <c r="O6686" s="42"/>
      <c r="R6686" s="42"/>
      <c r="AC6686" s="42"/>
    </row>
    <row r="6687" spans="15:29" x14ac:dyDescent="0.25">
      <c r="O6687" s="42"/>
      <c r="R6687" s="42"/>
      <c r="AC6687" s="42"/>
    </row>
    <row r="6688" spans="15:29" x14ac:dyDescent="0.25">
      <c r="O6688" s="42"/>
      <c r="R6688" s="42"/>
      <c r="AC6688" s="42"/>
    </row>
    <row r="6689" spans="15:29" x14ac:dyDescent="0.25">
      <c r="O6689" s="42"/>
      <c r="R6689" s="42"/>
      <c r="AC6689" s="42"/>
    </row>
    <row r="6690" spans="15:29" x14ac:dyDescent="0.25">
      <c r="O6690" s="42"/>
      <c r="R6690" s="42"/>
      <c r="AC6690" s="42"/>
    </row>
    <row r="6691" spans="15:29" x14ac:dyDescent="0.25">
      <c r="O6691" s="42"/>
      <c r="R6691" s="42"/>
      <c r="AC6691" s="42"/>
    </row>
    <row r="6692" spans="15:29" x14ac:dyDescent="0.25">
      <c r="O6692" s="42"/>
      <c r="R6692" s="42"/>
      <c r="AC6692" s="42"/>
    </row>
    <row r="6693" spans="15:29" x14ac:dyDescent="0.25">
      <c r="O6693" s="42"/>
      <c r="R6693" s="42"/>
      <c r="AC6693" s="42"/>
    </row>
    <row r="6694" spans="15:29" x14ac:dyDescent="0.25">
      <c r="O6694" s="42"/>
      <c r="R6694" s="42"/>
      <c r="AC6694" s="42"/>
    </row>
    <row r="6695" spans="15:29" x14ac:dyDescent="0.25">
      <c r="O6695" s="42"/>
      <c r="R6695" s="42"/>
      <c r="AC6695" s="42"/>
    </row>
    <row r="6696" spans="15:29" x14ac:dyDescent="0.25">
      <c r="O6696" s="42"/>
      <c r="R6696" s="42"/>
      <c r="AC6696" s="42"/>
    </row>
    <row r="6697" spans="15:29" x14ac:dyDescent="0.25">
      <c r="O6697" s="42"/>
      <c r="R6697" s="42"/>
      <c r="AC6697" s="42"/>
    </row>
    <row r="6698" spans="15:29" x14ac:dyDescent="0.25">
      <c r="O6698" s="42"/>
      <c r="R6698" s="42"/>
      <c r="AC6698" s="42"/>
    </row>
    <row r="6699" spans="15:29" x14ac:dyDescent="0.25">
      <c r="O6699" s="42"/>
      <c r="R6699" s="42"/>
      <c r="AC6699" s="42"/>
    </row>
    <row r="6700" spans="15:29" x14ac:dyDescent="0.25">
      <c r="O6700" s="42"/>
      <c r="R6700" s="42"/>
      <c r="AC6700" s="42"/>
    </row>
    <row r="6701" spans="15:29" x14ac:dyDescent="0.25">
      <c r="O6701" s="42"/>
      <c r="R6701" s="42"/>
      <c r="AC6701" s="42"/>
    </row>
    <row r="6702" spans="15:29" x14ac:dyDescent="0.25">
      <c r="O6702" s="42"/>
      <c r="R6702" s="42"/>
      <c r="AC6702" s="42"/>
    </row>
    <row r="6703" spans="15:29" x14ac:dyDescent="0.25">
      <c r="O6703" s="42"/>
      <c r="R6703" s="42"/>
      <c r="AC6703" s="42"/>
    </row>
    <row r="6704" spans="15:29" x14ac:dyDescent="0.25">
      <c r="O6704" s="42"/>
      <c r="R6704" s="42"/>
      <c r="AC6704" s="42"/>
    </row>
    <row r="6705" spans="15:29" x14ac:dyDescent="0.25">
      <c r="O6705" s="42"/>
      <c r="R6705" s="42"/>
      <c r="AC6705" s="42"/>
    </row>
    <row r="6706" spans="15:29" x14ac:dyDescent="0.25">
      <c r="O6706" s="42"/>
      <c r="R6706" s="42"/>
      <c r="AC6706" s="42"/>
    </row>
    <row r="6707" spans="15:29" x14ac:dyDescent="0.25">
      <c r="O6707" s="42"/>
      <c r="R6707" s="42"/>
      <c r="AC6707" s="42"/>
    </row>
    <row r="6708" spans="15:29" x14ac:dyDescent="0.25">
      <c r="O6708" s="42"/>
      <c r="R6708" s="42"/>
      <c r="AC6708" s="42"/>
    </row>
    <row r="6709" spans="15:29" x14ac:dyDescent="0.25">
      <c r="O6709" s="42"/>
      <c r="R6709" s="42"/>
      <c r="AC6709" s="42"/>
    </row>
    <row r="6710" spans="15:29" x14ac:dyDescent="0.25">
      <c r="O6710" s="42"/>
      <c r="R6710" s="42"/>
      <c r="AC6710" s="42"/>
    </row>
    <row r="6711" spans="15:29" x14ac:dyDescent="0.25">
      <c r="O6711" s="42"/>
      <c r="R6711" s="42"/>
      <c r="AC6711" s="42"/>
    </row>
    <row r="6712" spans="15:29" x14ac:dyDescent="0.25">
      <c r="O6712" s="42"/>
      <c r="R6712" s="42"/>
      <c r="AC6712" s="42"/>
    </row>
    <row r="6713" spans="15:29" x14ac:dyDescent="0.25">
      <c r="O6713" s="42"/>
      <c r="R6713" s="42"/>
      <c r="AC6713" s="42"/>
    </row>
    <row r="6714" spans="15:29" x14ac:dyDescent="0.25">
      <c r="O6714" s="42"/>
      <c r="R6714" s="42"/>
      <c r="AC6714" s="42"/>
    </row>
    <row r="6715" spans="15:29" x14ac:dyDescent="0.25">
      <c r="O6715" s="42"/>
      <c r="R6715" s="42"/>
      <c r="AC6715" s="42"/>
    </row>
    <row r="6716" spans="15:29" x14ac:dyDescent="0.25">
      <c r="O6716" s="42"/>
      <c r="R6716" s="42"/>
      <c r="AC6716" s="42"/>
    </row>
    <row r="6717" spans="15:29" x14ac:dyDescent="0.25">
      <c r="O6717" s="42"/>
      <c r="R6717" s="42"/>
      <c r="AC6717" s="42"/>
    </row>
    <row r="6718" spans="15:29" x14ac:dyDescent="0.25">
      <c r="O6718" s="42"/>
      <c r="R6718" s="42"/>
      <c r="AC6718" s="42"/>
    </row>
    <row r="6719" spans="15:29" x14ac:dyDescent="0.25">
      <c r="O6719" s="42"/>
      <c r="R6719" s="42"/>
      <c r="AC6719" s="42"/>
    </row>
    <row r="6720" spans="15:29" x14ac:dyDescent="0.25">
      <c r="O6720" s="42"/>
      <c r="R6720" s="42"/>
      <c r="AC6720" s="42"/>
    </row>
    <row r="6721" spans="15:29" x14ac:dyDescent="0.25">
      <c r="O6721" s="42"/>
      <c r="R6721" s="42"/>
      <c r="AC6721" s="42"/>
    </row>
    <row r="6722" spans="15:29" x14ac:dyDescent="0.25">
      <c r="O6722" s="42"/>
      <c r="R6722" s="42"/>
      <c r="AC6722" s="42"/>
    </row>
    <row r="6723" spans="15:29" x14ac:dyDescent="0.25">
      <c r="O6723" s="42"/>
      <c r="R6723" s="42"/>
      <c r="AC6723" s="42"/>
    </row>
    <row r="6724" spans="15:29" x14ac:dyDescent="0.25">
      <c r="O6724" s="42"/>
      <c r="R6724" s="42"/>
      <c r="AC6724" s="42"/>
    </row>
    <row r="6725" spans="15:29" x14ac:dyDescent="0.25">
      <c r="O6725" s="42"/>
      <c r="R6725" s="42"/>
      <c r="AC6725" s="42"/>
    </row>
    <row r="6726" spans="15:29" x14ac:dyDescent="0.25">
      <c r="O6726" s="42"/>
      <c r="R6726" s="42"/>
      <c r="AC6726" s="42"/>
    </row>
    <row r="6727" spans="15:29" x14ac:dyDescent="0.25">
      <c r="O6727" s="42"/>
      <c r="R6727" s="42"/>
      <c r="AC6727" s="42"/>
    </row>
    <row r="6728" spans="15:29" x14ac:dyDescent="0.25">
      <c r="O6728" s="42"/>
      <c r="R6728" s="42"/>
      <c r="AC6728" s="42"/>
    </row>
    <row r="6729" spans="15:29" x14ac:dyDescent="0.25">
      <c r="O6729" s="42"/>
      <c r="R6729" s="42"/>
      <c r="AC6729" s="42"/>
    </row>
    <row r="6730" spans="15:29" x14ac:dyDescent="0.25">
      <c r="O6730" s="42"/>
      <c r="R6730" s="42"/>
      <c r="AC6730" s="42"/>
    </row>
    <row r="6731" spans="15:29" x14ac:dyDescent="0.25">
      <c r="O6731" s="42"/>
      <c r="R6731" s="42"/>
      <c r="AC6731" s="42"/>
    </row>
    <row r="6732" spans="15:29" x14ac:dyDescent="0.25">
      <c r="O6732" s="42"/>
      <c r="R6732" s="42"/>
      <c r="AC6732" s="42"/>
    </row>
    <row r="6733" spans="15:29" x14ac:dyDescent="0.25">
      <c r="O6733" s="42"/>
      <c r="R6733" s="42"/>
      <c r="AC6733" s="42"/>
    </row>
    <row r="6734" spans="15:29" x14ac:dyDescent="0.25">
      <c r="O6734" s="42"/>
      <c r="R6734" s="42"/>
      <c r="AC6734" s="42"/>
    </row>
    <row r="6735" spans="15:29" x14ac:dyDescent="0.25">
      <c r="O6735" s="42"/>
      <c r="R6735" s="42"/>
      <c r="AC6735" s="42"/>
    </row>
    <row r="6736" spans="15:29" x14ac:dyDescent="0.25">
      <c r="O6736" s="42"/>
      <c r="R6736" s="42"/>
      <c r="AC6736" s="42"/>
    </row>
    <row r="6737" spans="15:29" x14ac:dyDescent="0.25">
      <c r="O6737" s="42"/>
      <c r="R6737" s="42"/>
      <c r="AC6737" s="42"/>
    </row>
    <row r="6738" spans="15:29" x14ac:dyDescent="0.25">
      <c r="O6738" s="42"/>
      <c r="R6738" s="42"/>
      <c r="AC6738" s="42"/>
    </row>
    <row r="6739" spans="15:29" x14ac:dyDescent="0.25">
      <c r="O6739" s="42"/>
      <c r="R6739" s="42"/>
      <c r="AC6739" s="42"/>
    </row>
    <row r="6740" spans="15:29" x14ac:dyDescent="0.25">
      <c r="O6740" s="42"/>
      <c r="R6740" s="42"/>
      <c r="AC6740" s="42"/>
    </row>
    <row r="6741" spans="15:29" x14ac:dyDescent="0.25">
      <c r="O6741" s="42"/>
      <c r="R6741" s="42"/>
      <c r="AC6741" s="42"/>
    </row>
    <row r="6742" spans="15:29" x14ac:dyDescent="0.25">
      <c r="O6742" s="42"/>
      <c r="R6742" s="42"/>
      <c r="AC6742" s="42"/>
    </row>
    <row r="6743" spans="15:29" x14ac:dyDescent="0.25">
      <c r="O6743" s="42"/>
      <c r="R6743" s="42"/>
      <c r="AC6743" s="42"/>
    </row>
    <row r="6744" spans="15:29" x14ac:dyDescent="0.25">
      <c r="O6744" s="42"/>
      <c r="R6744" s="42"/>
      <c r="AC6744" s="42"/>
    </row>
    <row r="6745" spans="15:29" x14ac:dyDescent="0.25">
      <c r="O6745" s="42"/>
      <c r="R6745" s="42"/>
      <c r="AC6745" s="42"/>
    </row>
    <row r="6746" spans="15:29" x14ac:dyDescent="0.25">
      <c r="O6746" s="42"/>
      <c r="R6746" s="42"/>
      <c r="AC6746" s="42"/>
    </row>
    <row r="6747" spans="15:29" x14ac:dyDescent="0.25">
      <c r="O6747" s="42"/>
      <c r="R6747" s="42"/>
      <c r="AC6747" s="42"/>
    </row>
    <row r="6748" spans="15:29" x14ac:dyDescent="0.25">
      <c r="O6748" s="42"/>
      <c r="R6748" s="42"/>
      <c r="AC6748" s="42"/>
    </row>
    <row r="6749" spans="15:29" x14ac:dyDescent="0.25">
      <c r="O6749" s="42"/>
      <c r="R6749" s="42"/>
      <c r="AC6749" s="42"/>
    </row>
    <row r="6750" spans="15:29" x14ac:dyDescent="0.25">
      <c r="O6750" s="42"/>
      <c r="R6750" s="42"/>
      <c r="AC6750" s="42"/>
    </row>
    <row r="6751" spans="15:29" x14ac:dyDescent="0.25">
      <c r="O6751" s="42"/>
      <c r="R6751" s="42"/>
      <c r="AC6751" s="42"/>
    </row>
    <row r="6752" spans="15:29" x14ac:dyDescent="0.25">
      <c r="O6752" s="42"/>
      <c r="R6752" s="42"/>
      <c r="AC6752" s="42"/>
    </row>
    <row r="6753" spans="15:29" x14ac:dyDescent="0.25">
      <c r="O6753" s="42"/>
      <c r="R6753" s="42"/>
      <c r="AC6753" s="42"/>
    </row>
    <row r="6754" spans="15:29" x14ac:dyDescent="0.25">
      <c r="O6754" s="42"/>
      <c r="R6754" s="42"/>
      <c r="AC6754" s="42"/>
    </row>
    <row r="6755" spans="15:29" x14ac:dyDescent="0.25">
      <c r="O6755" s="42"/>
      <c r="R6755" s="42"/>
      <c r="AC6755" s="42"/>
    </row>
    <row r="6756" spans="15:29" x14ac:dyDescent="0.25">
      <c r="O6756" s="42"/>
      <c r="R6756" s="42"/>
      <c r="AC6756" s="42"/>
    </row>
    <row r="6757" spans="15:29" x14ac:dyDescent="0.25">
      <c r="O6757" s="42"/>
      <c r="R6757" s="42"/>
      <c r="AC6757" s="42"/>
    </row>
    <row r="6758" spans="15:29" x14ac:dyDescent="0.25">
      <c r="O6758" s="42"/>
      <c r="R6758" s="42"/>
      <c r="AC6758" s="42"/>
    </row>
    <row r="6759" spans="15:29" x14ac:dyDescent="0.25">
      <c r="O6759" s="42"/>
      <c r="R6759" s="42"/>
      <c r="AC6759" s="42"/>
    </row>
    <row r="6760" spans="15:29" x14ac:dyDescent="0.25">
      <c r="O6760" s="42"/>
      <c r="R6760" s="42"/>
      <c r="AC6760" s="42"/>
    </row>
    <row r="6761" spans="15:29" x14ac:dyDescent="0.25">
      <c r="O6761" s="42"/>
      <c r="R6761" s="42"/>
      <c r="AC6761" s="42"/>
    </row>
    <row r="6762" spans="15:29" x14ac:dyDescent="0.25">
      <c r="O6762" s="42"/>
      <c r="R6762" s="42"/>
      <c r="AC6762" s="42"/>
    </row>
    <row r="6763" spans="15:29" x14ac:dyDescent="0.25">
      <c r="O6763" s="42"/>
      <c r="R6763" s="42"/>
      <c r="AC6763" s="42"/>
    </row>
    <row r="6764" spans="15:29" x14ac:dyDescent="0.25">
      <c r="O6764" s="42"/>
      <c r="R6764" s="42"/>
      <c r="AC6764" s="42"/>
    </row>
    <row r="6765" spans="15:29" x14ac:dyDescent="0.25">
      <c r="O6765" s="42"/>
      <c r="R6765" s="42"/>
      <c r="AC6765" s="42"/>
    </row>
    <row r="6766" spans="15:29" x14ac:dyDescent="0.25">
      <c r="O6766" s="42"/>
      <c r="R6766" s="42"/>
      <c r="AC6766" s="42"/>
    </row>
    <row r="6767" spans="15:29" x14ac:dyDescent="0.25">
      <c r="O6767" s="42"/>
      <c r="R6767" s="42"/>
      <c r="AC6767" s="42"/>
    </row>
    <row r="6768" spans="15:29" x14ac:dyDescent="0.25">
      <c r="O6768" s="42"/>
      <c r="R6768" s="42"/>
      <c r="AC6768" s="42"/>
    </row>
    <row r="6769" spans="15:29" x14ac:dyDescent="0.25">
      <c r="O6769" s="42"/>
      <c r="R6769" s="42"/>
      <c r="AC6769" s="42"/>
    </row>
    <row r="6770" spans="15:29" x14ac:dyDescent="0.25">
      <c r="O6770" s="42"/>
      <c r="R6770" s="42"/>
      <c r="AC6770" s="42"/>
    </row>
    <row r="6771" spans="15:29" x14ac:dyDescent="0.25">
      <c r="O6771" s="42"/>
      <c r="R6771" s="42"/>
      <c r="AC6771" s="42"/>
    </row>
    <row r="6772" spans="15:29" x14ac:dyDescent="0.25">
      <c r="O6772" s="42"/>
      <c r="R6772" s="42"/>
      <c r="AC6772" s="42"/>
    </row>
    <row r="6773" spans="15:29" x14ac:dyDescent="0.25">
      <c r="O6773" s="42"/>
      <c r="R6773" s="42"/>
      <c r="AC6773" s="42"/>
    </row>
    <row r="6774" spans="15:29" x14ac:dyDescent="0.25">
      <c r="O6774" s="42"/>
      <c r="R6774" s="42"/>
      <c r="AC6774" s="42"/>
    </row>
    <row r="6775" spans="15:29" x14ac:dyDescent="0.25">
      <c r="O6775" s="42"/>
      <c r="R6775" s="42"/>
      <c r="AC6775" s="42"/>
    </row>
    <row r="6776" spans="15:29" x14ac:dyDescent="0.25">
      <c r="O6776" s="42"/>
      <c r="R6776" s="42"/>
      <c r="AC6776" s="42"/>
    </row>
    <row r="6777" spans="15:29" x14ac:dyDescent="0.25">
      <c r="O6777" s="42"/>
      <c r="R6777" s="42"/>
      <c r="AC6777" s="42"/>
    </row>
    <row r="6778" spans="15:29" x14ac:dyDescent="0.25">
      <c r="O6778" s="42"/>
      <c r="R6778" s="42"/>
      <c r="AC6778" s="42"/>
    </row>
    <row r="6779" spans="15:29" x14ac:dyDescent="0.25">
      <c r="O6779" s="42"/>
      <c r="R6779" s="42"/>
      <c r="AC6779" s="42"/>
    </row>
    <row r="6780" spans="15:29" x14ac:dyDescent="0.25">
      <c r="O6780" s="42"/>
      <c r="R6780" s="42"/>
      <c r="AC6780" s="42"/>
    </row>
    <row r="6781" spans="15:29" x14ac:dyDescent="0.25">
      <c r="O6781" s="42"/>
      <c r="R6781" s="42"/>
      <c r="AC6781" s="42"/>
    </row>
    <row r="6782" spans="15:29" x14ac:dyDescent="0.25">
      <c r="O6782" s="42"/>
      <c r="R6782" s="42"/>
      <c r="AC6782" s="42"/>
    </row>
    <row r="6783" spans="15:29" x14ac:dyDescent="0.25">
      <c r="O6783" s="42"/>
      <c r="R6783" s="42"/>
      <c r="AC6783" s="42"/>
    </row>
    <row r="6784" spans="15:29" x14ac:dyDescent="0.25">
      <c r="O6784" s="42"/>
      <c r="R6784" s="42"/>
      <c r="AC6784" s="42"/>
    </row>
    <row r="6785" spans="15:29" x14ac:dyDescent="0.25">
      <c r="O6785" s="42"/>
      <c r="R6785" s="42"/>
      <c r="AC6785" s="42"/>
    </row>
    <row r="6786" spans="15:29" x14ac:dyDescent="0.25">
      <c r="O6786" s="42"/>
      <c r="R6786" s="42"/>
      <c r="AC6786" s="42"/>
    </row>
    <row r="6787" spans="15:29" x14ac:dyDescent="0.25">
      <c r="O6787" s="42"/>
      <c r="R6787" s="42"/>
      <c r="AC6787" s="42"/>
    </row>
    <row r="6788" spans="15:29" x14ac:dyDescent="0.25">
      <c r="O6788" s="42"/>
      <c r="R6788" s="42"/>
      <c r="AC6788" s="42"/>
    </row>
    <row r="6789" spans="15:29" x14ac:dyDescent="0.25">
      <c r="O6789" s="42"/>
      <c r="R6789" s="42"/>
      <c r="AC6789" s="42"/>
    </row>
    <row r="6790" spans="15:29" x14ac:dyDescent="0.25">
      <c r="O6790" s="42"/>
      <c r="R6790" s="42"/>
      <c r="AC6790" s="42"/>
    </row>
    <row r="6791" spans="15:29" x14ac:dyDescent="0.25">
      <c r="O6791" s="42"/>
      <c r="R6791" s="42"/>
      <c r="AC6791" s="42"/>
    </row>
    <row r="6792" spans="15:29" x14ac:dyDescent="0.25">
      <c r="O6792" s="42"/>
      <c r="R6792" s="42"/>
      <c r="AC6792" s="42"/>
    </row>
    <row r="6793" spans="15:29" x14ac:dyDescent="0.25">
      <c r="O6793" s="42"/>
      <c r="R6793" s="42"/>
      <c r="AC6793" s="42"/>
    </row>
    <row r="6794" spans="15:29" x14ac:dyDescent="0.25">
      <c r="O6794" s="42"/>
      <c r="R6794" s="42"/>
      <c r="AC6794" s="42"/>
    </row>
    <row r="6795" spans="15:29" x14ac:dyDescent="0.25">
      <c r="O6795" s="42"/>
      <c r="R6795" s="42"/>
      <c r="AC6795" s="42"/>
    </row>
    <row r="6796" spans="15:29" x14ac:dyDescent="0.25">
      <c r="O6796" s="42"/>
      <c r="R6796" s="42"/>
      <c r="AC6796" s="42"/>
    </row>
    <row r="6797" spans="15:29" x14ac:dyDescent="0.25">
      <c r="O6797" s="42"/>
      <c r="R6797" s="42"/>
      <c r="AC6797" s="42"/>
    </row>
    <row r="6798" spans="15:29" x14ac:dyDescent="0.25">
      <c r="O6798" s="42"/>
      <c r="R6798" s="42"/>
      <c r="AC6798" s="42"/>
    </row>
    <row r="6799" spans="15:29" x14ac:dyDescent="0.25">
      <c r="O6799" s="42"/>
      <c r="R6799" s="42"/>
      <c r="AC6799" s="42"/>
    </row>
    <row r="6800" spans="15:29" x14ac:dyDescent="0.25">
      <c r="O6800" s="42"/>
      <c r="R6800" s="42"/>
      <c r="AC6800" s="42"/>
    </row>
    <row r="6801" spans="15:29" x14ac:dyDescent="0.25">
      <c r="O6801" s="42"/>
      <c r="R6801" s="42"/>
      <c r="AC6801" s="42"/>
    </row>
    <row r="6802" spans="15:29" x14ac:dyDescent="0.25">
      <c r="O6802" s="42"/>
      <c r="R6802" s="42"/>
      <c r="AC6802" s="42"/>
    </row>
    <row r="6803" spans="15:29" x14ac:dyDescent="0.25">
      <c r="O6803" s="42"/>
      <c r="R6803" s="42"/>
      <c r="AC6803" s="42"/>
    </row>
    <row r="6804" spans="15:29" x14ac:dyDescent="0.25">
      <c r="O6804" s="42"/>
      <c r="R6804" s="42"/>
      <c r="AC6804" s="42"/>
    </row>
    <row r="6805" spans="15:29" x14ac:dyDescent="0.25">
      <c r="O6805" s="42"/>
      <c r="R6805" s="42"/>
      <c r="AC6805" s="42"/>
    </row>
    <row r="6806" spans="15:29" x14ac:dyDescent="0.25">
      <c r="O6806" s="42"/>
      <c r="R6806" s="42"/>
      <c r="AC6806" s="42"/>
    </row>
    <row r="6807" spans="15:29" x14ac:dyDescent="0.25">
      <c r="O6807" s="42"/>
      <c r="R6807" s="42"/>
      <c r="AC6807" s="42"/>
    </row>
    <row r="6808" spans="15:29" x14ac:dyDescent="0.25">
      <c r="O6808" s="42"/>
      <c r="R6808" s="42"/>
      <c r="AC6808" s="42"/>
    </row>
    <row r="6809" spans="15:29" x14ac:dyDescent="0.25">
      <c r="O6809" s="42"/>
      <c r="R6809" s="42"/>
      <c r="AC6809" s="42"/>
    </row>
    <row r="6810" spans="15:29" x14ac:dyDescent="0.25">
      <c r="O6810" s="42"/>
      <c r="R6810" s="42"/>
      <c r="AC6810" s="42"/>
    </row>
    <row r="6811" spans="15:29" x14ac:dyDescent="0.25">
      <c r="O6811" s="42"/>
      <c r="R6811" s="42"/>
      <c r="AC6811" s="42"/>
    </row>
    <row r="6812" spans="15:29" x14ac:dyDescent="0.25">
      <c r="O6812" s="42"/>
      <c r="R6812" s="42"/>
      <c r="AC6812" s="42"/>
    </row>
    <row r="6813" spans="15:29" x14ac:dyDescent="0.25">
      <c r="O6813" s="42"/>
      <c r="R6813" s="42"/>
      <c r="AC6813" s="42"/>
    </row>
    <row r="6814" spans="15:29" x14ac:dyDescent="0.25">
      <c r="O6814" s="42"/>
      <c r="R6814" s="42"/>
      <c r="AC6814" s="42"/>
    </row>
    <row r="6815" spans="15:29" x14ac:dyDescent="0.25">
      <c r="O6815" s="42"/>
      <c r="R6815" s="42"/>
      <c r="AC6815" s="42"/>
    </row>
    <row r="6816" spans="15:29" x14ac:dyDescent="0.25">
      <c r="O6816" s="42"/>
      <c r="R6816" s="42"/>
      <c r="AC6816" s="42"/>
    </row>
    <row r="6817" spans="15:29" x14ac:dyDescent="0.25">
      <c r="O6817" s="42"/>
      <c r="R6817" s="42"/>
      <c r="AC6817" s="42"/>
    </row>
    <row r="6818" spans="15:29" x14ac:dyDescent="0.25">
      <c r="O6818" s="42"/>
      <c r="R6818" s="42"/>
      <c r="AC6818" s="42"/>
    </row>
    <row r="6819" spans="15:29" x14ac:dyDescent="0.25">
      <c r="O6819" s="42"/>
      <c r="R6819" s="42"/>
      <c r="AC6819" s="42"/>
    </row>
    <row r="6820" spans="15:29" x14ac:dyDescent="0.25">
      <c r="O6820" s="42"/>
      <c r="R6820" s="42"/>
      <c r="AC6820" s="42"/>
    </row>
    <row r="6821" spans="15:29" x14ac:dyDescent="0.25">
      <c r="O6821" s="42"/>
      <c r="R6821" s="42"/>
      <c r="AC6821" s="42"/>
    </row>
    <row r="6822" spans="15:29" x14ac:dyDescent="0.25">
      <c r="O6822" s="42"/>
      <c r="R6822" s="42"/>
      <c r="AC6822" s="42"/>
    </row>
    <row r="6823" spans="15:29" x14ac:dyDescent="0.25">
      <c r="O6823" s="42"/>
      <c r="R6823" s="42"/>
      <c r="AC6823" s="42"/>
    </row>
    <row r="6824" spans="15:29" x14ac:dyDescent="0.25">
      <c r="O6824" s="42"/>
      <c r="R6824" s="42"/>
      <c r="AC6824" s="42"/>
    </row>
    <row r="6825" spans="15:29" x14ac:dyDescent="0.25">
      <c r="O6825" s="42"/>
      <c r="R6825" s="42"/>
      <c r="AC6825" s="42"/>
    </row>
    <row r="6826" spans="15:29" x14ac:dyDescent="0.25">
      <c r="O6826" s="42"/>
      <c r="R6826" s="42"/>
      <c r="AC6826" s="42"/>
    </row>
    <row r="6827" spans="15:29" x14ac:dyDescent="0.25">
      <c r="O6827" s="42"/>
      <c r="R6827" s="42"/>
      <c r="AC6827" s="42"/>
    </row>
    <row r="6828" spans="15:29" x14ac:dyDescent="0.25">
      <c r="O6828" s="42"/>
      <c r="R6828" s="42"/>
      <c r="AC6828" s="42"/>
    </row>
    <row r="6829" spans="15:29" x14ac:dyDescent="0.25">
      <c r="O6829" s="42"/>
      <c r="R6829" s="42"/>
      <c r="AC6829" s="42"/>
    </row>
    <row r="6830" spans="15:29" x14ac:dyDescent="0.25">
      <c r="O6830" s="42"/>
      <c r="R6830" s="42"/>
      <c r="AC6830" s="42"/>
    </row>
    <row r="6831" spans="15:29" x14ac:dyDescent="0.25">
      <c r="O6831" s="42"/>
      <c r="R6831" s="42"/>
      <c r="AC6831" s="42"/>
    </row>
    <row r="6832" spans="15:29" x14ac:dyDescent="0.25">
      <c r="O6832" s="42"/>
      <c r="R6832" s="42"/>
      <c r="AC6832" s="42"/>
    </row>
    <row r="6833" spans="15:29" x14ac:dyDescent="0.25">
      <c r="O6833" s="42"/>
      <c r="R6833" s="42"/>
      <c r="AC6833" s="42"/>
    </row>
    <row r="6834" spans="15:29" x14ac:dyDescent="0.25">
      <c r="O6834" s="42"/>
      <c r="R6834" s="42"/>
      <c r="AC6834" s="42"/>
    </row>
    <row r="6835" spans="15:29" x14ac:dyDescent="0.25">
      <c r="O6835" s="42"/>
      <c r="R6835" s="42"/>
      <c r="AC6835" s="42"/>
    </row>
    <row r="6836" spans="15:29" x14ac:dyDescent="0.25">
      <c r="O6836" s="42"/>
      <c r="R6836" s="42"/>
      <c r="AC6836" s="42"/>
    </row>
    <row r="6837" spans="15:29" x14ac:dyDescent="0.25">
      <c r="O6837" s="42"/>
      <c r="R6837" s="42"/>
      <c r="AC6837" s="42"/>
    </row>
    <row r="6838" spans="15:29" x14ac:dyDescent="0.25">
      <c r="O6838" s="42"/>
      <c r="R6838" s="42"/>
      <c r="AC6838" s="42"/>
    </row>
    <row r="6839" spans="15:29" x14ac:dyDescent="0.25">
      <c r="O6839" s="42"/>
      <c r="R6839" s="42"/>
      <c r="AC6839" s="42"/>
    </row>
    <row r="6840" spans="15:29" x14ac:dyDescent="0.25">
      <c r="O6840" s="42"/>
      <c r="R6840" s="42"/>
      <c r="AC6840" s="42"/>
    </row>
    <row r="6841" spans="15:29" x14ac:dyDescent="0.25">
      <c r="O6841" s="42"/>
      <c r="R6841" s="42"/>
      <c r="AC6841" s="42"/>
    </row>
    <row r="6842" spans="15:29" x14ac:dyDescent="0.25">
      <c r="O6842" s="42"/>
      <c r="R6842" s="42"/>
      <c r="AC6842" s="42"/>
    </row>
    <row r="6843" spans="15:29" x14ac:dyDescent="0.25">
      <c r="O6843" s="42"/>
      <c r="R6843" s="42"/>
      <c r="AC6843" s="42"/>
    </row>
    <row r="6844" spans="15:29" x14ac:dyDescent="0.25">
      <c r="O6844" s="42"/>
      <c r="R6844" s="42"/>
      <c r="AC6844" s="42"/>
    </row>
    <row r="6845" spans="15:29" x14ac:dyDescent="0.25">
      <c r="O6845" s="42"/>
      <c r="R6845" s="42"/>
      <c r="AC6845" s="42"/>
    </row>
    <row r="6846" spans="15:29" x14ac:dyDescent="0.25">
      <c r="O6846" s="42"/>
      <c r="R6846" s="42"/>
      <c r="AC6846" s="42"/>
    </row>
    <row r="6847" spans="15:29" x14ac:dyDescent="0.25">
      <c r="O6847" s="42"/>
      <c r="R6847" s="42"/>
      <c r="AC6847" s="42"/>
    </row>
    <row r="6848" spans="15:29" x14ac:dyDescent="0.25">
      <c r="O6848" s="42"/>
      <c r="R6848" s="42"/>
      <c r="AC6848" s="42"/>
    </row>
    <row r="6849" spans="15:29" x14ac:dyDescent="0.25">
      <c r="O6849" s="42"/>
      <c r="R6849" s="42"/>
      <c r="AC6849" s="42"/>
    </row>
    <row r="6850" spans="15:29" x14ac:dyDescent="0.25">
      <c r="O6850" s="42"/>
      <c r="R6850" s="42"/>
      <c r="AC6850" s="42"/>
    </row>
    <row r="6851" spans="15:29" x14ac:dyDescent="0.25">
      <c r="O6851" s="42"/>
      <c r="R6851" s="42"/>
      <c r="AC6851" s="42"/>
    </row>
    <row r="6852" spans="15:29" x14ac:dyDescent="0.25">
      <c r="O6852" s="42"/>
      <c r="R6852" s="42"/>
      <c r="AC6852" s="42"/>
    </row>
    <row r="6853" spans="15:29" x14ac:dyDescent="0.25">
      <c r="O6853" s="42"/>
      <c r="R6853" s="42"/>
      <c r="AC6853" s="42"/>
    </row>
    <row r="6854" spans="15:29" x14ac:dyDescent="0.25">
      <c r="O6854" s="42"/>
      <c r="R6854" s="42"/>
      <c r="AC6854" s="42"/>
    </row>
    <row r="6855" spans="15:29" x14ac:dyDescent="0.25">
      <c r="O6855" s="42"/>
      <c r="R6855" s="42"/>
      <c r="AC6855" s="42"/>
    </row>
    <row r="6856" spans="15:29" x14ac:dyDescent="0.25">
      <c r="O6856" s="42"/>
      <c r="R6856" s="42"/>
      <c r="AC6856" s="42"/>
    </row>
    <row r="6857" spans="15:29" x14ac:dyDescent="0.25">
      <c r="O6857" s="42"/>
      <c r="R6857" s="42"/>
      <c r="AC6857" s="42"/>
    </row>
    <row r="6858" spans="15:29" x14ac:dyDescent="0.25">
      <c r="O6858" s="42"/>
      <c r="R6858" s="42"/>
      <c r="AC6858" s="42"/>
    </row>
    <row r="6859" spans="15:29" x14ac:dyDescent="0.25">
      <c r="O6859" s="42"/>
      <c r="R6859" s="42"/>
      <c r="AC6859" s="42"/>
    </row>
    <row r="6860" spans="15:29" x14ac:dyDescent="0.25">
      <c r="O6860" s="42"/>
      <c r="R6860" s="42"/>
      <c r="AC6860" s="42"/>
    </row>
    <row r="6861" spans="15:29" x14ac:dyDescent="0.25">
      <c r="O6861" s="42"/>
      <c r="R6861" s="42"/>
      <c r="AC6861" s="42"/>
    </row>
    <row r="6862" spans="15:29" x14ac:dyDescent="0.25">
      <c r="O6862" s="42"/>
      <c r="R6862" s="42"/>
      <c r="AC6862" s="42"/>
    </row>
    <row r="6863" spans="15:29" x14ac:dyDescent="0.25">
      <c r="O6863" s="42"/>
      <c r="R6863" s="42"/>
      <c r="AC6863" s="42"/>
    </row>
    <row r="6864" spans="15:29" x14ac:dyDescent="0.25">
      <c r="O6864" s="42"/>
      <c r="R6864" s="42"/>
      <c r="AC6864" s="42"/>
    </row>
    <row r="6865" spans="15:29" x14ac:dyDescent="0.25">
      <c r="O6865" s="42"/>
      <c r="R6865" s="42"/>
      <c r="AC6865" s="42"/>
    </row>
    <row r="6866" spans="15:29" x14ac:dyDescent="0.25">
      <c r="O6866" s="42"/>
      <c r="R6866" s="42"/>
      <c r="AC6866" s="42"/>
    </row>
    <row r="6867" spans="15:29" x14ac:dyDescent="0.25">
      <c r="O6867" s="42"/>
      <c r="R6867" s="42"/>
      <c r="AC6867" s="42"/>
    </row>
    <row r="6868" spans="15:29" x14ac:dyDescent="0.25">
      <c r="O6868" s="42"/>
      <c r="R6868" s="42"/>
      <c r="AC6868" s="42"/>
    </row>
    <row r="6869" spans="15:29" x14ac:dyDescent="0.25">
      <c r="O6869" s="42"/>
      <c r="R6869" s="42"/>
      <c r="AC6869" s="42"/>
    </row>
    <row r="6870" spans="15:29" x14ac:dyDescent="0.25">
      <c r="O6870" s="42"/>
      <c r="R6870" s="42"/>
      <c r="AC6870" s="42"/>
    </row>
    <row r="6871" spans="15:29" x14ac:dyDescent="0.25">
      <c r="O6871" s="42"/>
      <c r="R6871" s="42"/>
      <c r="AC6871" s="42"/>
    </row>
    <row r="6872" spans="15:29" x14ac:dyDescent="0.25">
      <c r="O6872" s="42"/>
      <c r="R6872" s="42"/>
      <c r="AC6872" s="42"/>
    </row>
    <row r="6873" spans="15:29" x14ac:dyDescent="0.25">
      <c r="O6873" s="42"/>
      <c r="R6873" s="42"/>
      <c r="AC6873" s="42"/>
    </row>
    <row r="6874" spans="15:29" x14ac:dyDescent="0.25">
      <c r="O6874" s="42"/>
      <c r="R6874" s="42"/>
      <c r="AC6874" s="42"/>
    </row>
    <row r="6875" spans="15:29" x14ac:dyDescent="0.25">
      <c r="O6875" s="42"/>
      <c r="R6875" s="42"/>
      <c r="AC6875" s="42"/>
    </row>
    <row r="6876" spans="15:29" x14ac:dyDescent="0.25">
      <c r="O6876" s="42"/>
      <c r="R6876" s="42"/>
      <c r="AC6876" s="42"/>
    </row>
    <row r="6877" spans="15:29" x14ac:dyDescent="0.25">
      <c r="O6877" s="42"/>
      <c r="R6877" s="42"/>
      <c r="AC6877" s="42"/>
    </row>
    <row r="6878" spans="15:29" x14ac:dyDescent="0.25">
      <c r="O6878" s="42"/>
      <c r="R6878" s="42"/>
      <c r="AC6878" s="42"/>
    </row>
    <row r="6879" spans="15:29" x14ac:dyDescent="0.25">
      <c r="O6879" s="42"/>
      <c r="R6879" s="42"/>
      <c r="AC6879" s="42"/>
    </row>
    <row r="6880" spans="15:29" x14ac:dyDescent="0.25">
      <c r="O6880" s="42"/>
      <c r="R6880" s="42"/>
      <c r="AC6880" s="42"/>
    </row>
    <row r="6881" spans="15:29" x14ac:dyDescent="0.25">
      <c r="O6881" s="42"/>
      <c r="R6881" s="42"/>
      <c r="AC6881" s="42"/>
    </row>
    <row r="6882" spans="15:29" x14ac:dyDescent="0.25">
      <c r="O6882" s="42"/>
      <c r="R6882" s="42"/>
      <c r="AC6882" s="42"/>
    </row>
    <row r="6883" spans="15:29" x14ac:dyDescent="0.25">
      <c r="O6883" s="42"/>
      <c r="R6883" s="42"/>
      <c r="AC6883" s="42"/>
    </row>
    <row r="6884" spans="15:29" x14ac:dyDescent="0.25">
      <c r="O6884" s="42"/>
      <c r="R6884" s="42"/>
      <c r="AC6884" s="42"/>
    </row>
    <row r="6885" spans="15:29" x14ac:dyDescent="0.25">
      <c r="O6885" s="42"/>
      <c r="R6885" s="42"/>
      <c r="AC6885" s="42"/>
    </row>
    <row r="6886" spans="15:29" x14ac:dyDescent="0.25">
      <c r="O6886" s="42"/>
      <c r="R6886" s="42"/>
      <c r="AC6886" s="42"/>
    </row>
    <row r="6887" spans="15:29" x14ac:dyDescent="0.25">
      <c r="O6887" s="42"/>
      <c r="R6887" s="42"/>
      <c r="AC6887" s="42"/>
    </row>
    <row r="6888" spans="15:29" x14ac:dyDescent="0.25">
      <c r="O6888" s="42"/>
      <c r="R6888" s="42"/>
      <c r="AC6888" s="42"/>
    </row>
    <row r="6889" spans="15:29" x14ac:dyDescent="0.25">
      <c r="O6889" s="42"/>
      <c r="R6889" s="42"/>
      <c r="AC6889" s="42"/>
    </row>
    <row r="6890" spans="15:29" x14ac:dyDescent="0.25">
      <c r="O6890" s="42"/>
      <c r="R6890" s="42"/>
      <c r="AC6890" s="42"/>
    </row>
    <row r="6891" spans="15:29" x14ac:dyDescent="0.25">
      <c r="O6891" s="42"/>
      <c r="R6891" s="42"/>
      <c r="AC6891" s="42"/>
    </row>
    <row r="6892" spans="15:29" x14ac:dyDescent="0.25">
      <c r="O6892" s="42"/>
      <c r="R6892" s="42"/>
      <c r="AC6892" s="42"/>
    </row>
    <row r="6893" spans="15:29" x14ac:dyDescent="0.25">
      <c r="O6893" s="42"/>
      <c r="R6893" s="42"/>
      <c r="AC6893" s="42"/>
    </row>
    <row r="6894" spans="15:29" x14ac:dyDescent="0.25">
      <c r="O6894" s="42"/>
      <c r="R6894" s="42"/>
      <c r="AC6894" s="42"/>
    </row>
    <row r="6895" spans="15:29" x14ac:dyDescent="0.25">
      <c r="O6895" s="42"/>
      <c r="R6895" s="42"/>
      <c r="AC6895" s="42"/>
    </row>
    <row r="6896" spans="15:29" x14ac:dyDescent="0.25">
      <c r="O6896" s="42"/>
      <c r="R6896" s="42"/>
      <c r="AC6896" s="42"/>
    </row>
    <row r="6897" spans="15:29" x14ac:dyDescent="0.25">
      <c r="O6897" s="42"/>
      <c r="R6897" s="42"/>
      <c r="AC6897" s="42"/>
    </row>
    <row r="6898" spans="15:29" x14ac:dyDescent="0.25">
      <c r="O6898" s="42"/>
      <c r="R6898" s="42"/>
      <c r="AC6898" s="42"/>
    </row>
    <row r="6899" spans="15:29" x14ac:dyDescent="0.25">
      <c r="O6899" s="42"/>
      <c r="R6899" s="42"/>
      <c r="AC6899" s="42"/>
    </row>
    <row r="6900" spans="15:29" x14ac:dyDescent="0.25">
      <c r="O6900" s="42"/>
      <c r="R6900" s="42"/>
      <c r="AC6900" s="42"/>
    </row>
    <row r="6901" spans="15:29" x14ac:dyDescent="0.25">
      <c r="O6901" s="42"/>
      <c r="R6901" s="42"/>
      <c r="AC6901" s="42"/>
    </row>
    <row r="6902" spans="15:29" x14ac:dyDescent="0.25">
      <c r="O6902" s="42"/>
      <c r="R6902" s="42"/>
      <c r="AC6902" s="42"/>
    </row>
    <row r="6903" spans="15:29" x14ac:dyDescent="0.25">
      <c r="O6903" s="42"/>
      <c r="R6903" s="42"/>
      <c r="AC6903" s="42"/>
    </row>
    <row r="6904" spans="15:29" x14ac:dyDescent="0.25">
      <c r="O6904" s="42"/>
      <c r="R6904" s="42"/>
      <c r="AC6904" s="42"/>
    </row>
    <row r="6905" spans="15:29" x14ac:dyDescent="0.25">
      <c r="O6905" s="42"/>
      <c r="R6905" s="42"/>
      <c r="AC6905" s="42"/>
    </row>
    <row r="6906" spans="15:29" x14ac:dyDescent="0.25">
      <c r="O6906" s="42"/>
      <c r="R6906" s="42"/>
      <c r="AC6906" s="42"/>
    </row>
    <row r="6907" spans="15:29" x14ac:dyDescent="0.25">
      <c r="O6907" s="42"/>
      <c r="R6907" s="42"/>
      <c r="AC6907" s="42"/>
    </row>
    <row r="6908" spans="15:29" x14ac:dyDescent="0.25">
      <c r="O6908" s="42"/>
      <c r="R6908" s="42"/>
      <c r="AC6908" s="42"/>
    </row>
    <row r="6909" spans="15:29" x14ac:dyDescent="0.25">
      <c r="O6909" s="42"/>
      <c r="R6909" s="42"/>
      <c r="AC6909" s="42"/>
    </row>
    <row r="6910" spans="15:29" x14ac:dyDescent="0.25">
      <c r="O6910" s="42"/>
      <c r="R6910" s="42"/>
      <c r="AC6910" s="42"/>
    </row>
    <row r="6911" spans="15:29" x14ac:dyDescent="0.25">
      <c r="O6911" s="42"/>
      <c r="R6911" s="42"/>
      <c r="AC6911" s="42"/>
    </row>
    <row r="6912" spans="15:29" x14ac:dyDescent="0.25">
      <c r="O6912" s="42"/>
      <c r="R6912" s="42"/>
      <c r="AC6912" s="42"/>
    </row>
    <row r="6913" spans="15:29" x14ac:dyDescent="0.25">
      <c r="O6913" s="42"/>
      <c r="R6913" s="42"/>
      <c r="AC6913" s="42"/>
    </row>
    <row r="6914" spans="15:29" x14ac:dyDescent="0.25">
      <c r="O6914" s="42"/>
      <c r="R6914" s="42"/>
      <c r="AC6914" s="42"/>
    </row>
    <row r="6915" spans="15:29" x14ac:dyDescent="0.25">
      <c r="O6915" s="42"/>
      <c r="R6915" s="42"/>
      <c r="AC6915" s="42"/>
    </row>
    <row r="6916" spans="15:29" x14ac:dyDescent="0.25">
      <c r="O6916" s="42"/>
      <c r="R6916" s="42"/>
      <c r="AC6916" s="42"/>
    </row>
    <row r="6917" spans="15:29" x14ac:dyDescent="0.25">
      <c r="O6917" s="42"/>
      <c r="R6917" s="42"/>
      <c r="AC6917" s="42"/>
    </row>
    <row r="6918" spans="15:29" x14ac:dyDescent="0.25">
      <c r="O6918" s="42"/>
      <c r="R6918" s="42"/>
      <c r="AC6918" s="42"/>
    </row>
    <row r="6919" spans="15:29" x14ac:dyDescent="0.25">
      <c r="O6919" s="42"/>
      <c r="R6919" s="42"/>
      <c r="AC6919" s="42"/>
    </row>
    <row r="6920" spans="15:29" x14ac:dyDescent="0.25">
      <c r="O6920" s="42"/>
      <c r="R6920" s="42"/>
      <c r="AC6920" s="42"/>
    </row>
    <row r="6921" spans="15:29" x14ac:dyDescent="0.25">
      <c r="O6921" s="42"/>
      <c r="R6921" s="42"/>
      <c r="AC6921" s="42"/>
    </row>
    <row r="6922" spans="15:29" x14ac:dyDescent="0.25">
      <c r="O6922" s="42"/>
      <c r="R6922" s="42"/>
      <c r="AC6922" s="42"/>
    </row>
    <row r="6923" spans="15:29" x14ac:dyDescent="0.25">
      <c r="O6923" s="42"/>
      <c r="R6923" s="42"/>
      <c r="AC6923" s="42"/>
    </row>
    <row r="6924" spans="15:29" x14ac:dyDescent="0.25">
      <c r="O6924" s="42"/>
      <c r="R6924" s="42"/>
      <c r="AC6924" s="42"/>
    </row>
    <row r="6925" spans="15:29" x14ac:dyDescent="0.25">
      <c r="O6925" s="42"/>
      <c r="R6925" s="42"/>
      <c r="AC6925" s="42"/>
    </row>
    <row r="6926" spans="15:29" x14ac:dyDescent="0.25">
      <c r="O6926" s="42"/>
      <c r="R6926" s="42"/>
      <c r="AC6926" s="42"/>
    </row>
    <row r="6927" spans="15:29" x14ac:dyDescent="0.25">
      <c r="O6927" s="42"/>
      <c r="R6927" s="42"/>
      <c r="AC6927" s="42"/>
    </row>
    <row r="6928" spans="15:29" x14ac:dyDescent="0.25">
      <c r="O6928" s="42"/>
      <c r="R6928" s="42"/>
      <c r="AC6928" s="42"/>
    </row>
    <row r="6929" spans="15:29" x14ac:dyDescent="0.25">
      <c r="O6929" s="42"/>
      <c r="R6929" s="42"/>
      <c r="AC6929" s="42"/>
    </row>
    <row r="6930" spans="15:29" x14ac:dyDescent="0.25">
      <c r="O6930" s="42"/>
      <c r="R6930" s="42"/>
      <c r="AC6930" s="42"/>
    </row>
    <row r="6931" spans="15:29" x14ac:dyDescent="0.25">
      <c r="O6931" s="42"/>
      <c r="R6931" s="42"/>
      <c r="AC6931" s="42"/>
    </row>
    <row r="6932" spans="15:29" x14ac:dyDescent="0.25">
      <c r="O6932" s="42"/>
      <c r="R6932" s="42"/>
      <c r="AC6932" s="42"/>
    </row>
    <row r="6933" spans="15:29" x14ac:dyDescent="0.25">
      <c r="O6933" s="42"/>
      <c r="R6933" s="42"/>
      <c r="AC6933" s="42"/>
    </row>
    <row r="6934" spans="15:29" x14ac:dyDescent="0.25">
      <c r="O6934" s="42"/>
      <c r="R6934" s="42"/>
      <c r="AC6934" s="42"/>
    </row>
    <row r="6935" spans="15:29" x14ac:dyDescent="0.25">
      <c r="O6935" s="42"/>
      <c r="R6935" s="42"/>
      <c r="AC6935" s="42"/>
    </row>
    <row r="6936" spans="15:29" x14ac:dyDescent="0.25">
      <c r="O6936" s="42"/>
      <c r="R6936" s="42"/>
      <c r="AC6936" s="42"/>
    </row>
    <row r="6937" spans="15:29" x14ac:dyDescent="0.25">
      <c r="O6937" s="42"/>
      <c r="R6937" s="42"/>
      <c r="AC6937" s="42"/>
    </row>
    <row r="6938" spans="15:29" x14ac:dyDescent="0.25">
      <c r="O6938" s="42"/>
      <c r="R6938" s="42"/>
      <c r="AC6938" s="42"/>
    </row>
    <row r="6939" spans="15:29" x14ac:dyDescent="0.25">
      <c r="O6939" s="42"/>
      <c r="R6939" s="42"/>
      <c r="AC6939" s="42"/>
    </row>
    <row r="6940" spans="15:29" x14ac:dyDescent="0.25">
      <c r="O6940" s="42"/>
      <c r="R6940" s="42"/>
      <c r="AC6940" s="42"/>
    </row>
    <row r="6941" spans="15:29" x14ac:dyDescent="0.25">
      <c r="O6941" s="42"/>
      <c r="R6941" s="42"/>
      <c r="AC6941" s="42"/>
    </row>
    <row r="6942" spans="15:29" x14ac:dyDescent="0.25">
      <c r="O6942" s="42"/>
      <c r="R6942" s="42"/>
      <c r="AC6942" s="42"/>
    </row>
    <row r="6943" spans="15:29" x14ac:dyDescent="0.25">
      <c r="O6943" s="42"/>
      <c r="R6943" s="42"/>
      <c r="AC6943" s="42"/>
    </row>
    <row r="6944" spans="15:29" x14ac:dyDescent="0.25">
      <c r="O6944" s="42"/>
      <c r="R6944" s="42"/>
      <c r="AC6944" s="42"/>
    </row>
    <row r="6945" spans="15:29" x14ac:dyDescent="0.25">
      <c r="O6945" s="42"/>
      <c r="R6945" s="42"/>
      <c r="AC6945" s="42"/>
    </row>
    <row r="6946" spans="15:29" x14ac:dyDescent="0.25">
      <c r="O6946" s="42"/>
      <c r="R6946" s="42"/>
      <c r="AC6946" s="42"/>
    </row>
    <row r="6947" spans="15:29" x14ac:dyDescent="0.25">
      <c r="O6947" s="42"/>
      <c r="R6947" s="42"/>
      <c r="AC6947" s="42"/>
    </row>
    <row r="6948" spans="15:29" x14ac:dyDescent="0.25">
      <c r="O6948" s="42"/>
      <c r="R6948" s="42"/>
      <c r="AC6948" s="42"/>
    </row>
    <row r="6949" spans="15:29" x14ac:dyDescent="0.25">
      <c r="O6949" s="42"/>
      <c r="R6949" s="42"/>
      <c r="AC6949" s="42"/>
    </row>
    <row r="6950" spans="15:29" x14ac:dyDescent="0.25">
      <c r="O6950" s="42"/>
      <c r="R6950" s="42"/>
      <c r="AC6950" s="42"/>
    </row>
    <row r="6951" spans="15:29" x14ac:dyDescent="0.25">
      <c r="O6951" s="42"/>
      <c r="R6951" s="42"/>
      <c r="AC6951" s="42"/>
    </row>
    <row r="6952" spans="15:29" x14ac:dyDescent="0.25">
      <c r="O6952" s="42"/>
      <c r="R6952" s="42"/>
      <c r="AC6952" s="42"/>
    </row>
    <row r="6953" spans="15:29" x14ac:dyDescent="0.25">
      <c r="O6953" s="42"/>
      <c r="R6953" s="42"/>
      <c r="AC6953" s="42"/>
    </row>
    <row r="6954" spans="15:29" x14ac:dyDescent="0.25">
      <c r="O6954" s="42"/>
      <c r="R6954" s="42"/>
      <c r="AC6954" s="42"/>
    </row>
    <row r="6955" spans="15:29" x14ac:dyDescent="0.25">
      <c r="O6955" s="42"/>
      <c r="R6955" s="42"/>
      <c r="AC6955" s="42"/>
    </row>
    <row r="6956" spans="15:29" x14ac:dyDescent="0.25">
      <c r="O6956" s="42"/>
      <c r="R6956" s="42"/>
      <c r="AC6956" s="42"/>
    </row>
    <row r="6957" spans="15:29" x14ac:dyDescent="0.25">
      <c r="O6957" s="42"/>
      <c r="R6957" s="42"/>
      <c r="AC6957" s="42"/>
    </row>
    <row r="6958" spans="15:29" x14ac:dyDescent="0.25">
      <c r="O6958" s="42"/>
      <c r="R6958" s="42"/>
      <c r="AC6958" s="42"/>
    </row>
    <row r="6959" spans="15:29" x14ac:dyDescent="0.25">
      <c r="O6959" s="42"/>
      <c r="R6959" s="42"/>
      <c r="AC6959" s="42"/>
    </row>
    <row r="6960" spans="15:29" x14ac:dyDescent="0.25">
      <c r="O6960" s="42"/>
      <c r="R6960" s="42"/>
      <c r="AC6960" s="42"/>
    </row>
    <row r="6961" spans="15:29" x14ac:dyDescent="0.25">
      <c r="O6961" s="42"/>
      <c r="R6961" s="42"/>
      <c r="AC6961" s="42"/>
    </row>
    <row r="6962" spans="15:29" x14ac:dyDescent="0.25">
      <c r="O6962" s="42"/>
      <c r="R6962" s="42"/>
      <c r="AC6962" s="42"/>
    </row>
    <row r="6963" spans="15:29" x14ac:dyDescent="0.25">
      <c r="O6963" s="42"/>
      <c r="R6963" s="42"/>
      <c r="AC6963" s="42"/>
    </row>
    <row r="6964" spans="15:29" x14ac:dyDescent="0.25">
      <c r="O6964" s="42"/>
      <c r="R6964" s="42"/>
      <c r="AC6964" s="42"/>
    </row>
    <row r="6965" spans="15:29" x14ac:dyDescent="0.25">
      <c r="O6965" s="42"/>
      <c r="R6965" s="42"/>
      <c r="AC6965" s="42"/>
    </row>
    <row r="6966" spans="15:29" x14ac:dyDescent="0.25">
      <c r="O6966" s="42"/>
      <c r="R6966" s="42"/>
      <c r="AC6966" s="42"/>
    </row>
    <row r="6967" spans="15:29" x14ac:dyDescent="0.25">
      <c r="O6967" s="42"/>
      <c r="R6967" s="42"/>
      <c r="AC6967" s="42"/>
    </row>
    <row r="6968" spans="15:29" x14ac:dyDescent="0.25">
      <c r="O6968" s="42"/>
      <c r="R6968" s="42"/>
      <c r="AC6968" s="42"/>
    </row>
    <row r="6969" spans="15:29" x14ac:dyDescent="0.25">
      <c r="O6969" s="42"/>
      <c r="R6969" s="42"/>
      <c r="AC6969" s="42"/>
    </row>
    <row r="6970" spans="15:29" x14ac:dyDescent="0.25">
      <c r="O6970" s="42"/>
      <c r="R6970" s="42"/>
      <c r="AC6970" s="42"/>
    </row>
    <row r="6971" spans="15:29" x14ac:dyDescent="0.25">
      <c r="O6971" s="42"/>
      <c r="R6971" s="42"/>
      <c r="AC6971" s="42"/>
    </row>
    <row r="6972" spans="15:29" x14ac:dyDescent="0.25">
      <c r="O6972" s="42"/>
      <c r="R6972" s="42"/>
      <c r="AC6972" s="42"/>
    </row>
    <row r="6973" spans="15:29" x14ac:dyDescent="0.25">
      <c r="O6973" s="42"/>
      <c r="R6973" s="42"/>
      <c r="AC6973" s="42"/>
    </row>
    <row r="6974" spans="15:29" x14ac:dyDescent="0.25">
      <c r="O6974" s="42"/>
      <c r="R6974" s="42"/>
      <c r="AC6974" s="42"/>
    </row>
    <row r="6975" spans="15:29" x14ac:dyDescent="0.25">
      <c r="O6975" s="42"/>
      <c r="R6975" s="42"/>
      <c r="AC6975" s="42"/>
    </row>
    <row r="6976" spans="15:29" x14ac:dyDescent="0.25">
      <c r="O6976" s="42"/>
      <c r="R6976" s="42"/>
      <c r="AC6976" s="42"/>
    </row>
    <row r="6977" spans="15:29" x14ac:dyDescent="0.25">
      <c r="O6977" s="42"/>
      <c r="R6977" s="42"/>
      <c r="AC6977" s="42"/>
    </row>
    <row r="6978" spans="15:29" x14ac:dyDescent="0.25">
      <c r="O6978" s="42"/>
      <c r="R6978" s="42"/>
      <c r="AC6978" s="42"/>
    </row>
    <row r="6979" spans="15:29" x14ac:dyDescent="0.25">
      <c r="O6979" s="42"/>
      <c r="R6979" s="42"/>
      <c r="AC6979" s="42"/>
    </row>
    <row r="6980" spans="15:29" x14ac:dyDescent="0.25">
      <c r="O6980" s="42"/>
      <c r="R6980" s="42"/>
      <c r="AC6980" s="42"/>
    </row>
    <row r="6981" spans="15:29" x14ac:dyDescent="0.25">
      <c r="O6981" s="42"/>
      <c r="R6981" s="42"/>
      <c r="AC6981" s="42"/>
    </row>
    <row r="6982" spans="15:29" x14ac:dyDescent="0.25">
      <c r="O6982" s="42"/>
      <c r="R6982" s="42"/>
      <c r="AC6982" s="42"/>
    </row>
    <row r="6983" spans="15:29" x14ac:dyDescent="0.25">
      <c r="O6983" s="42"/>
      <c r="R6983" s="42"/>
      <c r="AC6983" s="42"/>
    </row>
    <row r="6984" spans="15:29" x14ac:dyDescent="0.25">
      <c r="O6984" s="42"/>
      <c r="R6984" s="42"/>
      <c r="AC6984" s="42"/>
    </row>
    <row r="6985" spans="15:29" x14ac:dyDescent="0.25">
      <c r="O6985" s="42"/>
      <c r="R6985" s="42"/>
      <c r="AC6985" s="42"/>
    </row>
    <row r="6986" spans="15:29" x14ac:dyDescent="0.25">
      <c r="O6986" s="42"/>
      <c r="R6986" s="42"/>
      <c r="AC6986" s="42"/>
    </row>
    <row r="6987" spans="15:29" x14ac:dyDescent="0.25">
      <c r="O6987" s="42"/>
      <c r="R6987" s="42"/>
      <c r="AC6987" s="42"/>
    </row>
    <row r="6988" spans="15:29" x14ac:dyDescent="0.25">
      <c r="O6988" s="42"/>
      <c r="R6988" s="42"/>
      <c r="AC6988" s="42"/>
    </row>
    <row r="6989" spans="15:29" x14ac:dyDescent="0.25">
      <c r="O6989" s="42"/>
      <c r="R6989" s="42"/>
      <c r="AC6989" s="42"/>
    </row>
    <row r="6990" spans="15:29" x14ac:dyDescent="0.25">
      <c r="O6990" s="42"/>
      <c r="R6990" s="42"/>
      <c r="AC6990" s="42"/>
    </row>
    <row r="6991" spans="15:29" x14ac:dyDescent="0.25">
      <c r="O6991" s="42"/>
      <c r="R6991" s="42"/>
      <c r="AC6991" s="42"/>
    </row>
    <row r="6992" spans="15:29" x14ac:dyDescent="0.25">
      <c r="O6992" s="42"/>
      <c r="R6992" s="42"/>
      <c r="AC6992" s="42"/>
    </row>
    <row r="6993" spans="15:29" x14ac:dyDescent="0.25">
      <c r="O6993" s="42"/>
      <c r="R6993" s="42"/>
      <c r="AC6993" s="42"/>
    </row>
    <row r="6994" spans="15:29" x14ac:dyDescent="0.25">
      <c r="O6994" s="42"/>
      <c r="R6994" s="42"/>
      <c r="AC6994" s="42"/>
    </row>
    <row r="6995" spans="15:29" x14ac:dyDescent="0.25">
      <c r="O6995" s="42"/>
      <c r="R6995" s="42"/>
      <c r="AC6995" s="42"/>
    </row>
    <row r="6996" spans="15:29" x14ac:dyDescent="0.25">
      <c r="O6996" s="42"/>
      <c r="R6996" s="42"/>
      <c r="AC6996" s="42"/>
    </row>
    <row r="6997" spans="15:29" x14ac:dyDescent="0.25">
      <c r="O6997" s="42"/>
      <c r="R6997" s="42"/>
      <c r="AC6997" s="42"/>
    </row>
    <row r="6998" spans="15:29" x14ac:dyDescent="0.25">
      <c r="O6998" s="42"/>
      <c r="R6998" s="42"/>
      <c r="AC6998" s="42"/>
    </row>
    <row r="6999" spans="15:29" x14ac:dyDescent="0.25">
      <c r="O6999" s="42"/>
      <c r="R6999" s="42"/>
      <c r="AC6999" s="42"/>
    </row>
    <row r="7000" spans="15:29" x14ac:dyDescent="0.25">
      <c r="O7000" s="42"/>
      <c r="R7000" s="42"/>
      <c r="AC7000" s="42"/>
    </row>
    <row r="7001" spans="15:29" x14ac:dyDescent="0.25">
      <c r="O7001" s="42"/>
      <c r="R7001" s="42"/>
      <c r="AC7001" s="42"/>
    </row>
    <row r="7002" spans="15:29" x14ac:dyDescent="0.25">
      <c r="O7002" s="42"/>
      <c r="R7002" s="42"/>
      <c r="AC7002" s="42"/>
    </row>
    <row r="7003" spans="15:29" x14ac:dyDescent="0.25">
      <c r="O7003" s="42"/>
      <c r="R7003" s="42"/>
      <c r="AC7003" s="42"/>
    </row>
    <row r="7004" spans="15:29" x14ac:dyDescent="0.25">
      <c r="O7004" s="42"/>
      <c r="R7004" s="42"/>
      <c r="AC7004" s="42"/>
    </row>
    <row r="7005" spans="15:29" x14ac:dyDescent="0.25">
      <c r="O7005" s="42"/>
      <c r="R7005" s="42"/>
      <c r="AC7005" s="42"/>
    </row>
    <row r="7006" spans="15:29" x14ac:dyDescent="0.25">
      <c r="O7006" s="42"/>
      <c r="R7006" s="42"/>
      <c r="AC7006" s="42"/>
    </row>
    <row r="7007" spans="15:29" x14ac:dyDescent="0.25">
      <c r="O7007" s="42"/>
      <c r="R7007" s="42"/>
      <c r="AC7007" s="42"/>
    </row>
    <row r="7008" spans="15:29" x14ac:dyDescent="0.25">
      <c r="O7008" s="42"/>
      <c r="R7008" s="42"/>
      <c r="AC7008" s="42"/>
    </row>
    <row r="7009" spans="15:29" x14ac:dyDescent="0.25">
      <c r="O7009" s="42"/>
      <c r="R7009" s="42"/>
      <c r="AC7009" s="42"/>
    </row>
    <row r="7010" spans="15:29" x14ac:dyDescent="0.25">
      <c r="O7010" s="42"/>
      <c r="R7010" s="42"/>
      <c r="AC7010" s="42"/>
    </row>
    <row r="7011" spans="15:29" x14ac:dyDescent="0.25">
      <c r="O7011" s="42"/>
      <c r="R7011" s="42"/>
      <c r="AC7011" s="42"/>
    </row>
    <row r="7012" spans="15:29" x14ac:dyDescent="0.25">
      <c r="O7012" s="42"/>
      <c r="R7012" s="42"/>
      <c r="AC7012" s="42"/>
    </row>
    <row r="7013" spans="15:29" x14ac:dyDescent="0.25">
      <c r="O7013" s="42"/>
      <c r="R7013" s="42"/>
      <c r="AC7013" s="42"/>
    </row>
    <row r="7014" spans="15:29" x14ac:dyDescent="0.25">
      <c r="O7014" s="42"/>
      <c r="R7014" s="42"/>
      <c r="AC7014" s="42"/>
    </row>
    <row r="7015" spans="15:29" x14ac:dyDescent="0.25">
      <c r="O7015" s="42"/>
      <c r="R7015" s="42"/>
      <c r="AC7015" s="42"/>
    </row>
    <row r="7016" spans="15:29" x14ac:dyDescent="0.25">
      <c r="O7016" s="42"/>
      <c r="R7016" s="42"/>
      <c r="AC7016" s="42"/>
    </row>
    <row r="7017" spans="15:29" x14ac:dyDescent="0.25">
      <c r="O7017" s="42"/>
      <c r="R7017" s="42"/>
      <c r="AC7017" s="42"/>
    </row>
    <row r="7018" spans="15:29" x14ac:dyDescent="0.25">
      <c r="O7018" s="42"/>
      <c r="R7018" s="42"/>
      <c r="AC7018" s="42"/>
    </row>
    <row r="7019" spans="15:29" x14ac:dyDescent="0.25">
      <c r="O7019" s="42"/>
      <c r="R7019" s="42"/>
      <c r="AC7019" s="42"/>
    </row>
    <row r="7020" spans="15:29" x14ac:dyDescent="0.25">
      <c r="O7020" s="42"/>
      <c r="R7020" s="42"/>
      <c r="AC7020" s="42"/>
    </row>
    <row r="7021" spans="15:29" x14ac:dyDescent="0.25">
      <c r="O7021" s="42"/>
      <c r="R7021" s="42"/>
      <c r="AC7021" s="42"/>
    </row>
    <row r="7022" spans="15:29" x14ac:dyDescent="0.25">
      <c r="O7022" s="42"/>
      <c r="R7022" s="42"/>
      <c r="AC7022" s="42"/>
    </row>
    <row r="7023" spans="15:29" x14ac:dyDescent="0.25">
      <c r="O7023" s="42"/>
      <c r="R7023" s="42"/>
      <c r="AC7023" s="42"/>
    </row>
    <row r="7024" spans="15:29" x14ac:dyDescent="0.25">
      <c r="O7024" s="42"/>
      <c r="R7024" s="42"/>
      <c r="AC7024" s="42"/>
    </row>
    <row r="7025" spans="15:29" x14ac:dyDescent="0.25">
      <c r="O7025" s="42"/>
      <c r="R7025" s="42"/>
      <c r="AC7025" s="42"/>
    </row>
    <row r="7026" spans="15:29" x14ac:dyDescent="0.25">
      <c r="O7026" s="42"/>
      <c r="R7026" s="42"/>
      <c r="AC7026" s="42"/>
    </row>
    <row r="7027" spans="15:29" x14ac:dyDescent="0.25">
      <c r="O7027" s="42"/>
      <c r="R7027" s="42"/>
      <c r="AC7027" s="42"/>
    </row>
    <row r="7028" spans="15:29" x14ac:dyDescent="0.25">
      <c r="O7028" s="42"/>
      <c r="R7028" s="42"/>
      <c r="AC7028" s="42"/>
    </row>
    <row r="7029" spans="15:29" x14ac:dyDescent="0.25">
      <c r="O7029" s="42"/>
      <c r="R7029" s="42"/>
      <c r="AC7029" s="42"/>
    </row>
    <row r="7030" spans="15:29" x14ac:dyDescent="0.25">
      <c r="O7030" s="42"/>
      <c r="R7030" s="42"/>
      <c r="AC7030" s="42"/>
    </row>
    <row r="7031" spans="15:29" x14ac:dyDescent="0.25">
      <c r="O7031" s="42"/>
      <c r="R7031" s="42"/>
      <c r="AC7031" s="42"/>
    </row>
    <row r="7032" spans="15:29" x14ac:dyDescent="0.25">
      <c r="O7032" s="42"/>
      <c r="R7032" s="42"/>
      <c r="AC7032" s="42"/>
    </row>
    <row r="7033" spans="15:29" x14ac:dyDescent="0.25">
      <c r="O7033" s="42"/>
      <c r="R7033" s="42"/>
      <c r="AC7033" s="42"/>
    </row>
    <row r="7034" spans="15:29" x14ac:dyDescent="0.25">
      <c r="O7034" s="42"/>
      <c r="R7034" s="42"/>
      <c r="AC7034" s="42"/>
    </row>
    <row r="7035" spans="15:29" x14ac:dyDescent="0.25">
      <c r="O7035" s="42"/>
      <c r="R7035" s="42"/>
      <c r="AC7035" s="42"/>
    </row>
    <row r="7036" spans="15:29" x14ac:dyDescent="0.25">
      <c r="O7036" s="42"/>
      <c r="R7036" s="42"/>
      <c r="AC7036" s="42"/>
    </row>
    <row r="7037" spans="15:29" x14ac:dyDescent="0.25">
      <c r="O7037" s="42"/>
      <c r="R7037" s="42"/>
      <c r="AC7037" s="42"/>
    </row>
    <row r="7038" spans="15:29" x14ac:dyDescent="0.25">
      <c r="O7038" s="42"/>
      <c r="R7038" s="42"/>
      <c r="AC7038" s="42"/>
    </row>
    <row r="7039" spans="15:29" x14ac:dyDescent="0.25">
      <c r="O7039" s="42"/>
      <c r="R7039" s="42"/>
      <c r="AC7039" s="42"/>
    </row>
    <row r="7040" spans="15:29" x14ac:dyDescent="0.25">
      <c r="O7040" s="42"/>
      <c r="R7040" s="42"/>
      <c r="AC7040" s="42"/>
    </row>
    <row r="7041" spans="15:29" x14ac:dyDescent="0.25">
      <c r="O7041" s="42"/>
      <c r="R7041" s="42"/>
      <c r="AC7041" s="42"/>
    </row>
    <row r="7042" spans="15:29" x14ac:dyDescent="0.25">
      <c r="O7042" s="42"/>
      <c r="R7042" s="42"/>
      <c r="AC7042" s="42"/>
    </row>
    <row r="7043" spans="15:29" x14ac:dyDescent="0.25">
      <c r="O7043" s="42"/>
      <c r="R7043" s="42"/>
      <c r="AC7043" s="42"/>
    </row>
    <row r="7044" spans="15:29" x14ac:dyDescent="0.25">
      <c r="O7044" s="42"/>
      <c r="R7044" s="42"/>
      <c r="AC7044" s="42"/>
    </row>
    <row r="7045" spans="15:29" x14ac:dyDescent="0.25">
      <c r="O7045" s="42"/>
      <c r="R7045" s="42"/>
      <c r="AC7045" s="42"/>
    </row>
    <row r="7046" spans="15:29" x14ac:dyDescent="0.25">
      <c r="O7046" s="42"/>
      <c r="R7046" s="42"/>
      <c r="AC7046" s="42"/>
    </row>
    <row r="7047" spans="15:29" x14ac:dyDescent="0.25">
      <c r="O7047" s="42"/>
      <c r="R7047" s="42"/>
      <c r="AC7047" s="42"/>
    </row>
    <row r="7048" spans="15:29" x14ac:dyDescent="0.25">
      <c r="O7048" s="42"/>
      <c r="R7048" s="42"/>
      <c r="AC7048" s="42"/>
    </row>
    <row r="7049" spans="15:29" x14ac:dyDescent="0.25">
      <c r="O7049" s="42"/>
      <c r="R7049" s="42"/>
      <c r="AC7049" s="42"/>
    </row>
    <row r="7050" spans="15:29" x14ac:dyDescent="0.25">
      <c r="O7050" s="42"/>
      <c r="R7050" s="42"/>
      <c r="AC7050" s="42"/>
    </row>
    <row r="7051" spans="15:29" x14ac:dyDescent="0.25">
      <c r="O7051" s="42"/>
      <c r="R7051" s="42"/>
      <c r="AC7051" s="42"/>
    </row>
    <row r="7052" spans="15:29" x14ac:dyDescent="0.25">
      <c r="O7052" s="42"/>
      <c r="R7052" s="42"/>
      <c r="AC7052" s="42"/>
    </row>
    <row r="7053" spans="15:29" x14ac:dyDescent="0.25">
      <c r="O7053" s="42"/>
      <c r="R7053" s="42"/>
      <c r="AC7053" s="42"/>
    </row>
    <row r="7054" spans="15:29" x14ac:dyDescent="0.25">
      <c r="O7054" s="42"/>
      <c r="R7054" s="42"/>
      <c r="AC7054" s="42"/>
    </row>
    <row r="7055" spans="15:29" x14ac:dyDescent="0.25">
      <c r="O7055" s="42"/>
      <c r="R7055" s="42"/>
      <c r="AC7055" s="42"/>
    </row>
    <row r="7056" spans="15:29" x14ac:dyDescent="0.25">
      <c r="O7056" s="42"/>
      <c r="R7056" s="42"/>
      <c r="AC7056" s="42"/>
    </row>
    <row r="7057" spans="15:29" x14ac:dyDescent="0.25">
      <c r="O7057" s="42"/>
      <c r="R7057" s="42"/>
      <c r="AC7057" s="42"/>
    </row>
    <row r="7058" spans="15:29" x14ac:dyDescent="0.25">
      <c r="O7058" s="42"/>
      <c r="R7058" s="42"/>
      <c r="AC7058" s="42"/>
    </row>
    <row r="7059" spans="15:29" x14ac:dyDescent="0.25">
      <c r="O7059" s="42"/>
      <c r="R7059" s="42"/>
      <c r="AC7059" s="42"/>
    </row>
    <row r="7060" spans="15:29" x14ac:dyDescent="0.25">
      <c r="O7060" s="42"/>
      <c r="R7060" s="42"/>
      <c r="AC7060" s="42"/>
    </row>
    <row r="7061" spans="15:29" x14ac:dyDescent="0.25">
      <c r="O7061" s="42"/>
      <c r="R7061" s="42"/>
      <c r="AC7061" s="42"/>
    </row>
    <row r="7062" spans="15:29" x14ac:dyDescent="0.25">
      <c r="O7062" s="42"/>
      <c r="R7062" s="42"/>
      <c r="AC7062" s="42"/>
    </row>
    <row r="7063" spans="15:29" x14ac:dyDescent="0.25">
      <c r="O7063" s="42"/>
      <c r="R7063" s="42"/>
      <c r="AC7063" s="42"/>
    </row>
    <row r="7064" spans="15:29" x14ac:dyDescent="0.25">
      <c r="O7064" s="42"/>
      <c r="R7064" s="42"/>
      <c r="AC7064" s="42"/>
    </row>
    <row r="7065" spans="15:29" x14ac:dyDescent="0.25">
      <c r="O7065" s="42"/>
      <c r="R7065" s="42"/>
      <c r="AC7065" s="42"/>
    </row>
    <row r="7066" spans="15:29" x14ac:dyDescent="0.25">
      <c r="O7066" s="42"/>
      <c r="R7066" s="42"/>
      <c r="AC7066" s="42"/>
    </row>
    <row r="7067" spans="15:29" x14ac:dyDescent="0.25">
      <c r="O7067" s="42"/>
      <c r="R7067" s="42"/>
      <c r="AC7067" s="42"/>
    </row>
    <row r="7068" spans="15:29" x14ac:dyDescent="0.25">
      <c r="O7068" s="42"/>
      <c r="R7068" s="42"/>
      <c r="AC7068" s="42"/>
    </row>
    <row r="7069" spans="15:29" x14ac:dyDescent="0.25">
      <c r="O7069" s="42"/>
      <c r="R7069" s="42"/>
      <c r="AC7069" s="42"/>
    </row>
    <row r="7070" spans="15:29" x14ac:dyDescent="0.25">
      <c r="O7070" s="42"/>
      <c r="R7070" s="42"/>
      <c r="AC7070" s="42"/>
    </row>
    <row r="7071" spans="15:29" x14ac:dyDescent="0.25">
      <c r="O7071" s="42"/>
      <c r="R7071" s="42"/>
      <c r="AC7071" s="42"/>
    </row>
    <row r="7072" spans="15:29" x14ac:dyDescent="0.25">
      <c r="O7072" s="42"/>
      <c r="R7072" s="42"/>
      <c r="AC7072" s="42"/>
    </row>
    <row r="7073" spans="15:29" x14ac:dyDescent="0.25">
      <c r="O7073" s="42"/>
      <c r="R7073" s="42"/>
      <c r="AC7073" s="42"/>
    </row>
    <row r="7074" spans="15:29" x14ac:dyDescent="0.25">
      <c r="O7074" s="42"/>
      <c r="R7074" s="42"/>
      <c r="AC7074" s="42"/>
    </row>
    <row r="7075" spans="15:29" x14ac:dyDescent="0.25">
      <c r="O7075" s="42"/>
      <c r="R7075" s="42"/>
      <c r="AC7075" s="42"/>
    </row>
    <row r="7076" spans="15:29" x14ac:dyDescent="0.25">
      <c r="O7076" s="42"/>
      <c r="R7076" s="42"/>
      <c r="AC7076" s="42"/>
    </row>
    <row r="7077" spans="15:29" x14ac:dyDescent="0.25">
      <c r="O7077" s="42"/>
      <c r="R7077" s="42"/>
      <c r="AC7077" s="42"/>
    </row>
    <row r="7078" spans="15:29" x14ac:dyDescent="0.25">
      <c r="O7078" s="42"/>
      <c r="R7078" s="42"/>
      <c r="AC7078" s="42"/>
    </row>
    <row r="7079" spans="15:29" x14ac:dyDescent="0.25">
      <c r="O7079" s="42"/>
      <c r="R7079" s="42"/>
      <c r="AC7079" s="42"/>
    </row>
    <row r="7080" spans="15:29" x14ac:dyDescent="0.25">
      <c r="O7080" s="42"/>
      <c r="R7080" s="42"/>
      <c r="AC7080" s="42"/>
    </row>
    <row r="7081" spans="15:29" x14ac:dyDescent="0.25">
      <c r="O7081" s="42"/>
      <c r="R7081" s="42"/>
      <c r="AC7081" s="42"/>
    </row>
    <row r="7082" spans="15:29" x14ac:dyDescent="0.25">
      <c r="O7082" s="42"/>
      <c r="R7082" s="42"/>
      <c r="AC7082" s="42"/>
    </row>
    <row r="7083" spans="15:29" x14ac:dyDescent="0.25">
      <c r="O7083" s="42"/>
      <c r="R7083" s="42"/>
      <c r="AC7083" s="42"/>
    </row>
    <row r="7084" spans="15:29" x14ac:dyDescent="0.25">
      <c r="O7084" s="42"/>
      <c r="R7084" s="42"/>
      <c r="AC7084" s="42"/>
    </row>
    <row r="7085" spans="15:29" x14ac:dyDescent="0.25">
      <c r="O7085" s="42"/>
      <c r="R7085" s="42"/>
      <c r="AC7085" s="42"/>
    </row>
    <row r="7086" spans="15:29" x14ac:dyDescent="0.25">
      <c r="O7086" s="42"/>
      <c r="R7086" s="42"/>
      <c r="AC7086" s="42"/>
    </row>
    <row r="7087" spans="15:29" x14ac:dyDescent="0.25">
      <c r="O7087" s="42"/>
      <c r="R7087" s="42"/>
      <c r="AC7087" s="42"/>
    </row>
    <row r="7088" spans="15:29" x14ac:dyDescent="0.25">
      <c r="O7088" s="42"/>
      <c r="R7088" s="42"/>
      <c r="AC7088" s="42"/>
    </row>
    <row r="7089" spans="15:29" x14ac:dyDescent="0.25">
      <c r="O7089" s="42"/>
      <c r="R7089" s="42"/>
      <c r="AC7089" s="42"/>
    </row>
    <row r="7090" spans="15:29" x14ac:dyDescent="0.25">
      <c r="O7090" s="42"/>
      <c r="R7090" s="42"/>
      <c r="AC7090" s="42"/>
    </row>
    <row r="7091" spans="15:29" x14ac:dyDescent="0.25">
      <c r="O7091" s="42"/>
      <c r="R7091" s="42"/>
      <c r="AC7091" s="42"/>
    </row>
    <row r="7092" spans="15:29" x14ac:dyDescent="0.25">
      <c r="O7092" s="42"/>
      <c r="R7092" s="42"/>
      <c r="AC7092" s="42"/>
    </row>
    <row r="7093" spans="15:29" x14ac:dyDescent="0.25">
      <c r="O7093" s="42"/>
      <c r="R7093" s="42"/>
      <c r="AC7093" s="42"/>
    </row>
    <row r="7094" spans="15:29" x14ac:dyDescent="0.25">
      <c r="O7094" s="42"/>
      <c r="R7094" s="42"/>
      <c r="AC7094" s="42"/>
    </row>
    <row r="7095" spans="15:29" x14ac:dyDescent="0.25">
      <c r="O7095" s="42"/>
      <c r="R7095" s="42"/>
      <c r="AC7095" s="42"/>
    </row>
    <row r="7096" spans="15:29" x14ac:dyDescent="0.25">
      <c r="O7096" s="42"/>
      <c r="R7096" s="42"/>
      <c r="AC7096" s="42"/>
    </row>
    <row r="7097" spans="15:29" x14ac:dyDescent="0.25">
      <c r="O7097" s="42"/>
      <c r="R7097" s="42"/>
      <c r="AC7097" s="42"/>
    </row>
    <row r="7098" spans="15:29" x14ac:dyDescent="0.25">
      <c r="O7098" s="42"/>
      <c r="R7098" s="42"/>
      <c r="AC7098" s="42"/>
    </row>
    <row r="7099" spans="15:29" x14ac:dyDescent="0.25">
      <c r="O7099" s="42"/>
      <c r="R7099" s="42"/>
      <c r="AC7099" s="42"/>
    </row>
    <row r="7100" spans="15:29" x14ac:dyDescent="0.25">
      <c r="O7100" s="42"/>
      <c r="R7100" s="42"/>
      <c r="AC7100" s="42"/>
    </row>
    <row r="7101" spans="15:29" x14ac:dyDescent="0.25">
      <c r="O7101" s="42"/>
      <c r="R7101" s="42"/>
      <c r="AC7101" s="42"/>
    </row>
    <row r="7102" spans="15:29" x14ac:dyDescent="0.25">
      <c r="O7102" s="42"/>
      <c r="R7102" s="42"/>
      <c r="AC7102" s="42"/>
    </row>
    <row r="7103" spans="15:29" x14ac:dyDescent="0.25">
      <c r="O7103" s="42"/>
      <c r="R7103" s="42"/>
      <c r="AC7103" s="42"/>
    </row>
    <row r="7104" spans="15:29" x14ac:dyDescent="0.25">
      <c r="O7104" s="42"/>
      <c r="R7104" s="42"/>
      <c r="AC7104" s="42"/>
    </row>
    <row r="7105" spans="15:29" x14ac:dyDescent="0.25">
      <c r="O7105" s="42"/>
      <c r="R7105" s="42"/>
      <c r="AC7105" s="42"/>
    </row>
    <row r="7106" spans="15:29" x14ac:dyDescent="0.25">
      <c r="O7106" s="42"/>
      <c r="R7106" s="42"/>
      <c r="AC7106" s="42"/>
    </row>
    <row r="7107" spans="15:29" x14ac:dyDescent="0.25">
      <c r="O7107" s="42"/>
      <c r="R7107" s="42"/>
      <c r="AC7107" s="42"/>
    </row>
    <row r="7108" spans="15:29" x14ac:dyDescent="0.25">
      <c r="O7108" s="42"/>
      <c r="R7108" s="42"/>
      <c r="AC7108" s="42"/>
    </row>
    <row r="7109" spans="15:29" x14ac:dyDescent="0.25">
      <c r="O7109" s="42"/>
      <c r="R7109" s="42"/>
      <c r="AC7109" s="42"/>
    </row>
    <row r="7110" spans="15:29" x14ac:dyDescent="0.25">
      <c r="O7110" s="42"/>
      <c r="R7110" s="42"/>
      <c r="AC7110" s="42"/>
    </row>
    <row r="7111" spans="15:29" x14ac:dyDescent="0.25">
      <c r="O7111" s="42"/>
      <c r="R7111" s="42"/>
      <c r="AC7111" s="42"/>
    </row>
    <row r="7112" spans="15:29" x14ac:dyDescent="0.25">
      <c r="O7112" s="42"/>
      <c r="R7112" s="42"/>
      <c r="AC7112" s="42"/>
    </row>
    <row r="7113" spans="15:29" x14ac:dyDescent="0.25">
      <c r="O7113" s="42"/>
      <c r="R7113" s="42"/>
      <c r="AC7113" s="42"/>
    </row>
    <row r="7114" spans="15:29" x14ac:dyDescent="0.25">
      <c r="O7114" s="42"/>
      <c r="R7114" s="42"/>
      <c r="AC7114" s="42"/>
    </row>
    <row r="7115" spans="15:29" x14ac:dyDescent="0.25">
      <c r="O7115" s="42"/>
      <c r="R7115" s="42"/>
      <c r="AC7115" s="42"/>
    </row>
    <row r="7116" spans="15:29" x14ac:dyDescent="0.25">
      <c r="O7116" s="42"/>
      <c r="R7116" s="42"/>
      <c r="AC7116" s="42"/>
    </row>
    <row r="7117" spans="15:29" x14ac:dyDescent="0.25">
      <c r="O7117" s="42"/>
      <c r="R7117" s="42"/>
      <c r="AC7117" s="42"/>
    </row>
    <row r="7118" spans="15:29" x14ac:dyDescent="0.25">
      <c r="O7118" s="42"/>
      <c r="R7118" s="42"/>
      <c r="AC7118" s="42"/>
    </row>
    <row r="7119" spans="15:29" x14ac:dyDescent="0.25">
      <c r="O7119" s="42"/>
      <c r="R7119" s="42"/>
      <c r="AC7119" s="42"/>
    </row>
    <row r="7120" spans="15:29" x14ac:dyDescent="0.25">
      <c r="O7120" s="42"/>
      <c r="R7120" s="42"/>
      <c r="AC7120" s="42"/>
    </row>
    <row r="7121" spans="15:29" x14ac:dyDescent="0.25">
      <c r="O7121" s="42"/>
      <c r="R7121" s="42"/>
      <c r="AC7121" s="42"/>
    </row>
    <row r="7122" spans="15:29" x14ac:dyDescent="0.25">
      <c r="O7122" s="42"/>
      <c r="R7122" s="42"/>
      <c r="AC7122" s="42"/>
    </row>
    <row r="7123" spans="15:29" x14ac:dyDescent="0.25">
      <c r="O7123" s="42"/>
      <c r="R7123" s="42"/>
      <c r="AC7123" s="42"/>
    </row>
    <row r="7124" spans="15:29" x14ac:dyDescent="0.25">
      <c r="O7124" s="42"/>
      <c r="R7124" s="42"/>
      <c r="AC7124" s="42"/>
    </row>
    <row r="7125" spans="15:29" x14ac:dyDescent="0.25">
      <c r="O7125" s="42"/>
      <c r="R7125" s="42"/>
      <c r="AC7125" s="42"/>
    </row>
    <row r="7126" spans="15:29" x14ac:dyDescent="0.25">
      <c r="O7126" s="42"/>
      <c r="R7126" s="42"/>
      <c r="AC7126" s="42"/>
    </row>
    <row r="7127" spans="15:29" x14ac:dyDescent="0.25">
      <c r="O7127" s="42"/>
      <c r="R7127" s="42"/>
      <c r="AC7127" s="42"/>
    </row>
    <row r="7128" spans="15:29" x14ac:dyDescent="0.25">
      <c r="O7128" s="42"/>
      <c r="R7128" s="42"/>
      <c r="AC7128" s="42"/>
    </row>
    <row r="7129" spans="15:29" x14ac:dyDescent="0.25">
      <c r="O7129" s="42"/>
      <c r="R7129" s="42"/>
      <c r="AC7129" s="42"/>
    </row>
    <row r="7130" spans="15:29" x14ac:dyDescent="0.25">
      <c r="O7130" s="42"/>
      <c r="R7130" s="42"/>
      <c r="AC7130" s="42"/>
    </row>
    <row r="7131" spans="15:29" x14ac:dyDescent="0.25">
      <c r="O7131" s="42"/>
      <c r="R7131" s="42"/>
      <c r="AC7131" s="42"/>
    </row>
    <row r="7132" spans="15:29" x14ac:dyDescent="0.25">
      <c r="O7132" s="42"/>
      <c r="R7132" s="42"/>
      <c r="AC7132" s="42"/>
    </row>
    <row r="7133" spans="15:29" x14ac:dyDescent="0.25">
      <c r="O7133" s="42"/>
      <c r="R7133" s="42"/>
      <c r="AC7133" s="42"/>
    </row>
    <row r="7134" spans="15:29" x14ac:dyDescent="0.25">
      <c r="O7134" s="42"/>
      <c r="R7134" s="42"/>
      <c r="AC7134" s="42"/>
    </row>
    <row r="7135" spans="15:29" x14ac:dyDescent="0.25">
      <c r="O7135" s="42"/>
      <c r="R7135" s="42"/>
      <c r="AC7135" s="42"/>
    </row>
    <row r="7136" spans="15:29" x14ac:dyDescent="0.25">
      <c r="O7136" s="42"/>
      <c r="R7136" s="42"/>
      <c r="AC7136" s="42"/>
    </row>
    <row r="7137" spans="15:29" x14ac:dyDescent="0.25">
      <c r="O7137" s="42"/>
      <c r="R7137" s="42"/>
      <c r="AC7137" s="42"/>
    </row>
    <row r="7138" spans="15:29" x14ac:dyDescent="0.25">
      <c r="O7138" s="42"/>
      <c r="R7138" s="42"/>
      <c r="AC7138" s="42"/>
    </row>
    <row r="7139" spans="15:29" x14ac:dyDescent="0.25">
      <c r="O7139" s="42"/>
      <c r="R7139" s="42"/>
      <c r="AC7139" s="42"/>
    </row>
    <row r="7140" spans="15:29" x14ac:dyDescent="0.25">
      <c r="O7140" s="42"/>
      <c r="R7140" s="42"/>
      <c r="AC7140" s="42"/>
    </row>
    <row r="7141" spans="15:29" x14ac:dyDescent="0.25">
      <c r="O7141" s="42"/>
      <c r="R7141" s="42"/>
      <c r="AC7141" s="42"/>
    </row>
    <row r="7142" spans="15:29" x14ac:dyDescent="0.25">
      <c r="O7142" s="42"/>
      <c r="R7142" s="42"/>
      <c r="AC7142" s="42"/>
    </row>
    <row r="7143" spans="15:29" x14ac:dyDescent="0.25">
      <c r="O7143" s="42"/>
      <c r="R7143" s="42"/>
      <c r="AC7143" s="42"/>
    </row>
    <row r="7144" spans="15:29" x14ac:dyDescent="0.25">
      <c r="O7144" s="42"/>
      <c r="R7144" s="42"/>
      <c r="AC7144" s="42"/>
    </row>
    <row r="7145" spans="15:29" x14ac:dyDescent="0.25">
      <c r="O7145" s="42"/>
      <c r="R7145" s="42"/>
      <c r="AC7145" s="42"/>
    </row>
    <row r="7146" spans="15:29" x14ac:dyDescent="0.25">
      <c r="O7146" s="42"/>
      <c r="R7146" s="42"/>
      <c r="AC7146" s="42"/>
    </row>
    <row r="7147" spans="15:29" x14ac:dyDescent="0.25">
      <c r="O7147" s="42"/>
      <c r="R7147" s="42"/>
      <c r="AC7147" s="42"/>
    </row>
    <row r="7148" spans="15:29" x14ac:dyDescent="0.25">
      <c r="O7148" s="42"/>
      <c r="R7148" s="42"/>
      <c r="AC7148" s="42"/>
    </row>
    <row r="7149" spans="15:29" x14ac:dyDescent="0.25">
      <c r="O7149" s="42"/>
      <c r="R7149" s="42"/>
      <c r="AC7149" s="42"/>
    </row>
    <row r="7150" spans="15:29" x14ac:dyDescent="0.25">
      <c r="O7150" s="42"/>
      <c r="R7150" s="42"/>
      <c r="AC7150" s="42"/>
    </row>
    <row r="7151" spans="15:29" x14ac:dyDescent="0.25">
      <c r="O7151" s="42"/>
      <c r="R7151" s="42"/>
      <c r="AC7151" s="42"/>
    </row>
    <row r="7152" spans="15:29" x14ac:dyDescent="0.25">
      <c r="O7152" s="42"/>
      <c r="R7152" s="42"/>
      <c r="AC7152" s="42"/>
    </row>
    <row r="7153" spans="15:29" x14ac:dyDescent="0.25">
      <c r="O7153" s="42"/>
      <c r="R7153" s="42"/>
      <c r="AC7153" s="42"/>
    </row>
    <row r="7154" spans="15:29" x14ac:dyDescent="0.25">
      <c r="O7154" s="42"/>
      <c r="R7154" s="42"/>
      <c r="AC7154" s="42"/>
    </row>
    <row r="7155" spans="15:29" x14ac:dyDescent="0.25">
      <c r="O7155" s="42"/>
      <c r="R7155" s="42"/>
      <c r="AC7155" s="42"/>
    </row>
    <row r="7156" spans="15:29" x14ac:dyDescent="0.25">
      <c r="O7156" s="42"/>
      <c r="R7156" s="42"/>
      <c r="AC7156" s="42"/>
    </row>
    <row r="7157" spans="15:29" x14ac:dyDescent="0.25">
      <c r="O7157" s="42"/>
      <c r="R7157" s="42"/>
      <c r="AC7157" s="42"/>
    </row>
    <row r="7158" spans="15:29" x14ac:dyDescent="0.25">
      <c r="O7158" s="42"/>
      <c r="R7158" s="42"/>
      <c r="AC7158" s="42"/>
    </row>
    <row r="7159" spans="15:29" x14ac:dyDescent="0.25">
      <c r="O7159" s="42"/>
      <c r="R7159" s="42"/>
      <c r="AC7159" s="42"/>
    </row>
    <row r="7160" spans="15:29" x14ac:dyDescent="0.25">
      <c r="O7160" s="42"/>
      <c r="R7160" s="42"/>
      <c r="AC7160" s="42"/>
    </row>
    <row r="7161" spans="15:29" x14ac:dyDescent="0.25">
      <c r="O7161" s="42"/>
      <c r="R7161" s="42"/>
      <c r="AC7161" s="42"/>
    </row>
    <row r="7162" spans="15:29" x14ac:dyDescent="0.25">
      <c r="O7162" s="42"/>
      <c r="R7162" s="42"/>
      <c r="AC7162" s="42"/>
    </row>
    <row r="7163" spans="15:29" x14ac:dyDescent="0.25">
      <c r="O7163" s="42"/>
      <c r="R7163" s="42"/>
      <c r="AC7163" s="42"/>
    </row>
    <row r="7164" spans="15:29" x14ac:dyDescent="0.25">
      <c r="O7164" s="42"/>
      <c r="R7164" s="42"/>
      <c r="AC7164" s="42"/>
    </row>
    <row r="7165" spans="15:29" x14ac:dyDescent="0.25">
      <c r="O7165" s="42"/>
      <c r="R7165" s="42"/>
      <c r="AC7165" s="42"/>
    </row>
    <row r="7166" spans="15:29" x14ac:dyDescent="0.25">
      <c r="O7166" s="42"/>
      <c r="R7166" s="42"/>
      <c r="AC7166" s="42"/>
    </row>
    <row r="7167" spans="15:29" x14ac:dyDescent="0.25">
      <c r="O7167" s="42"/>
      <c r="R7167" s="42"/>
      <c r="AC7167" s="42"/>
    </row>
    <row r="7168" spans="15:29" x14ac:dyDescent="0.25">
      <c r="O7168" s="42"/>
      <c r="R7168" s="42"/>
      <c r="AC7168" s="42"/>
    </row>
    <row r="7169" spans="15:29" x14ac:dyDescent="0.25">
      <c r="O7169" s="42"/>
      <c r="R7169" s="42"/>
      <c r="AC7169" s="42"/>
    </row>
    <row r="7170" spans="15:29" x14ac:dyDescent="0.25">
      <c r="O7170" s="42"/>
      <c r="R7170" s="42"/>
      <c r="AC7170" s="42"/>
    </row>
    <row r="7171" spans="15:29" x14ac:dyDescent="0.25">
      <c r="O7171" s="42"/>
      <c r="R7171" s="42"/>
      <c r="AC7171" s="42"/>
    </row>
    <row r="7172" spans="15:29" x14ac:dyDescent="0.25">
      <c r="O7172" s="42"/>
      <c r="R7172" s="42"/>
      <c r="AC7172" s="42"/>
    </row>
    <row r="7173" spans="15:29" x14ac:dyDescent="0.25">
      <c r="O7173" s="42"/>
      <c r="R7173" s="42"/>
      <c r="AC7173" s="42"/>
    </row>
    <row r="7174" spans="15:29" x14ac:dyDescent="0.25">
      <c r="O7174" s="42"/>
      <c r="R7174" s="42"/>
      <c r="AC7174" s="42"/>
    </row>
    <row r="7175" spans="15:29" x14ac:dyDescent="0.25">
      <c r="O7175" s="42"/>
      <c r="R7175" s="42"/>
      <c r="AC7175" s="42"/>
    </row>
    <row r="7176" spans="15:29" x14ac:dyDescent="0.25">
      <c r="O7176" s="42"/>
      <c r="R7176" s="42"/>
      <c r="AC7176" s="42"/>
    </row>
    <row r="7177" spans="15:29" x14ac:dyDescent="0.25">
      <c r="O7177" s="42"/>
      <c r="R7177" s="42"/>
      <c r="AC7177" s="42"/>
    </row>
    <row r="7178" spans="15:29" x14ac:dyDescent="0.25">
      <c r="O7178" s="42"/>
      <c r="R7178" s="42"/>
      <c r="AC7178" s="42"/>
    </row>
    <row r="7179" spans="15:29" x14ac:dyDescent="0.25">
      <c r="O7179" s="42"/>
      <c r="R7179" s="42"/>
      <c r="AC7179" s="42"/>
    </row>
    <row r="7180" spans="15:29" x14ac:dyDescent="0.25">
      <c r="O7180" s="42"/>
      <c r="R7180" s="42"/>
      <c r="AC7180" s="42"/>
    </row>
    <row r="7181" spans="15:29" x14ac:dyDescent="0.25">
      <c r="O7181" s="42"/>
      <c r="R7181" s="42"/>
      <c r="AC7181" s="42"/>
    </row>
    <row r="7182" spans="15:29" x14ac:dyDescent="0.25">
      <c r="O7182" s="42"/>
      <c r="R7182" s="42"/>
      <c r="AC7182" s="42"/>
    </row>
    <row r="7183" spans="15:29" x14ac:dyDescent="0.25">
      <c r="O7183" s="42"/>
      <c r="R7183" s="42"/>
      <c r="AC7183" s="42"/>
    </row>
    <row r="7184" spans="15:29" x14ac:dyDescent="0.25">
      <c r="O7184" s="42"/>
      <c r="R7184" s="42"/>
      <c r="AC7184" s="42"/>
    </row>
    <row r="7185" spans="15:29" x14ac:dyDescent="0.25">
      <c r="O7185" s="42"/>
      <c r="R7185" s="42"/>
      <c r="AC7185" s="42"/>
    </row>
    <row r="7186" spans="15:29" x14ac:dyDescent="0.25">
      <c r="O7186" s="42"/>
      <c r="R7186" s="42"/>
      <c r="AC7186" s="42"/>
    </row>
    <row r="7187" spans="15:29" x14ac:dyDescent="0.25">
      <c r="O7187" s="42"/>
      <c r="R7187" s="42"/>
      <c r="AC7187" s="42"/>
    </row>
    <row r="7188" spans="15:29" x14ac:dyDescent="0.25">
      <c r="O7188" s="42"/>
      <c r="R7188" s="42"/>
      <c r="AC7188" s="42"/>
    </row>
    <row r="7189" spans="15:29" x14ac:dyDescent="0.25">
      <c r="O7189" s="42"/>
      <c r="R7189" s="42"/>
      <c r="AC7189" s="42"/>
    </row>
    <row r="7190" spans="15:29" x14ac:dyDescent="0.25">
      <c r="O7190" s="42"/>
      <c r="R7190" s="42"/>
      <c r="AC7190" s="42"/>
    </row>
    <row r="7191" spans="15:29" x14ac:dyDescent="0.25">
      <c r="O7191" s="42"/>
      <c r="R7191" s="42"/>
      <c r="AC7191" s="42"/>
    </row>
    <row r="7192" spans="15:29" x14ac:dyDescent="0.25">
      <c r="O7192" s="42"/>
      <c r="R7192" s="42"/>
      <c r="AC7192" s="42"/>
    </row>
    <row r="7193" spans="15:29" x14ac:dyDescent="0.25">
      <c r="O7193" s="42"/>
      <c r="R7193" s="42"/>
      <c r="AC7193" s="42"/>
    </row>
    <row r="7194" spans="15:29" x14ac:dyDescent="0.25">
      <c r="O7194" s="42"/>
      <c r="R7194" s="42"/>
      <c r="AC7194" s="42"/>
    </row>
    <row r="7195" spans="15:29" x14ac:dyDescent="0.25">
      <c r="O7195" s="42"/>
      <c r="R7195" s="42"/>
      <c r="AC7195" s="42"/>
    </row>
    <row r="7196" spans="15:29" x14ac:dyDescent="0.25">
      <c r="O7196" s="42"/>
      <c r="R7196" s="42"/>
      <c r="AC7196" s="42"/>
    </row>
    <row r="7197" spans="15:29" x14ac:dyDescent="0.25">
      <c r="O7197" s="42"/>
      <c r="R7197" s="42"/>
      <c r="AC7197" s="42"/>
    </row>
    <row r="7198" spans="15:29" x14ac:dyDescent="0.25">
      <c r="O7198" s="42"/>
      <c r="R7198" s="42"/>
      <c r="AC7198" s="42"/>
    </row>
    <row r="7199" spans="15:29" x14ac:dyDescent="0.25">
      <c r="O7199" s="42"/>
      <c r="R7199" s="42"/>
      <c r="AC7199" s="42"/>
    </row>
    <row r="7200" spans="15:29" x14ac:dyDescent="0.25">
      <c r="O7200" s="42"/>
      <c r="R7200" s="42"/>
      <c r="AC7200" s="42"/>
    </row>
    <row r="7201" spans="15:29" x14ac:dyDescent="0.25">
      <c r="O7201" s="42"/>
      <c r="R7201" s="42"/>
      <c r="AC7201" s="42"/>
    </row>
    <row r="7202" spans="15:29" x14ac:dyDescent="0.25">
      <c r="O7202" s="42"/>
      <c r="R7202" s="42"/>
      <c r="AC7202" s="42"/>
    </row>
    <row r="7203" spans="15:29" x14ac:dyDescent="0.25">
      <c r="O7203" s="42"/>
      <c r="R7203" s="42"/>
      <c r="AC7203" s="42"/>
    </row>
    <row r="7204" spans="15:29" x14ac:dyDescent="0.25">
      <c r="O7204" s="42"/>
      <c r="R7204" s="42"/>
      <c r="AC7204" s="42"/>
    </row>
    <row r="7205" spans="15:29" x14ac:dyDescent="0.25">
      <c r="O7205" s="42"/>
      <c r="R7205" s="42"/>
      <c r="AC7205" s="42"/>
    </row>
    <row r="7206" spans="15:29" x14ac:dyDescent="0.25">
      <c r="O7206" s="42"/>
      <c r="R7206" s="42"/>
      <c r="AC7206" s="42"/>
    </row>
    <row r="7207" spans="15:29" x14ac:dyDescent="0.25">
      <c r="O7207" s="42"/>
      <c r="R7207" s="42"/>
      <c r="AC7207" s="42"/>
    </row>
    <row r="7208" spans="15:29" x14ac:dyDescent="0.25">
      <c r="O7208" s="42"/>
      <c r="R7208" s="42"/>
      <c r="AC7208" s="42"/>
    </row>
    <row r="7209" spans="15:29" x14ac:dyDescent="0.25">
      <c r="O7209" s="42"/>
      <c r="R7209" s="42"/>
      <c r="AC7209" s="42"/>
    </row>
    <row r="7210" spans="15:29" x14ac:dyDescent="0.25">
      <c r="O7210" s="42"/>
      <c r="R7210" s="42"/>
      <c r="AC7210" s="42"/>
    </row>
    <row r="7211" spans="15:29" x14ac:dyDescent="0.25">
      <c r="O7211" s="42"/>
      <c r="R7211" s="42"/>
      <c r="AC7211" s="42"/>
    </row>
    <row r="7212" spans="15:29" x14ac:dyDescent="0.25">
      <c r="O7212" s="42"/>
      <c r="R7212" s="42"/>
      <c r="AC7212" s="42"/>
    </row>
    <row r="7213" spans="15:29" x14ac:dyDescent="0.25">
      <c r="O7213" s="42"/>
      <c r="R7213" s="42"/>
      <c r="AC7213" s="42"/>
    </row>
    <row r="7214" spans="15:29" x14ac:dyDescent="0.25">
      <c r="O7214" s="42"/>
      <c r="R7214" s="42"/>
      <c r="AC7214" s="42"/>
    </row>
    <row r="7215" spans="15:29" x14ac:dyDescent="0.25">
      <c r="O7215" s="42"/>
      <c r="R7215" s="42"/>
      <c r="AC7215" s="42"/>
    </row>
    <row r="7216" spans="15:29" x14ac:dyDescent="0.25">
      <c r="O7216" s="42"/>
      <c r="R7216" s="42"/>
      <c r="AC7216" s="42"/>
    </row>
    <row r="7217" spans="15:29" x14ac:dyDescent="0.25">
      <c r="O7217" s="42"/>
      <c r="R7217" s="42"/>
      <c r="AC7217" s="42"/>
    </row>
    <row r="7218" spans="15:29" x14ac:dyDescent="0.25">
      <c r="O7218" s="42"/>
      <c r="R7218" s="42"/>
      <c r="AC7218" s="42"/>
    </row>
    <row r="7219" spans="15:29" x14ac:dyDescent="0.25">
      <c r="O7219" s="42"/>
      <c r="R7219" s="42"/>
      <c r="AC7219" s="42"/>
    </row>
    <row r="7220" spans="15:29" x14ac:dyDescent="0.25">
      <c r="O7220" s="42"/>
      <c r="R7220" s="42"/>
      <c r="AC7220" s="42"/>
    </row>
    <row r="7221" spans="15:29" x14ac:dyDescent="0.25">
      <c r="O7221" s="42"/>
      <c r="R7221" s="42"/>
      <c r="AC7221" s="42"/>
    </row>
    <row r="7222" spans="15:29" x14ac:dyDescent="0.25">
      <c r="O7222" s="42"/>
      <c r="R7222" s="42"/>
      <c r="AC7222" s="42"/>
    </row>
    <row r="7223" spans="15:29" x14ac:dyDescent="0.25">
      <c r="O7223" s="42"/>
      <c r="R7223" s="42"/>
      <c r="AC7223" s="42"/>
    </row>
    <row r="7224" spans="15:29" x14ac:dyDescent="0.25">
      <c r="O7224" s="42"/>
      <c r="R7224" s="42"/>
      <c r="AC7224" s="42"/>
    </row>
    <row r="7225" spans="15:29" x14ac:dyDescent="0.25">
      <c r="O7225" s="42"/>
      <c r="R7225" s="42"/>
      <c r="AC7225" s="42"/>
    </row>
    <row r="7226" spans="15:29" x14ac:dyDescent="0.25">
      <c r="O7226" s="42"/>
      <c r="R7226" s="42"/>
      <c r="AC7226" s="42"/>
    </row>
    <row r="7227" spans="15:29" x14ac:dyDescent="0.25">
      <c r="O7227" s="42"/>
      <c r="R7227" s="42"/>
      <c r="AC7227" s="42"/>
    </row>
    <row r="7228" spans="15:29" x14ac:dyDescent="0.25">
      <c r="O7228" s="42"/>
      <c r="R7228" s="42"/>
      <c r="AC7228" s="42"/>
    </row>
    <row r="7229" spans="15:29" x14ac:dyDescent="0.25">
      <c r="O7229" s="42"/>
      <c r="R7229" s="42"/>
      <c r="AC7229" s="42"/>
    </row>
    <row r="7230" spans="15:29" x14ac:dyDescent="0.25">
      <c r="O7230" s="42"/>
      <c r="R7230" s="42"/>
      <c r="AC7230" s="42"/>
    </row>
    <row r="7231" spans="15:29" x14ac:dyDescent="0.25">
      <c r="O7231" s="42"/>
      <c r="R7231" s="42"/>
      <c r="AC7231" s="42"/>
    </row>
    <row r="7232" spans="15:29" x14ac:dyDescent="0.25">
      <c r="O7232" s="42"/>
      <c r="R7232" s="42"/>
      <c r="AC7232" s="42"/>
    </row>
    <row r="7233" spans="15:29" x14ac:dyDescent="0.25">
      <c r="O7233" s="42"/>
      <c r="R7233" s="42"/>
      <c r="AC7233" s="42"/>
    </row>
    <row r="7234" spans="15:29" x14ac:dyDescent="0.25">
      <c r="O7234" s="42"/>
      <c r="R7234" s="42"/>
      <c r="AC7234" s="42"/>
    </row>
    <row r="7235" spans="15:29" x14ac:dyDescent="0.25">
      <c r="O7235" s="42"/>
      <c r="R7235" s="42"/>
      <c r="AC7235" s="42"/>
    </row>
    <row r="7236" spans="15:29" x14ac:dyDescent="0.25">
      <c r="O7236" s="42"/>
      <c r="R7236" s="42"/>
      <c r="AC7236" s="42"/>
    </row>
    <row r="7237" spans="15:29" x14ac:dyDescent="0.25">
      <c r="O7237" s="42"/>
      <c r="R7237" s="42"/>
      <c r="AC7237" s="42"/>
    </row>
    <row r="7238" spans="15:29" x14ac:dyDescent="0.25">
      <c r="O7238" s="42"/>
      <c r="R7238" s="42"/>
      <c r="AC7238" s="42"/>
    </row>
    <row r="7239" spans="15:29" x14ac:dyDescent="0.25">
      <c r="O7239" s="42"/>
      <c r="R7239" s="42"/>
      <c r="AC7239" s="42"/>
    </row>
    <row r="7240" spans="15:29" x14ac:dyDescent="0.25">
      <c r="O7240" s="42"/>
      <c r="R7240" s="42"/>
      <c r="AC7240" s="42"/>
    </row>
    <row r="7241" spans="15:29" x14ac:dyDescent="0.25">
      <c r="O7241" s="42"/>
      <c r="R7241" s="42"/>
      <c r="AC7241" s="42"/>
    </row>
    <row r="7242" spans="15:29" x14ac:dyDescent="0.25">
      <c r="O7242" s="42"/>
      <c r="R7242" s="42"/>
      <c r="AC7242" s="42"/>
    </row>
    <row r="7243" spans="15:29" x14ac:dyDescent="0.25">
      <c r="O7243" s="42"/>
      <c r="R7243" s="42"/>
      <c r="AC7243" s="42"/>
    </row>
    <row r="7244" spans="15:29" x14ac:dyDescent="0.25">
      <c r="O7244" s="42"/>
      <c r="R7244" s="42"/>
      <c r="AC7244" s="42"/>
    </row>
    <row r="7245" spans="15:29" x14ac:dyDescent="0.25">
      <c r="O7245" s="42"/>
      <c r="R7245" s="42"/>
      <c r="AC7245" s="42"/>
    </row>
    <row r="7246" spans="15:29" x14ac:dyDescent="0.25">
      <c r="O7246" s="42"/>
      <c r="R7246" s="42"/>
      <c r="AC7246" s="42"/>
    </row>
    <row r="7247" spans="15:29" x14ac:dyDescent="0.25">
      <c r="O7247" s="42"/>
      <c r="R7247" s="42"/>
      <c r="AC7247" s="42"/>
    </row>
    <row r="7248" spans="15:29" x14ac:dyDescent="0.25">
      <c r="O7248" s="42"/>
      <c r="R7248" s="42"/>
      <c r="AC7248" s="42"/>
    </row>
    <row r="7249" spans="15:29" x14ac:dyDescent="0.25">
      <c r="O7249" s="42"/>
      <c r="R7249" s="42"/>
      <c r="AC7249" s="42"/>
    </row>
    <row r="7250" spans="15:29" x14ac:dyDescent="0.25">
      <c r="O7250" s="42"/>
      <c r="R7250" s="42"/>
      <c r="AC7250" s="42"/>
    </row>
    <row r="7251" spans="15:29" x14ac:dyDescent="0.25">
      <c r="O7251" s="42"/>
      <c r="R7251" s="42"/>
      <c r="AC7251" s="42"/>
    </row>
    <row r="7252" spans="15:29" x14ac:dyDescent="0.25">
      <c r="O7252" s="42"/>
      <c r="R7252" s="42"/>
      <c r="AC7252" s="42"/>
    </row>
    <row r="7253" spans="15:29" x14ac:dyDescent="0.25">
      <c r="O7253" s="42"/>
      <c r="R7253" s="42"/>
      <c r="AC7253" s="42"/>
    </row>
    <row r="7254" spans="15:29" x14ac:dyDescent="0.25">
      <c r="O7254" s="42"/>
      <c r="R7254" s="42"/>
      <c r="AC7254" s="42"/>
    </row>
    <row r="7255" spans="15:29" x14ac:dyDescent="0.25">
      <c r="O7255" s="42"/>
      <c r="R7255" s="42"/>
      <c r="AC7255" s="42"/>
    </row>
    <row r="7256" spans="15:29" x14ac:dyDescent="0.25">
      <c r="O7256" s="42"/>
      <c r="R7256" s="42"/>
      <c r="AC7256" s="42"/>
    </row>
    <row r="7257" spans="15:29" x14ac:dyDescent="0.25">
      <c r="O7257" s="42"/>
      <c r="R7257" s="42"/>
      <c r="AC7257" s="42"/>
    </row>
    <row r="7258" spans="15:29" x14ac:dyDescent="0.25">
      <c r="O7258" s="42"/>
      <c r="R7258" s="42"/>
      <c r="AC7258" s="42"/>
    </row>
    <row r="7259" spans="15:29" x14ac:dyDescent="0.25">
      <c r="O7259" s="42"/>
      <c r="R7259" s="42"/>
      <c r="AC7259" s="42"/>
    </row>
    <row r="7260" spans="15:29" x14ac:dyDescent="0.25">
      <c r="O7260" s="42"/>
      <c r="R7260" s="42"/>
      <c r="AC7260" s="42"/>
    </row>
    <row r="7261" spans="15:29" x14ac:dyDescent="0.25">
      <c r="O7261" s="42"/>
      <c r="R7261" s="42"/>
      <c r="AC7261" s="42"/>
    </row>
    <row r="7262" spans="15:29" x14ac:dyDescent="0.25">
      <c r="O7262" s="42"/>
      <c r="R7262" s="42"/>
      <c r="AC7262" s="42"/>
    </row>
    <row r="7263" spans="15:29" x14ac:dyDescent="0.25">
      <c r="O7263" s="42"/>
      <c r="R7263" s="42"/>
      <c r="AC7263" s="42"/>
    </row>
    <row r="7264" spans="15:29" x14ac:dyDescent="0.25">
      <c r="O7264" s="42"/>
      <c r="R7264" s="42"/>
      <c r="AC7264" s="42"/>
    </row>
    <row r="7265" spans="15:29" x14ac:dyDescent="0.25">
      <c r="O7265" s="42"/>
      <c r="R7265" s="42"/>
      <c r="AC7265" s="42"/>
    </row>
    <row r="7266" spans="15:29" x14ac:dyDescent="0.25">
      <c r="O7266" s="42"/>
      <c r="R7266" s="42"/>
      <c r="AC7266" s="42"/>
    </row>
    <row r="7267" spans="15:29" x14ac:dyDescent="0.25">
      <c r="O7267" s="42"/>
      <c r="R7267" s="42"/>
      <c r="AC7267" s="42"/>
    </row>
    <row r="7268" spans="15:29" x14ac:dyDescent="0.25">
      <c r="O7268" s="42"/>
      <c r="R7268" s="42"/>
      <c r="AC7268" s="42"/>
    </row>
    <row r="7269" spans="15:29" x14ac:dyDescent="0.25">
      <c r="O7269" s="42"/>
      <c r="R7269" s="42"/>
      <c r="AC7269" s="42"/>
    </row>
    <row r="7270" spans="15:29" x14ac:dyDescent="0.25">
      <c r="O7270" s="42"/>
      <c r="R7270" s="42"/>
      <c r="AC7270" s="42"/>
    </row>
    <row r="7271" spans="15:29" x14ac:dyDescent="0.25">
      <c r="O7271" s="42"/>
      <c r="R7271" s="42"/>
      <c r="AC7271" s="42"/>
    </row>
    <row r="7272" spans="15:29" x14ac:dyDescent="0.25">
      <c r="O7272" s="42"/>
      <c r="R7272" s="42"/>
      <c r="AC7272" s="42"/>
    </row>
    <row r="7273" spans="15:29" x14ac:dyDescent="0.25">
      <c r="O7273" s="42"/>
      <c r="R7273" s="42"/>
      <c r="AC7273" s="42"/>
    </row>
    <row r="7274" spans="15:29" x14ac:dyDescent="0.25">
      <c r="O7274" s="42"/>
      <c r="R7274" s="42"/>
      <c r="AC7274" s="42"/>
    </row>
    <row r="7275" spans="15:29" x14ac:dyDescent="0.25">
      <c r="O7275" s="42"/>
      <c r="R7275" s="42"/>
      <c r="AC7275" s="42"/>
    </row>
    <row r="7276" spans="15:29" x14ac:dyDescent="0.25">
      <c r="O7276" s="42"/>
      <c r="R7276" s="42"/>
      <c r="AC7276" s="42"/>
    </row>
    <row r="7277" spans="15:29" x14ac:dyDescent="0.25">
      <c r="O7277" s="42"/>
      <c r="R7277" s="42"/>
      <c r="AC7277" s="42"/>
    </row>
    <row r="7278" spans="15:29" x14ac:dyDescent="0.25">
      <c r="O7278" s="42"/>
      <c r="R7278" s="42"/>
      <c r="AC7278" s="42"/>
    </row>
    <row r="7279" spans="15:29" x14ac:dyDescent="0.25">
      <c r="O7279" s="42"/>
      <c r="R7279" s="42"/>
      <c r="AC7279" s="42"/>
    </row>
    <row r="7280" spans="15:29" x14ac:dyDescent="0.25">
      <c r="O7280" s="42"/>
      <c r="R7280" s="42"/>
      <c r="AC7280" s="42"/>
    </row>
    <row r="7281" spans="15:29" x14ac:dyDescent="0.25">
      <c r="O7281" s="42"/>
      <c r="R7281" s="42"/>
      <c r="AC7281" s="42"/>
    </row>
    <row r="7282" spans="15:29" x14ac:dyDescent="0.25">
      <c r="O7282" s="42"/>
      <c r="R7282" s="42"/>
      <c r="AC7282" s="42"/>
    </row>
    <row r="7283" spans="15:29" x14ac:dyDescent="0.25">
      <c r="O7283" s="42"/>
      <c r="R7283" s="42"/>
      <c r="AC7283" s="42"/>
    </row>
    <row r="7284" spans="15:29" x14ac:dyDescent="0.25">
      <c r="O7284" s="42"/>
      <c r="R7284" s="42"/>
      <c r="AC7284" s="42"/>
    </row>
    <row r="7285" spans="15:29" x14ac:dyDescent="0.25">
      <c r="O7285" s="42"/>
      <c r="R7285" s="42"/>
      <c r="AC7285" s="42"/>
    </row>
    <row r="7286" spans="15:29" x14ac:dyDescent="0.25">
      <c r="O7286" s="42"/>
      <c r="R7286" s="42"/>
      <c r="AC7286" s="42"/>
    </row>
    <row r="7287" spans="15:29" x14ac:dyDescent="0.25">
      <c r="O7287" s="42"/>
      <c r="R7287" s="42"/>
      <c r="AC7287" s="42"/>
    </row>
    <row r="7288" spans="15:29" x14ac:dyDescent="0.25">
      <c r="O7288" s="42"/>
      <c r="R7288" s="42"/>
      <c r="AC7288" s="42"/>
    </row>
    <row r="7289" spans="15:29" x14ac:dyDescent="0.25">
      <c r="O7289" s="42"/>
      <c r="R7289" s="42"/>
      <c r="AC7289" s="42"/>
    </row>
    <row r="7290" spans="15:29" x14ac:dyDescent="0.25">
      <c r="O7290" s="42"/>
      <c r="R7290" s="42"/>
      <c r="AC7290" s="42"/>
    </row>
    <row r="7291" spans="15:29" x14ac:dyDescent="0.25">
      <c r="O7291" s="42"/>
      <c r="R7291" s="42"/>
      <c r="AC7291" s="42"/>
    </row>
    <row r="7292" spans="15:29" x14ac:dyDescent="0.25">
      <c r="O7292" s="42"/>
      <c r="R7292" s="42"/>
      <c r="AC7292" s="42"/>
    </row>
    <row r="7293" spans="15:29" x14ac:dyDescent="0.25">
      <c r="O7293" s="42"/>
      <c r="R7293" s="42"/>
      <c r="AC7293" s="42"/>
    </row>
    <row r="7294" spans="15:29" x14ac:dyDescent="0.25">
      <c r="O7294" s="42"/>
      <c r="R7294" s="42"/>
      <c r="AC7294" s="42"/>
    </row>
    <row r="7295" spans="15:29" x14ac:dyDescent="0.25">
      <c r="O7295" s="42"/>
      <c r="R7295" s="42"/>
      <c r="AC7295" s="42"/>
    </row>
    <row r="7296" spans="15:29" x14ac:dyDescent="0.25">
      <c r="O7296" s="42"/>
      <c r="R7296" s="42"/>
      <c r="AC7296" s="42"/>
    </row>
    <row r="7297" spans="15:29" x14ac:dyDescent="0.25">
      <c r="O7297" s="42"/>
      <c r="R7297" s="42"/>
      <c r="AC7297" s="42"/>
    </row>
    <row r="7298" spans="15:29" x14ac:dyDescent="0.25">
      <c r="O7298" s="42"/>
      <c r="R7298" s="42"/>
      <c r="AC7298" s="42"/>
    </row>
    <row r="7299" spans="15:29" x14ac:dyDescent="0.25">
      <c r="O7299" s="42"/>
      <c r="R7299" s="42"/>
      <c r="AC7299" s="42"/>
    </row>
    <row r="7300" spans="15:29" x14ac:dyDescent="0.25">
      <c r="O7300" s="42"/>
      <c r="R7300" s="42"/>
      <c r="AC7300" s="42"/>
    </row>
    <row r="7301" spans="15:29" x14ac:dyDescent="0.25">
      <c r="O7301" s="42"/>
      <c r="R7301" s="42"/>
      <c r="AC7301" s="42"/>
    </row>
    <row r="7302" spans="15:29" x14ac:dyDescent="0.25">
      <c r="O7302" s="42"/>
      <c r="R7302" s="42"/>
      <c r="AC7302" s="42"/>
    </row>
    <row r="7303" spans="15:29" x14ac:dyDescent="0.25">
      <c r="O7303" s="42"/>
      <c r="R7303" s="42"/>
      <c r="AC7303" s="42"/>
    </row>
    <row r="7304" spans="15:29" x14ac:dyDescent="0.25">
      <c r="O7304" s="42"/>
      <c r="R7304" s="42"/>
      <c r="AC7304" s="42"/>
    </row>
    <row r="7305" spans="15:29" x14ac:dyDescent="0.25">
      <c r="O7305" s="42"/>
      <c r="R7305" s="42"/>
      <c r="AC7305" s="42"/>
    </row>
    <row r="7306" spans="15:29" x14ac:dyDescent="0.25">
      <c r="O7306" s="42"/>
      <c r="R7306" s="42"/>
      <c r="AC7306" s="42"/>
    </row>
    <row r="7307" spans="15:29" x14ac:dyDescent="0.25">
      <c r="O7307" s="42"/>
      <c r="R7307" s="42"/>
      <c r="AC7307" s="42"/>
    </row>
    <row r="7308" spans="15:29" x14ac:dyDescent="0.25">
      <c r="O7308" s="42"/>
      <c r="R7308" s="42"/>
      <c r="AC7308" s="42"/>
    </row>
    <row r="7309" spans="15:29" x14ac:dyDescent="0.25">
      <c r="O7309" s="42"/>
      <c r="R7309" s="42"/>
      <c r="AC7309" s="42"/>
    </row>
    <row r="7310" spans="15:29" x14ac:dyDescent="0.25">
      <c r="O7310" s="42"/>
      <c r="R7310" s="42"/>
      <c r="AC7310" s="42"/>
    </row>
    <row r="7311" spans="15:29" x14ac:dyDescent="0.25">
      <c r="O7311" s="42"/>
      <c r="R7311" s="42"/>
      <c r="AC7311" s="42"/>
    </row>
    <row r="7312" spans="15:29" x14ac:dyDescent="0.25">
      <c r="O7312" s="42"/>
      <c r="R7312" s="42"/>
      <c r="AC7312" s="42"/>
    </row>
    <row r="7313" spans="15:29" x14ac:dyDescent="0.25">
      <c r="O7313" s="42"/>
      <c r="R7313" s="42"/>
      <c r="AC7313" s="42"/>
    </row>
    <row r="7314" spans="15:29" x14ac:dyDescent="0.25">
      <c r="O7314" s="42"/>
      <c r="R7314" s="42"/>
      <c r="AC7314" s="42"/>
    </row>
    <row r="7315" spans="15:29" x14ac:dyDescent="0.25">
      <c r="O7315" s="42"/>
      <c r="R7315" s="42"/>
      <c r="AC7315" s="42"/>
    </row>
    <row r="7316" spans="15:29" x14ac:dyDescent="0.25">
      <c r="O7316" s="42"/>
      <c r="R7316" s="42"/>
      <c r="AC7316" s="42"/>
    </row>
    <row r="7317" spans="15:29" x14ac:dyDescent="0.25">
      <c r="O7317" s="42"/>
      <c r="R7317" s="42"/>
      <c r="AC7317" s="42"/>
    </row>
    <row r="7318" spans="15:29" x14ac:dyDescent="0.25">
      <c r="O7318" s="42"/>
      <c r="R7318" s="42"/>
      <c r="AC7318" s="42"/>
    </row>
    <row r="7319" spans="15:29" x14ac:dyDescent="0.25">
      <c r="O7319" s="42"/>
      <c r="R7319" s="42"/>
      <c r="AC7319" s="42"/>
    </row>
    <row r="7320" spans="15:29" x14ac:dyDescent="0.25">
      <c r="O7320" s="42"/>
      <c r="R7320" s="42"/>
      <c r="AC7320" s="42"/>
    </row>
    <row r="7321" spans="15:29" x14ac:dyDescent="0.25">
      <c r="O7321" s="42"/>
      <c r="R7321" s="42"/>
      <c r="AC7321" s="42"/>
    </row>
    <row r="7322" spans="15:29" x14ac:dyDescent="0.25">
      <c r="O7322" s="42"/>
      <c r="R7322" s="42"/>
      <c r="AC7322" s="42"/>
    </row>
    <row r="7323" spans="15:29" x14ac:dyDescent="0.25">
      <c r="O7323" s="42"/>
      <c r="R7323" s="42"/>
      <c r="AC7323" s="42"/>
    </row>
    <row r="7324" spans="15:29" x14ac:dyDescent="0.25">
      <c r="O7324" s="42"/>
      <c r="R7324" s="42"/>
      <c r="AC7324" s="42"/>
    </row>
    <row r="7325" spans="15:29" x14ac:dyDescent="0.25">
      <c r="O7325" s="42"/>
      <c r="R7325" s="42"/>
      <c r="AC7325" s="42"/>
    </row>
    <row r="7326" spans="15:29" x14ac:dyDescent="0.25">
      <c r="O7326" s="42"/>
      <c r="R7326" s="42"/>
      <c r="AC7326" s="42"/>
    </row>
    <row r="7327" spans="15:29" x14ac:dyDescent="0.25">
      <c r="O7327" s="42"/>
      <c r="R7327" s="42"/>
      <c r="AC7327" s="42"/>
    </row>
    <row r="7328" spans="15:29" x14ac:dyDescent="0.25">
      <c r="O7328" s="42"/>
      <c r="R7328" s="42"/>
      <c r="AC7328" s="42"/>
    </row>
    <row r="7329" spans="15:29" x14ac:dyDescent="0.25">
      <c r="O7329" s="42"/>
      <c r="R7329" s="42"/>
      <c r="AC7329" s="42"/>
    </row>
    <row r="7330" spans="15:29" x14ac:dyDescent="0.25">
      <c r="O7330" s="42"/>
      <c r="R7330" s="42"/>
      <c r="AC7330" s="42"/>
    </row>
    <row r="7331" spans="15:29" x14ac:dyDescent="0.25">
      <c r="O7331" s="42"/>
      <c r="R7331" s="42"/>
      <c r="AC7331" s="42"/>
    </row>
    <row r="7332" spans="15:29" x14ac:dyDescent="0.25">
      <c r="O7332" s="42"/>
      <c r="R7332" s="42"/>
      <c r="AC7332" s="42"/>
    </row>
    <row r="7333" spans="15:29" x14ac:dyDescent="0.25">
      <c r="O7333" s="42"/>
      <c r="R7333" s="42"/>
      <c r="AC7333" s="42"/>
    </row>
    <row r="7334" spans="15:29" x14ac:dyDescent="0.25">
      <c r="O7334" s="42"/>
      <c r="R7334" s="42"/>
      <c r="AC7334" s="42"/>
    </row>
    <row r="7335" spans="15:29" x14ac:dyDescent="0.25">
      <c r="O7335" s="42"/>
      <c r="R7335" s="42"/>
      <c r="AC7335" s="42"/>
    </row>
    <row r="7336" spans="15:29" x14ac:dyDescent="0.25">
      <c r="O7336" s="42"/>
      <c r="R7336" s="42"/>
      <c r="AC7336" s="42"/>
    </row>
    <row r="7337" spans="15:29" x14ac:dyDescent="0.25">
      <c r="O7337" s="42"/>
      <c r="R7337" s="42"/>
      <c r="AC7337" s="42"/>
    </row>
    <row r="7338" spans="15:29" x14ac:dyDescent="0.25">
      <c r="O7338" s="42"/>
      <c r="R7338" s="42"/>
      <c r="AC7338" s="42"/>
    </row>
    <row r="7339" spans="15:29" x14ac:dyDescent="0.25">
      <c r="O7339" s="42"/>
      <c r="R7339" s="42"/>
      <c r="AC7339" s="42"/>
    </row>
    <row r="7340" spans="15:29" x14ac:dyDescent="0.25">
      <c r="O7340" s="42"/>
      <c r="R7340" s="42"/>
      <c r="AC7340" s="42"/>
    </row>
    <row r="7341" spans="15:29" x14ac:dyDescent="0.25">
      <c r="O7341" s="42"/>
      <c r="R7341" s="42"/>
      <c r="AC7341" s="42"/>
    </row>
    <row r="7342" spans="15:29" x14ac:dyDescent="0.25">
      <c r="O7342" s="42"/>
      <c r="R7342" s="42"/>
      <c r="AC7342" s="42"/>
    </row>
    <row r="7343" spans="15:29" x14ac:dyDescent="0.25">
      <c r="O7343" s="42"/>
      <c r="R7343" s="42"/>
      <c r="AC7343" s="42"/>
    </row>
    <row r="7344" spans="15:29" x14ac:dyDescent="0.25">
      <c r="O7344" s="42"/>
      <c r="R7344" s="42"/>
      <c r="AC7344" s="42"/>
    </row>
    <row r="7345" spans="15:29" x14ac:dyDescent="0.25">
      <c r="O7345" s="42"/>
      <c r="R7345" s="42"/>
      <c r="AC7345" s="42"/>
    </row>
    <row r="7346" spans="15:29" x14ac:dyDescent="0.25">
      <c r="O7346" s="42"/>
      <c r="R7346" s="42"/>
      <c r="AC7346" s="42"/>
    </row>
    <row r="7347" spans="15:29" x14ac:dyDescent="0.25">
      <c r="O7347" s="42"/>
      <c r="R7347" s="42"/>
      <c r="AC7347" s="42"/>
    </row>
    <row r="7348" spans="15:29" x14ac:dyDescent="0.25">
      <c r="O7348" s="42"/>
      <c r="R7348" s="42"/>
      <c r="AC7348" s="42"/>
    </row>
    <row r="7349" spans="15:29" x14ac:dyDescent="0.25">
      <c r="O7349" s="42"/>
      <c r="R7349" s="42"/>
      <c r="AC7349" s="42"/>
    </row>
    <row r="7350" spans="15:29" x14ac:dyDescent="0.25">
      <c r="O7350" s="42"/>
      <c r="R7350" s="42"/>
      <c r="AC7350" s="42"/>
    </row>
    <row r="7351" spans="15:29" x14ac:dyDescent="0.25">
      <c r="O7351" s="42"/>
      <c r="R7351" s="42"/>
      <c r="AC7351" s="42"/>
    </row>
    <row r="7352" spans="15:29" x14ac:dyDescent="0.25">
      <c r="O7352" s="42"/>
      <c r="R7352" s="42"/>
      <c r="AC7352" s="42"/>
    </row>
    <row r="7353" spans="15:29" x14ac:dyDescent="0.25">
      <c r="O7353" s="42"/>
      <c r="R7353" s="42"/>
      <c r="AC7353" s="42"/>
    </row>
    <row r="7354" spans="15:29" x14ac:dyDescent="0.25">
      <c r="O7354" s="42"/>
      <c r="R7354" s="42"/>
      <c r="AC7354" s="42"/>
    </row>
    <row r="7355" spans="15:29" x14ac:dyDescent="0.25">
      <c r="O7355" s="42"/>
      <c r="R7355" s="42"/>
      <c r="AC7355" s="42"/>
    </row>
    <row r="7356" spans="15:29" x14ac:dyDescent="0.25">
      <c r="O7356" s="42"/>
      <c r="R7356" s="42"/>
      <c r="AC7356" s="42"/>
    </row>
    <row r="7357" spans="15:29" x14ac:dyDescent="0.25">
      <c r="O7357" s="42"/>
      <c r="R7357" s="42"/>
      <c r="AC7357" s="42"/>
    </row>
    <row r="7358" spans="15:29" x14ac:dyDescent="0.25">
      <c r="O7358" s="42"/>
      <c r="R7358" s="42"/>
      <c r="AC7358" s="42"/>
    </row>
    <row r="7359" spans="15:29" x14ac:dyDescent="0.25">
      <c r="O7359" s="42"/>
      <c r="R7359" s="42"/>
      <c r="AC7359" s="42"/>
    </row>
    <row r="7360" spans="15:29" x14ac:dyDescent="0.25">
      <c r="O7360" s="42"/>
      <c r="R7360" s="42"/>
      <c r="AC7360" s="42"/>
    </row>
    <row r="7361" spans="15:29" x14ac:dyDescent="0.25">
      <c r="O7361" s="42"/>
      <c r="R7361" s="42"/>
      <c r="AC7361" s="42"/>
    </row>
    <row r="7362" spans="15:29" x14ac:dyDescent="0.25">
      <c r="O7362" s="42"/>
      <c r="R7362" s="42"/>
      <c r="AC7362" s="42"/>
    </row>
    <row r="7363" spans="15:29" x14ac:dyDescent="0.25">
      <c r="O7363" s="42"/>
      <c r="R7363" s="42"/>
      <c r="AC7363" s="42"/>
    </row>
    <row r="7364" spans="15:29" x14ac:dyDescent="0.25">
      <c r="O7364" s="42"/>
      <c r="R7364" s="42"/>
      <c r="AC7364" s="42"/>
    </row>
    <row r="7365" spans="15:29" x14ac:dyDescent="0.25">
      <c r="O7365" s="42"/>
      <c r="R7365" s="42"/>
      <c r="AC7365" s="42"/>
    </row>
    <row r="7366" spans="15:29" x14ac:dyDescent="0.25">
      <c r="O7366" s="42"/>
      <c r="R7366" s="42"/>
      <c r="AC7366" s="42"/>
    </row>
    <row r="7367" spans="15:29" x14ac:dyDescent="0.25">
      <c r="O7367" s="42"/>
      <c r="R7367" s="42"/>
      <c r="AC7367" s="42"/>
    </row>
    <row r="7368" spans="15:29" x14ac:dyDescent="0.25">
      <c r="O7368" s="42"/>
      <c r="R7368" s="42"/>
      <c r="AC7368" s="42"/>
    </row>
    <row r="7369" spans="15:29" x14ac:dyDescent="0.25">
      <c r="O7369" s="42"/>
      <c r="R7369" s="42"/>
      <c r="AC7369" s="42"/>
    </row>
    <row r="7370" spans="15:29" x14ac:dyDescent="0.25">
      <c r="O7370" s="42"/>
      <c r="R7370" s="42"/>
      <c r="AC7370" s="42"/>
    </row>
    <row r="7371" spans="15:29" x14ac:dyDescent="0.25">
      <c r="O7371" s="42"/>
      <c r="R7371" s="42"/>
      <c r="AC7371" s="42"/>
    </row>
    <row r="7372" spans="15:29" x14ac:dyDescent="0.25">
      <c r="O7372" s="42"/>
      <c r="R7372" s="42"/>
      <c r="AC7372" s="42"/>
    </row>
    <row r="7373" spans="15:29" x14ac:dyDescent="0.25">
      <c r="O7373" s="42"/>
      <c r="R7373" s="42"/>
      <c r="AC7373" s="42"/>
    </row>
    <row r="7374" spans="15:29" x14ac:dyDescent="0.25">
      <c r="O7374" s="42"/>
      <c r="R7374" s="42"/>
      <c r="AC7374" s="42"/>
    </row>
    <row r="7375" spans="15:29" x14ac:dyDescent="0.25">
      <c r="O7375" s="42"/>
      <c r="R7375" s="42"/>
      <c r="AC7375" s="42"/>
    </row>
    <row r="7376" spans="15:29" x14ac:dyDescent="0.25">
      <c r="O7376" s="42"/>
      <c r="R7376" s="42"/>
      <c r="AC7376" s="42"/>
    </row>
    <row r="7377" spans="15:29" x14ac:dyDescent="0.25">
      <c r="O7377" s="42"/>
      <c r="R7377" s="42"/>
      <c r="AC7377" s="42"/>
    </row>
    <row r="7378" spans="15:29" x14ac:dyDescent="0.25">
      <c r="O7378" s="42"/>
      <c r="R7378" s="42"/>
      <c r="AC7378" s="42"/>
    </row>
    <row r="7379" spans="15:29" x14ac:dyDescent="0.25">
      <c r="O7379" s="42"/>
      <c r="R7379" s="42"/>
      <c r="AC7379" s="42"/>
    </row>
    <row r="7380" spans="15:29" x14ac:dyDescent="0.25">
      <c r="O7380" s="42"/>
      <c r="R7380" s="42"/>
      <c r="AC7380" s="42"/>
    </row>
    <row r="7381" spans="15:29" x14ac:dyDescent="0.25">
      <c r="O7381" s="42"/>
      <c r="R7381" s="42"/>
      <c r="AC7381" s="42"/>
    </row>
    <row r="7382" spans="15:29" x14ac:dyDescent="0.25">
      <c r="O7382" s="42"/>
      <c r="R7382" s="42"/>
      <c r="AC7382" s="42"/>
    </row>
    <row r="7383" spans="15:29" x14ac:dyDescent="0.25">
      <c r="O7383" s="42"/>
      <c r="R7383" s="42"/>
      <c r="AC7383" s="42"/>
    </row>
    <row r="7384" spans="15:29" x14ac:dyDescent="0.25">
      <c r="O7384" s="42"/>
      <c r="R7384" s="42"/>
      <c r="AC7384" s="42"/>
    </row>
    <row r="7385" spans="15:29" x14ac:dyDescent="0.25">
      <c r="O7385" s="42"/>
      <c r="R7385" s="42"/>
      <c r="AC7385" s="42"/>
    </row>
    <row r="7386" spans="15:29" x14ac:dyDescent="0.25">
      <c r="O7386" s="42"/>
      <c r="R7386" s="42"/>
      <c r="AC7386" s="42"/>
    </row>
    <row r="7387" spans="15:29" x14ac:dyDescent="0.25">
      <c r="O7387" s="42"/>
      <c r="R7387" s="42"/>
      <c r="AC7387" s="42"/>
    </row>
    <row r="7388" spans="15:29" x14ac:dyDescent="0.25">
      <c r="O7388" s="42"/>
      <c r="R7388" s="42"/>
      <c r="AC7388" s="42"/>
    </row>
    <row r="7389" spans="15:29" x14ac:dyDescent="0.25">
      <c r="O7389" s="42"/>
      <c r="R7389" s="42"/>
      <c r="AC7389" s="42"/>
    </row>
    <row r="7390" spans="15:29" x14ac:dyDescent="0.25">
      <c r="O7390" s="42"/>
      <c r="R7390" s="42"/>
      <c r="AC7390" s="42"/>
    </row>
    <row r="7391" spans="15:29" x14ac:dyDescent="0.25">
      <c r="O7391" s="42"/>
      <c r="R7391" s="42"/>
      <c r="AC7391" s="42"/>
    </row>
    <row r="7392" spans="15:29" x14ac:dyDescent="0.25">
      <c r="O7392" s="42"/>
      <c r="R7392" s="42"/>
      <c r="AC7392" s="42"/>
    </row>
    <row r="7393" spans="15:29" x14ac:dyDescent="0.25">
      <c r="O7393" s="42"/>
      <c r="R7393" s="42"/>
      <c r="AC7393" s="42"/>
    </row>
    <row r="7394" spans="15:29" x14ac:dyDescent="0.25">
      <c r="O7394" s="42"/>
      <c r="R7394" s="42"/>
      <c r="AC7394" s="42"/>
    </row>
    <row r="7395" spans="15:29" x14ac:dyDescent="0.25">
      <c r="O7395" s="42"/>
      <c r="R7395" s="42"/>
      <c r="AC7395" s="42"/>
    </row>
    <row r="7396" spans="15:29" x14ac:dyDescent="0.25">
      <c r="O7396" s="42"/>
      <c r="R7396" s="42"/>
      <c r="AC7396" s="42"/>
    </row>
    <row r="7397" spans="15:29" x14ac:dyDescent="0.25">
      <c r="O7397" s="42"/>
      <c r="R7397" s="42"/>
      <c r="AC7397" s="42"/>
    </row>
    <row r="7398" spans="15:29" x14ac:dyDescent="0.25">
      <c r="O7398" s="42"/>
      <c r="R7398" s="42"/>
      <c r="AC7398" s="42"/>
    </row>
    <row r="7399" spans="15:29" x14ac:dyDescent="0.25">
      <c r="O7399" s="42"/>
      <c r="R7399" s="42"/>
      <c r="AC7399" s="42"/>
    </row>
    <row r="7400" spans="15:29" x14ac:dyDescent="0.25">
      <c r="O7400" s="42"/>
      <c r="R7400" s="42"/>
      <c r="AC7400" s="42"/>
    </row>
    <row r="7401" spans="15:29" x14ac:dyDescent="0.25">
      <c r="O7401" s="42"/>
      <c r="R7401" s="42"/>
      <c r="AC7401" s="42"/>
    </row>
    <row r="7402" spans="15:29" x14ac:dyDescent="0.25">
      <c r="O7402" s="42"/>
      <c r="R7402" s="42"/>
      <c r="AC7402" s="42"/>
    </row>
    <row r="7403" spans="15:29" x14ac:dyDescent="0.25">
      <c r="O7403" s="42"/>
      <c r="R7403" s="42"/>
      <c r="AC7403" s="42"/>
    </row>
    <row r="7404" spans="15:29" x14ac:dyDescent="0.25">
      <c r="O7404" s="42"/>
      <c r="R7404" s="42"/>
      <c r="AC7404" s="42"/>
    </row>
    <row r="7405" spans="15:29" x14ac:dyDescent="0.25">
      <c r="O7405" s="42"/>
      <c r="R7405" s="42"/>
      <c r="AC7405" s="42"/>
    </row>
    <row r="7406" spans="15:29" x14ac:dyDescent="0.25">
      <c r="O7406" s="42"/>
      <c r="R7406" s="42"/>
      <c r="AC7406" s="42"/>
    </row>
    <row r="7407" spans="15:29" x14ac:dyDescent="0.25">
      <c r="O7407" s="42"/>
      <c r="R7407" s="42"/>
      <c r="AC7407" s="42"/>
    </row>
    <row r="7408" spans="15:29" x14ac:dyDescent="0.25">
      <c r="O7408" s="42"/>
      <c r="R7408" s="42"/>
      <c r="AC7408" s="42"/>
    </row>
    <row r="7409" spans="15:29" x14ac:dyDescent="0.25">
      <c r="O7409" s="42"/>
      <c r="R7409" s="42"/>
      <c r="AC7409" s="42"/>
    </row>
    <row r="7410" spans="15:29" x14ac:dyDescent="0.25">
      <c r="O7410" s="42"/>
      <c r="R7410" s="42"/>
      <c r="AC7410" s="42"/>
    </row>
    <row r="7411" spans="15:29" x14ac:dyDescent="0.25">
      <c r="O7411" s="42"/>
      <c r="R7411" s="42"/>
      <c r="AC7411" s="42"/>
    </row>
    <row r="7412" spans="15:29" x14ac:dyDescent="0.25">
      <c r="O7412" s="42"/>
      <c r="R7412" s="42"/>
      <c r="AC7412" s="42"/>
    </row>
    <row r="7413" spans="15:29" x14ac:dyDescent="0.25">
      <c r="O7413" s="42"/>
      <c r="R7413" s="42"/>
      <c r="AC7413" s="42"/>
    </row>
    <row r="7414" spans="15:29" x14ac:dyDescent="0.25">
      <c r="O7414" s="42"/>
      <c r="R7414" s="42"/>
      <c r="AC7414" s="42"/>
    </row>
    <row r="7415" spans="15:29" x14ac:dyDescent="0.25">
      <c r="O7415" s="42"/>
      <c r="R7415" s="42"/>
      <c r="AC7415" s="42"/>
    </row>
    <row r="7416" spans="15:29" x14ac:dyDescent="0.25">
      <c r="O7416" s="42"/>
      <c r="R7416" s="42"/>
      <c r="AC7416" s="42"/>
    </row>
    <row r="7417" spans="15:29" x14ac:dyDescent="0.25">
      <c r="O7417" s="42"/>
      <c r="R7417" s="42"/>
      <c r="AC7417" s="42"/>
    </row>
    <row r="7418" spans="15:29" x14ac:dyDescent="0.25">
      <c r="O7418" s="42"/>
      <c r="R7418" s="42"/>
      <c r="AC7418" s="42"/>
    </row>
    <row r="7419" spans="15:29" x14ac:dyDescent="0.25">
      <c r="O7419" s="42"/>
      <c r="R7419" s="42"/>
      <c r="AC7419" s="42"/>
    </row>
    <row r="7420" spans="15:29" x14ac:dyDescent="0.25">
      <c r="O7420" s="42"/>
      <c r="R7420" s="42"/>
      <c r="AC7420" s="42"/>
    </row>
    <row r="7421" spans="15:29" x14ac:dyDescent="0.25">
      <c r="O7421" s="42"/>
      <c r="R7421" s="42"/>
      <c r="AC7421" s="42"/>
    </row>
    <row r="7422" spans="15:29" x14ac:dyDescent="0.25">
      <c r="O7422" s="42"/>
      <c r="R7422" s="42"/>
      <c r="AC7422" s="42"/>
    </row>
    <row r="7423" spans="15:29" x14ac:dyDescent="0.25">
      <c r="O7423" s="42"/>
      <c r="R7423" s="42"/>
      <c r="AC7423" s="42"/>
    </row>
    <row r="7424" spans="15:29" x14ac:dyDescent="0.25">
      <c r="O7424" s="42"/>
      <c r="R7424" s="42"/>
      <c r="AC7424" s="42"/>
    </row>
    <row r="7425" spans="15:29" x14ac:dyDescent="0.25">
      <c r="O7425" s="42"/>
      <c r="R7425" s="42"/>
      <c r="AC7425" s="42"/>
    </row>
    <row r="7426" spans="15:29" x14ac:dyDescent="0.25">
      <c r="O7426" s="42"/>
      <c r="R7426" s="42"/>
      <c r="AC7426" s="42"/>
    </row>
    <row r="7427" spans="15:29" x14ac:dyDescent="0.25">
      <c r="O7427" s="42"/>
      <c r="R7427" s="42"/>
      <c r="AC7427" s="42"/>
    </row>
    <row r="7428" spans="15:29" x14ac:dyDescent="0.25">
      <c r="O7428" s="42"/>
      <c r="R7428" s="42"/>
      <c r="AC7428" s="42"/>
    </row>
    <row r="7429" spans="15:29" x14ac:dyDescent="0.25">
      <c r="O7429" s="42"/>
      <c r="R7429" s="42"/>
      <c r="AC7429" s="42"/>
    </row>
    <row r="7430" spans="15:29" x14ac:dyDescent="0.25">
      <c r="O7430" s="42"/>
      <c r="R7430" s="42"/>
      <c r="AC7430" s="42"/>
    </row>
    <row r="7431" spans="15:29" x14ac:dyDescent="0.25">
      <c r="O7431" s="42"/>
      <c r="R7431" s="42"/>
      <c r="AC7431" s="42"/>
    </row>
    <row r="7432" spans="15:29" x14ac:dyDescent="0.25">
      <c r="O7432" s="42"/>
      <c r="R7432" s="42"/>
      <c r="AC7432" s="42"/>
    </row>
    <row r="7433" spans="15:29" x14ac:dyDescent="0.25">
      <c r="O7433" s="42"/>
      <c r="R7433" s="42"/>
      <c r="AC7433" s="42"/>
    </row>
    <row r="7434" spans="15:29" x14ac:dyDescent="0.25">
      <c r="O7434" s="42"/>
      <c r="R7434" s="42"/>
      <c r="AC7434" s="42"/>
    </row>
    <row r="7435" spans="15:29" x14ac:dyDescent="0.25">
      <c r="O7435" s="42"/>
      <c r="R7435" s="42"/>
      <c r="AC7435" s="42"/>
    </row>
    <row r="7436" spans="15:29" x14ac:dyDescent="0.25">
      <c r="O7436" s="42"/>
      <c r="R7436" s="42"/>
      <c r="AC7436" s="42"/>
    </row>
    <row r="7437" spans="15:29" x14ac:dyDescent="0.25">
      <c r="O7437" s="42"/>
      <c r="R7437" s="42"/>
      <c r="AC7437" s="42"/>
    </row>
    <row r="7438" spans="15:29" x14ac:dyDescent="0.25">
      <c r="O7438" s="42"/>
      <c r="R7438" s="42"/>
      <c r="AC7438" s="42"/>
    </row>
    <row r="7439" spans="15:29" x14ac:dyDescent="0.25">
      <c r="O7439" s="42"/>
      <c r="R7439" s="42"/>
      <c r="AC7439" s="42"/>
    </row>
    <row r="7440" spans="15:29" x14ac:dyDescent="0.25">
      <c r="O7440" s="42"/>
      <c r="R7440" s="42"/>
      <c r="AC7440" s="42"/>
    </row>
    <row r="7441" spans="15:29" x14ac:dyDescent="0.25">
      <c r="O7441" s="42"/>
      <c r="R7441" s="42"/>
      <c r="AC7441" s="42"/>
    </row>
    <row r="7442" spans="15:29" x14ac:dyDescent="0.25">
      <c r="O7442" s="42"/>
      <c r="R7442" s="42"/>
      <c r="AC7442" s="42"/>
    </row>
    <row r="7443" spans="15:29" x14ac:dyDescent="0.25">
      <c r="O7443" s="42"/>
      <c r="R7443" s="42"/>
      <c r="AC7443" s="42"/>
    </row>
    <row r="7444" spans="15:29" x14ac:dyDescent="0.25">
      <c r="O7444" s="42"/>
      <c r="R7444" s="42"/>
      <c r="AC7444" s="42"/>
    </row>
    <row r="7445" spans="15:29" x14ac:dyDescent="0.25">
      <c r="O7445" s="42"/>
      <c r="R7445" s="42"/>
      <c r="AC7445" s="42"/>
    </row>
    <row r="7446" spans="15:29" x14ac:dyDescent="0.25">
      <c r="O7446" s="42"/>
      <c r="R7446" s="42"/>
      <c r="AC7446" s="42"/>
    </row>
    <row r="7447" spans="15:29" x14ac:dyDescent="0.25">
      <c r="O7447" s="42"/>
      <c r="R7447" s="42"/>
      <c r="AC7447" s="42"/>
    </row>
    <row r="7448" spans="15:29" x14ac:dyDescent="0.25">
      <c r="O7448" s="42"/>
      <c r="R7448" s="42"/>
      <c r="AC7448" s="42"/>
    </row>
    <row r="7449" spans="15:29" x14ac:dyDescent="0.25">
      <c r="O7449" s="42"/>
      <c r="R7449" s="42"/>
      <c r="AC7449" s="42"/>
    </row>
    <row r="7450" spans="15:29" x14ac:dyDescent="0.25">
      <c r="O7450" s="42"/>
      <c r="R7450" s="42"/>
      <c r="AC7450" s="42"/>
    </row>
    <row r="7451" spans="15:29" x14ac:dyDescent="0.25">
      <c r="O7451" s="42"/>
      <c r="R7451" s="42"/>
      <c r="AC7451" s="42"/>
    </row>
    <row r="7452" spans="15:29" x14ac:dyDescent="0.25">
      <c r="O7452" s="42"/>
      <c r="R7452" s="42"/>
      <c r="AC7452" s="42"/>
    </row>
    <row r="7453" spans="15:29" x14ac:dyDescent="0.25">
      <c r="O7453" s="42"/>
      <c r="R7453" s="42"/>
      <c r="AC7453" s="42"/>
    </row>
    <row r="7454" spans="15:29" x14ac:dyDescent="0.25">
      <c r="O7454" s="42"/>
      <c r="R7454" s="42"/>
      <c r="AC7454" s="42"/>
    </row>
    <row r="7455" spans="15:29" x14ac:dyDescent="0.25">
      <c r="O7455" s="42"/>
      <c r="R7455" s="42"/>
      <c r="AC7455" s="42"/>
    </row>
    <row r="7456" spans="15:29" x14ac:dyDescent="0.25">
      <c r="O7456" s="42"/>
      <c r="R7456" s="42"/>
      <c r="AC7456" s="42"/>
    </row>
    <row r="7457" spans="15:29" x14ac:dyDescent="0.25">
      <c r="O7457" s="42"/>
      <c r="R7457" s="42"/>
      <c r="AC7457" s="42"/>
    </row>
    <row r="7458" spans="15:29" x14ac:dyDescent="0.25">
      <c r="O7458" s="42"/>
      <c r="R7458" s="42"/>
      <c r="AC7458" s="42"/>
    </row>
    <row r="7459" spans="15:29" x14ac:dyDescent="0.25">
      <c r="O7459" s="42"/>
      <c r="R7459" s="42"/>
      <c r="AC7459" s="42"/>
    </row>
    <row r="7460" spans="15:29" x14ac:dyDescent="0.25">
      <c r="O7460" s="42"/>
      <c r="R7460" s="42"/>
      <c r="AC7460" s="42"/>
    </row>
    <row r="7461" spans="15:29" x14ac:dyDescent="0.25">
      <c r="O7461" s="42"/>
      <c r="R7461" s="42"/>
      <c r="AC7461" s="42"/>
    </row>
    <row r="7462" spans="15:29" x14ac:dyDescent="0.25">
      <c r="O7462" s="42"/>
      <c r="R7462" s="42"/>
      <c r="AC7462" s="42"/>
    </row>
    <row r="7463" spans="15:29" x14ac:dyDescent="0.25">
      <c r="O7463" s="42"/>
      <c r="R7463" s="42"/>
      <c r="AC7463" s="42"/>
    </row>
    <row r="7464" spans="15:29" x14ac:dyDescent="0.25">
      <c r="O7464" s="42"/>
      <c r="R7464" s="42"/>
      <c r="AC7464" s="42"/>
    </row>
    <row r="7465" spans="15:29" x14ac:dyDescent="0.25">
      <c r="O7465" s="42"/>
      <c r="R7465" s="42"/>
      <c r="AC7465" s="42"/>
    </row>
    <row r="7466" spans="15:29" x14ac:dyDescent="0.25">
      <c r="O7466" s="42"/>
      <c r="R7466" s="42"/>
      <c r="AC7466" s="42"/>
    </row>
    <row r="7467" spans="15:29" x14ac:dyDescent="0.25">
      <c r="O7467" s="42"/>
      <c r="R7467" s="42"/>
      <c r="AC7467" s="42"/>
    </row>
    <row r="7468" spans="15:29" x14ac:dyDescent="0.25">
      <c r="O7468" s="42"/>
      <c r="R7468" s="42"/>
      <c r="AC7468" s="42"/>
    </row>
    <row r="7469" spans="15:29" x14ac:dyDescent="0.25">
      <c r="O7469" s="42"/>
      <c r="R7469" s="42"/>
      <c r="AC7469" s="42"/>
    </row>
    <row r="7470" spans="15:29" x14ac:dyDescent="0.25">
      <c r="O7470" s="42"/>
      <c r="R7470" s="42"/>
      <c r="AC7470" s="42"/>
    </row>
    <row r="7471" spans="15:29" x14ac:dyDescent="0.25">
      <c r="O7471" s="42"/>
      <c r="R7471" s="42"/>
      <c r="AC7471" s="42"/>
    </row>
    <row r="7472" spans="15:29" x14ac:dyDescent="0.25">
      <c r="O7472" s="42"/>
      <c r="R7472" s="42"/>
      <c r="AC7472" s="42"/>
    </row>
    <row r="7473" spans="15:29" x14ac:dyDescent="0.25">
      <c r="O7473" s="42"/>
      <c r="R7473" s="42"/>
      <c r="AC7473" s="42"/>
    </row>
    <row r="7474" spans="15:29" x14ac:dyDescent="0.25">
      <c r="O7474" s="42"/>
      <c r="R7474" s="42"/>
      <c r="AC7474" s="42"/>
    </row>
    <row r="7475" spans="15:29" x14ac:dyDescent="0.25">
      <c r="O7475" s="42"/>
      <c r="R7475" s="42"/>
      <c r="AC7475" s="42"/>
    </row>
    <row r="7476" spans="15:29" x14ac:dyDescent="0.25">
      <c r="O7476" s="42"/>
      <c r="R7476" s="42"/>
      <c r="AC7476" s="42"/>
    </row>
    <row r="7477" spans="15:29" x14ac:dyDescent="0.25">
      <c r="O7477" s="42"/>
      <c r="R7477" s="42"/>
      <c r="AC7477" s="42"/>
    </row>
    <row r="7478" spans="15:29" x14ac:dyDescent="0.25">
      <c r="O7478" s="42"/>
      <c r="R7478" s="42"/>
      <c r="AC7478" s="42"/>
    </row>
    <row r="7479" spans="15:29" x14ac:dyDescent="0.25">
      <c r="O7479" s="42"/>
      <c r="R7479" s="42"/>
      <c r="AC7479" s="42"/>
    </row>
    <row r="7480" spans="15:29" x14ac:dyDescent="0.25">
      <c r="O7480" s="42"/>
      <c r="R7480" s="42"/>
      <c r="AC7480" s="42"/>
    </row>
    <row r="7481" spans="15:29" x14ac:dyDescent="0.25">
      <c r="O7481" s="42"/>
      <c r="R7481" s="42"/>
      <c r="AC7481" s="42"/>
    </row>
    <row r="7482" spans="15:29" x14ac:dyDescent="0.25">
      <c r="O7482" s="42"/>
      <c r="R7482" s="42"/>
      <c r="AC7482" s="42"/>
    </row>
    <row r="7483" spans="15:29" x14ac:dyDescent="0.25">
      <c r="O7483" s="42"/>
      <c r="R7483" s="42"/>
      <c r="AC7483" s="42"/>
    </row>
    <row r="7484" spans="15:29" x14ac:dyDescent="0.25">
      <c r="O7484" s="42"/>
      <c r="R7484" s="42"/>
      <c r="AC7484" s="42"/>
    </row>
    <row r="7485" spans="15:29" x14ac:dyDescent="0.25">
      <c r="O7485" s="42"/>
      <c r="R7485" s="42"/>
      <c r="AC7485" s="42"/>
    </row>
    <row r="7486" spans="15:29" x14ac:dyDescent="0.25">
      <c r="O7486" s="42"/>
      <c r="R7486" s="42"/>
      <c r="AC7486" s="42"/>
    </row>
    <row r="7487" spans="15:29" x14ac:dyDescent="0.25">
      <c r="O7487" s="42"/>
      <c r="R7487" s="42"/>
      <c r="AC7487" s="42"/>
    </row>
    <row r="7488" spans="15:29" x14ac:dyDescent="0.25">
      <c r="O7488" s="42"/>
      <c r="R7488" s="42"/>
      <c r="AC7488" s="42"/>
    </row>
    <row r="7489" spans="15:29" x14ac:dyDescent="0.25">
      <c r="O7489" s="42"/>
      <c r="R7489" s="42"/>
      <c r="AC7489" s="42"/>
    </row>
    <row r="7490" spans="15:29" x14ac:dyDescent="0.25">
      <c r="O7490" s="42"/>
      <c r="R7490" s="42"/>
      <c r="AC7490" s="42"/>
    </row>
    <row r="7491" spans="15:29" x14ac:dyDescent="0.25">
      <c r="O7491" s="42"/>
      <c r="R7491" s="42"/>
      <c r="AC7491" s="42"/>
    </row>
    <row r="7492" spans="15:29" x14ac:dyDescent="0.25">
      <c r="O7492" s="42"/>
      <c r="R7492" s="42"/>
      <c r="AC7492" s="42"/>
    </row>
    <row r="7493" spans="15:29" x14ac:dyDescent="0.25">
      <c r="O7493" s="42"/>
      <c r="R7493" s="42"/>
      <c r="AC7493" s="42"/>
    </row>
    <row r="7494" spans="15:29" x14ac:dyDescent="0.25">
      <c r="O7494" s="42"/>
      <c r="R7494" s="42"/>
      <c r="AC7494" s="42"/>
    </row>
    <row r="7495" spans="15:29" x14ac:dyDescent="0.25">
      <c r="O7495" s="42"/>
      <c r="R7495" s="42"/>
      <c r="AC7495" s="42"/>
    </row>
    <row r="7496" spans="15:29" x14ac:dyDescent="0.25">
      <c r="O7496" s="42"/>
      <c r="R7496" s="42"/>
      <c r="AC7496" s="42"/>
    </row>
    <row r="7497" spans="15:29" x14ac:dyDescent="0.25">
      <c r="O7497" s="42"/>
      <c r="R7497" s="42"/>
      <c r="AC7497" s="42"/>
    </row>
    <row r="7498" spans="15:29" x14ac:dyDescent="0.25">
      <c r="O7498" s="42"/>
      <c r="R7498" s="42"/>
      <c r="AC7498" s="42"/>
    </row>
    <row r="7499" spans="15:29" x14ac:dyDescent="0.25">
      <c r="O7499" s="42"/>
      <c r="R7499" s="42"/>
      <c r="AC7499" s="42"/>
    </row>
    <row r="7500" spans="15:29" x14ac:dyDescent="0.25">
      <c r="O7500" s="42"/>
      <c r="R7500" s="42"/>
      <c r="AC7500" s="42"/>
    </row>
    <row r="7501" spans="15:29" x14ac:dyDescent="0.25">
      <c r="O7501" s="42"/>
      <c r="R7501" s="42"/>
      <c r="AC7501" s="42"/>
    </row>
    <row r="7502" spans="15:29" x14ac:dyDescent="0.25">
      <c r="O7502" s="42"/>
      <c r="R7502" s="42"/>
      <c r="AC7502" s="42"/>
    </row>
    <row r="7503" spans="15:29" x14ac:dyDescent="0.25">
      <c r="O7503" s="42"/>
      <c r="R7503" s="42"/>
      <c r="AC7503" s="42"/>
    </row>
    <row r="7504" spans="15:29" x14ac:dyDescent="0.25">
      <c r="O7504" s="42"/>
      <c r="R7504" s="42"/>
      <c r="AC7504" s="42"/>
    </row>
    <row r="7505" spans="15:29" x14ac:dyDescent="0.25">
      <c r="O7505" s="42"/>
      <c r="R7505" s="42"/>
      <c r="AC7505" s="42"/>
    </row>
    <row r="7506" spans="15:29" x14ac:dyDescent="0.25">
      <c r="O7506" s="42"/>
      <c r="R7506" s="42"/>
      <c r="AC7506" s="42"/>
    </row>
    <row r="7507" spans="15:29" x14ac:dyDescent="0.25">
      <c r="O7507" s="42"/>
      <c r="R7507" s="42"/>
      <c r="AC7507" s="42"/>
    </row>
    <row r="7508" spans="15:29" x14ac:dyDescent="0.25">
      <c r="O7508" s="42"/>
      <c r="R7508" s="42"/>
      <c r="AC7508" s="42"/>
    </row>
    <row r="7509" spans="15:29" x14ac:dyDescent="0.25">
      <c r="O7509" s="42"/>
      <c r="R7509" s="42"/>
      <c r="AC7509" s="42"/>
    </row>
    <row r="7510" spans="15:29" x14ac:dyDescent="0.25">
      <c r="O7510" s="42"/>
      <c r="R7510" s="42"/>
      <c r="AC7510" s="42"/>
    </row>
    <row r="7511" spans="15:29" x14ac:dyDescent="0.25">
      <c r="O7511" s="42"/>
      <c r="R7511" s="42"/>
      <c r="AC7511" s="42"/>
    </row>
    <row r="7512" spans="15:29" x14ac:dyDescent="0.25">
      <c r="O7512" s="42"/>
      <c r="R7512" s="42"/>
      <c r="AC7512" s="42"/>
    </row>
    <row r="7513" spans="15:29" x14ac:dyDescent="0.25">
      <c r="O7513" s="42"/>
      <c r="R7513" s="42"/>
      <c r="AC7513" s="42"/>
    </row>
    <row r="7514" spans="15:29" x14ac:dyDescent="0.25">
      <c r="O7514" s="42"/>
      <c r="R7514" s="42"/>
      <c r="AC7514" s="42"/>
    </row>
    <row r="7515" spans="15:29" x14ac:dyDescent="0.25">
      <c r="O7515" s="42"/>
      <c r="R7515" s="42"/>
      <c r="AC7515" s="42"/>
    </row>
    <row r="7516" spans="15:29" x14ac:dyDescent="0.25">
      <c r="O7516" s="42"/>
      <c r="R7516" s="42"/>
      <c r="AC7516" s="42"/>
    </row>
    <row r="7517" spans="15:29" x14ac:dyDescent="0.25">
      <c r="O7517" s="42"/>
      <c r="R7517" s="42"/>
      <c r="AC7517" s="42"/>
    </row>
    <row r="7518" spans="15:29" x14ac:dyDescent="0.25">
      <c r="O7518" s="42"/>
      <c r="R7518" s="42"/>
      <c r="AC7518" s="42"/>
    </row>
    <row r="7519" spans="15:29" x14ac:dyDescent="0.25">
      <c r="O7519" s="42"/>
      <c r="R7519" s="42"/>
      <c r="AC7519" s="42"/>
    </row>
    <row r="7520" spans="15:29" x14ac:dyDescent="0.25">
      <c r="O7520" s="42"/>
      <c r="R7520" s="42"/>
      <c r="AC7520" s="42"/>
    </row>
    <row r="7521" spans="15:29" x14ac:dyDescent="0.25">
      <c r="O7521" s="42"/>
      <c r="R7521" s="42"/>
      <c r="AC7521" s="42"/>
    </row>
    <row r="7522" spans="15:29" x14ac:dyDescent="0.25">
      <c r="O7522" s="42"/>
      <c r="R7522" s="42"/>
      <c r="AC7522" s="42"/>
    </row>
    <row r="7523" spans="15:29" x14ac:dyDescent="0.25">
      <c r="O7523" s="42"/>
      <c r="R7523" s="42"/>
      <c r="AC7523" s="42"/>
    </row>
    <row r="7524" spans="15:29" x14ac:dyDescent="0.25">
      <c r="O7524" s="42"/>
      <c r="R7524" s="42"/>
      <c r="AC7524" s="42"/>
    </row>
    <row r="7525" spans="15:29" x14ac:dyDescent="0.25">
      <c r="O7525" s="42"/>
      <c r="R7525" s="42"/>
      <c r="AC7525" s="42"/>
    </row>
    <row r="7526" spans="15:29" x14ac:dyDescent="0.25">
      <c r="O7526" s="42"/>
      <c r="R7526" s="42"/>
      <c r="AC7526" s="42"/>
    </row>
    <row r="7527" spans="15:29" x14ac:dyDescent="0.25">
      <c r="O7527" s="42"/>
      <c r="R7527" s="42"/>
      <c r="AC7527" s="42"/>
    </row>
    <row r="7528" spans="15:29" x14ac:dyDescent="0.25">
      <c r="O7528" s="42"/>
      <c r="R7528" s="42"/>
      <c r="AC7528" s="42"/>
    </row>
    <row r="7529" spans="15:29" x14ac:dyDescent="0.25">
      <c r="O7529" s="42"/>
      <c r="R7529" s="42"/>
      <c r="AC7529" s="42"/>
    </row>
    <row r="7530" spans="15:29" x14ac:dyDescent="0.25">
      <c r="O7530" s="42"/>
      <c r="R7530" s="42"/>
      <c r="AC7530" s="42"/>
    </row>
    <row r="7531" spans="15:29" x14ac:dyDescent="0.25">
      <c r="O7531" s="42"/>
      <c r="R7531" s="42"/>
      <c r="AC7531" s="42"/>
    </row>
    <row r="7532" spans="15:29" x14ac:dyDescent="0.25">
      <c r="O7532" s="42"/>
      <c r="R7532" s="42"/>
      <c r="AC7532" s="42"/>
    </row>
    <row r="7533" spans="15:29" x14ac:dyDescent="0.25">
      <c r="O7533" s="42"/>
      <c r="R7533" s="42"/>
      <c r="AC7533" s="42"/>
    </row>
    <row r="7534" spans="15:29" x14ac:dyDescent="0.25">
      <c r="O7534" s="42"/>
      <c r="R7534" s="42"/>
      <c r="AC7534" s="42"/>
    </row>
    <row r="7535" spans="15:29" x14ac:dyDescent="0.25">
      <c r="O7535" s="42"/>
      <c r="R7535" s="42"/>
      <c r="AC7535" s="42"/>
    </row>
    <row r="7536" spans="15:29" x14ac:dyDescent="0.25">
      <c r="O7536" s="42"/>
      <c r="R7536" s="42"/>
      <c r="AC7536" s="42"/>
    </row>
    <row r="7537" spans="15:29" x14ac:dyDescent="0.25">
      <c r="O7537" s="42"/>
      <c r="R7537" s="42"/>
      <c r="AC7537" s="42"/>
    </row>
    <row r="7538" spans="15:29" x14ac:dyDescent="0.25">
      <c r="O7538" s="42"/>
      <c r="R7538" s="42"/>
      <c r="AC7538" s="42"/>
    </row>
    <row r="7539" spans="15:29" x14ac:dyDescent="0.25">
      <c r="O7539" s="42"/>
      <c r="R7539" s="42"/>
      <c r="AC7539" s="42"/>
    </row>
    <row r="7540" spans="15:29" x14ac:dyDescent="0.25">
      <c r="O7540" s="42"/>
      <c r="R7540" s="42"/>
      <c r="AC7540" s="42"/>
    </row>
    <row r="7541" spans="15:29" x14ac:dyDescent="0.25">
      <c r="O7541" s="42"/>
      <c r="R7541" s="42"/>
      <c r="AC7541" s="42"/>
    </row>
    <row r="7542" spans="15:29" x14ac:dyDescent="0.25">
      <c r="O7542" s="42"/>
      <c r="R7542" s="42"/>
      <c r="AC7542" s="42"/>
    </row>
    <row r="7543" spans="15:29" x14ac:dyDescent="0.25">
      <c r="O7543" s="42"/>
      <c r="R7543" s="42"/>
      <c r="AC7543" s="42"/>
    </row>
    <row r="7544" spans="15:29" x14ac:dyDescent="0.25">
      <c r="O7544" s="42"/>
      <c r="R7544" s="42"/>
      <c r="AC7544" s="42"/>
    </row>
    <row r="7545" spans="15:29" x14ac:dyDescent="0.25">
      <c r="O7545" s="42"/>
      <c r="R7545" s="42"/>
      <c r="AC7545" s="42"/>
    </row>
    <row r="7546" spans="15:29" x14ac:dyDescent="0.25">
      <c r="O7546" s="42"/>
      <c r="R7546" s="42"/>
      <c r="AC7546" s="42"/>
    </row>
    <row r="7547" spans="15:29" x14ac:dyDescent="0.25">
      <c r="O7547" s="42"/>
      <c r="R7547" s="42"/>
      <c r="AC7547" s="42"/>
    </row>
    <row r="7548" spans="15:29" x14ac:dyDescent="0.25">
      <c r="O7548" s="42"/>
      <c r="R7548" s="42"/>
      <c r="AC7548" s="42"/>
    </row>
    <row r="7549" spans="15:29" x14ac:dyDescent="0.25">
      <c r="O7549" s="42"/>
      <c r="R7549" s="42"/>
      <c r="AC7549" s="42"/>
    </row>
    <row r="7550" spans="15:29" x14ac:dyDescent="0.25">
      <c r="O7550" s="42"/>
      <c r="R7550" s="42"/>
      <c r="AC7550" s="42"/>
    </row>
    <row r="7551" spans="15:29" x14ac:dyDescent="0.25">
      <c r="O7551" s="42"/>
      <c r="R7551" s="42"/>
      <c r="AC7551" s="42"/>
    </row>
    <row r="7552" spans="15:29" x14ac:dyDescent="0.25">
      <c r="O7552" s="42"/>
      <c r="R7552" s="42"/>
      <c r="AC7552" s="42"/>
    </row>
    <row r="7553" spans="15:29" x14ac:dyDescent="0.25">
      <c r="O7553" s="42"/>
      <c r="R7553" s="42"/>
      <c r="AC7553" s="42"/>
    </row>
    <row r="7554" spans="15:29" x14ac:dyDescent="0.25">
      <c r="O7554" s="42"/>
      <c r="R7554" s="42"/>
      <c r="AC7554" s="42"/>
    </row>
    <row r="7555" spans="15:29" x14ac:dyDescent="0.25">
      <c r="O7555" s="42"/>
      <c r="R7555" s="42"/>
      <c r="AC7555" s="42"/>
    </row>
    <row r="7556" spans="15:29" x14ac:dyDescent="0.25">
      <c r="O7556" s="42"/>
      <c r="R7556" s="42"/>
      <c r="AC7556" s="42"/>
    </row>
    <row r="7557" spans="15:29" x14ac:dyDescent="0.25">
      <c r="O7557" s="42"/>
      <c r="R7557" s="42"/>
      <c r="AC7557" s="42"/>
    </row>
    <row r="7558" spans="15:29" x14ac:dyDescent="0.25">
      <c r="O7558" s="42"/>
      <c r="R7558" s="42"/>
      <c r="AC7558" s="42"/>
    </row>
    <row r="7559" spans="15:29" x14ac:dyDescent="0.25">
      <c r="O7559" s="42"/>
      <c r="R7559" s="42"/>
      <c r="AC7559" s="42"/>
    </row>
    <row r="7560" spans="15:29" x14ac:dyDescent="0.25">
      <c r="O7560" s="42"/>
      <c r="R7560" s="42"/>
      <c r="AC7560" s="42"/>
    </row>
    <row r="7561" spans="15:29" x14ac:dyDescent="0.25">
      <c r="O7561" s="42"/>
      <c r="R7561" s="42"/>
      <c r="AC7561" s="42"/>
    </row>
    <row r="7562" spans="15:29" x14ac:dyDescent="0.25">
      <c r="O7562" s="42"/>
      <c r="R7562" s="42"/>
      <c r="AC7562" s="42"/>
    </row>
    <row r="7563" spans="15:29" x14ac:dyDescent="0.25">
      <c r="O7563" s="42"/>
      <c r="R7563" s="42"/>
      <c r="AC7563" s="42"/>
    </row>
    <row r="7564" spans="15:29" x14ac:dyDescent="0.25">
      <c r="O7564" s="42"/>
      <c r="R7564" s="42"/>
      <c r="AC7564" s="42"/>
    </row>
    <row r="7565" spans="15:29" x14ac:dyDescent="0.25">
      <c r="O7565" s="42"/>
      <c r="R7565" s="42"/>
      <c r="AC7565" s="42"/>
    </row>
    <row r="7566" spans="15:29" x14ac:dyDescent="0.25">
      <c r="O7566" s="42"/>
      <c r="R7566" s="42"/>
      <c r="AC7566" s="42"/>
    </row>
    <row r="7567" spans="15:29" x14ac:dyDescent="0.25">
      <c r="O7567" s="42"/>
      <c r="R7567" s="42"/>
      <c r="AC7567" s="42"/>
    </row>
    <row r="7568" spans="15:29" x14ac:dyDescent="0.25">
      <c r="O7568" s="42"/>
      <c r="R7568" s="42"/>
      <c r="AC7568" s="42"/>
    </row>
    <row r="7569" spans="15:29" x14ac:dyDescent="0.25">
      <c r="O7569" s="42"/>
      <c r="R7569" s="42"/>
      <c r="AC7569" s="42"/>
    </row>
    <row r="7570" spans="15:29" x14ac:dyDescent="0.25">
      <c r="O7570" s="42"/>
      <c r="R7570" s="42"/>
      <c r="AC7570" s="42"/>
    </row>
    <row r="7571" spans="15:29" x14ac:dyDescent="0.25">
      <c r="O7571" s="42"/>
      <c r="R7571" s="42"/>
      <c r="AC7571" s="42"/>
    </row>
    <row r="7572" spans="15:29" x14ac:dyDescent="0.25">
      <c r="O7572" s="42"/>
      <c r="R7572" s="42"/>
      <c r="AC7572" s="42"/>
    </row>
    <row r="7573" spans="15:29" x14ac:dyDescent="0.25">
      <c r="O7573" s="42"/>
      <c r="R7573" s="42"/>
      <c r="AC7573" s="42"/>
    </row>
    <row r="7574" spans="15:29" x14ac:dyDescent="0.25">
      <c r="O7574" s="42"/>
      <c r="R7574" s="42"/>
      <c r="AC7574" s="42"/>
    </row>
    <row r="7575" spans="15:29" x14ac:dyDescent="0.25">
      <c r="O7575" s="42"/>
      <c r="R7575" s="42"/>
      <c r="AC7575" s="42"/>
    </row>
    <row r="7576" spans="15:29" x14ac:dyDescent="0.25">
      <c r="O7576" s="42"/>
      <c r="R7576" s="42"/>
      <c r="AC7576" s="42"/>
    </row>
    <row r="7577" spans="15:29" x14ac:dyDescent="0.25">
      <c r="O7577" s="42"/>
      <c r="R7577" s="42"/>
      <c r="AC7577" s="42"/>
    </row>
    <row r="7578" spans="15:29" x14ac:dyDescent="0.25">
      <c r="O7578" s="42"/>
      <c r="R7578" s="42"/>
      <c r="AC7578" s="42"/>
    </row>
    <row r="7579" spans="15:29" x14ac:dyDescent="0.25">
      <c r="O7579" s="42"/>
      <c r="R7579" s="42"/>
      <c r="AC7579" s="42"/>
    </row>
    <row r="7580" spans="15:29" x14ac:dyDescent="0.25">
      <c r="O7580" s="42"/>
      <c r="R7580" s="42"/>
      <c r="AC7580" s="42"/>
    </row>
    <row r="7581" spans="15:29" x14ac:dyDescent="0.25">
      <c r="O7581" s="42"/>
      <c r="R7581" s="42"/>
      <c r="AC7581" s="42"/>
    </row>
    <row r="7582" spans="15:29" x14ac:dyDescent="0.25">
      <c r="O7582" s="42"/>
      <c r="R7582" s="42"/>
      <c r="AC7582" s="42"/>
    </row>
    <row r="7583" spans="15:29" x14ac:dyDescent="0.25">
      <c r="O7583" s="42"/>
      <c r="R7583" s="42"/>
      <c r="AC7583" s="42"/>
    </row>
    <row r="7584" spans="15:29" x14ac:dyDescent="0.25">
      <c r="O7584" s="42"/>
      <c r="R7584" s="42"/>
      <c r="AC7584" s="42"/>
    </row>
    <row r="7585" spans="15:29" x14ac:dyDescent="0.25">
      <c r="O7585" s="42"/>
      <c r="R7585" s="42"/>
      <c r="AC7585" s="42"/>
    </row>
    <row r="7586" spans="15:29" x14ac:dyDescent="0.25">
      <c r="O7586" s="42"/>
      <c r="R7586" s="42"/>
      <c r="AC7586" s="42"/>
    </row>
    <row r="7587" spans="15:29" x14ac:dyDescent="0.25">
      <c r="O7587" s="42"/>
      <c r="R7587" s="42"/>
      <c r="AC7587" s="42"/>
    </row>
    <row r="7588" spans="15:29" x14ac:dyDescent="0.25">
      <c r="O7588" s="42"/>
      <c r="R7588" s="42"/>
      <c r="AC7588" s="42"/>
    </row>
    <row r="7589" spans="15:29" x14ac:dyDescent="0.25">
      <c r="O7589" s="42"/>
      <c r="R7589" s="42"/>
      <c r="AC7589" s="42"/>
    </row>
    <row r="7590" spans="15:29" x14ac:dyDescent="0.25">
      <c r="O7590" s="42"/>
      <c r="R7590" s="42"/>
      <c r="AC7590" s="42"/>
    </row>
    <row r="7591" spans="15:29" x14ac:dyDescent="0.25">
      <c r="O7591" s="42"/>
      <c r="R7591" s="42"/>
      <c r="AC7591" s="42"/>
    </row>
    <row r="7592" spans="15:29" x14ac:dyDescent="0.25">
      <c r="O7592" s="42"/>
      <c r="R7592" s="42"/>
      <c r="AC7592" s="42"/>
    </row>
    <row r="7593" spans="15:29" x14ac:dyDescent="0.25">
      <c r="O7593" s="42"/>
      <c r="R7593" s="42"/>
      <c r="AC7593" s="42"/>
    </row>
    <row r="7594" spans="15:29" x14ac:dyDescent="0.25">
      <c r="O7594" s="42"/>
      <c r="R7594" s="42"/>
      <c r="AC7594" s="42"/>
    </row>
    <row r="7595" spans="15:29" x14ac:dyDescent="0.25">
      <c r="O7595" s="42"/>
      <c r="R7595" s="42"/>
      <c r="AC7595" s="42"/>
    </row>
    <row r="7596" spans="15:29" x14ac:dyDescent="0.25">
      <c r="O7596" s="42"/>
      <c r="R7596" s="42"/>
      <c r="AC7596" s="42"/>
    </row>
    <row r="7597" spans="15:29" x14ac:dyDescent="0.25">
      <c r="O7597" s="42"/>
      <c r="R7597" s="42"/>
      <c r="AC7597" s="42"/>
    </row>
    <row r="7598" spans="15:29" x14ac:dyDescent="0.25">
      <c r="O7598" s="42"/>
      <c r="R7598" s="42"/>
      <c r="AC7598" s="42"/>
    </row>
    <row r="7599" spans="15:29" x14ac:dyDescent="0.25">
      <c r="O7599" s="42"/>
      <c r="R7599" s="42"/>
      <c r="AC7599" s="42"/>
    </row>
    <row r="7600" spans="15:29" x14ac:dyDescent="0.25">
      <c r="O7600" s="42"/>
      <c r="R7600" s="42"/>
      <c r="AC7600" s="42"/>
    </row>
    <row r="7601" spans="15:29" x14ac:dyDescent="0.25">
      <c r="O7601" s="42"/>
      <c r="R7601" s="42"/>
      <c r="AC7601" s="42"/>
    </row>
    <row r="7602" spans="15:29" x14ac:dyDescent="0.25">
      <c r="O7602" s="42"/>
      <c r="R7602" s="42"/>
      <c r="AC7602" s="42"/>
    </row>
    <row r="7603" spans="15:29" x14ac:dyDescent="0.25">
      <c r="O7603" s="42"/>
      <c r="R7603" s="42"/>
      <c r="AC7603" s="42"/>
    </row>
    <row r="7604" spans="15:29" x14ac:dyDescent="0.25">
      <c r="O7604" s="42"/>
      <c r="R7604" s="42"/>
      <c r="AC7604" s="42"/>
    </row>
    <row r="7605" spans="15:29" x14ac:dyDescent="0.25">
      <c r="O7605" s="42"/>
      <c r="R7605" s="42"/>
      <c r="AC7605" s="42"/>
    </row>
    <row r="7606" spans="15:29" x14ac:dyDescent="0.25">
      <c r="O7606" s="42"/>
      <c r="R7606" s="42"/>
      <c r="AC7606" s="42"/>
    </row>
    <row r="7607" spans="15:29" x14ac:dyDescent="0.25">
      <c r="O7607" s="42"/>
      <c r="R7607" s="42"/>
      <c r="AC7607" s="42"/>
    </row>
    <row r="7608" spans="15:29" x14ac:dyDescent="0.25">
      <c r="O7608" s="42"/>
      <c r="R7608" s="42"/>
      <c r="AC7608" s="42"/>
    </row>
    <row r="7609" spans="15:29" x14ac:dyDescent="0.25">
      <c r="O7609" s="42"/>
      <c r="R7609" s="42"/>
      <c r="AC7609" s="42"/>
    </row>
    <row r="7610" spans="15:29" x14ac:dyDescent="0.25">
      <c r="O7610" s="42"/>
      <c r="R7610" s="42"/>
      <c r="AC7610" s="42"/>
    </row>
    <row r="7611" spans="15:29" x14ac:dyDescent="0.25">
      <c r="O7611" s="42"/>
      <c r="R7611" s="42"/>
      <c r="AC7611" s="42"/>
    </row>
    <row r="7612" spans="15:29" x14ac:dyDescent="0.25">
      <c r="O7612" s="42"/>
      <c r="R7612" s="42"/>
      <c r="AC7612" s="42"/>
    </row>
    <row r="7613" spans="15:29" x14ac:dyDescent="0.25">
      <c r="O7613" s="42"/>
      <c r="R7613" s="42"/>
      <c r="AC7613" s="42"/>
    </row>
    <row r="7614" spans="15:29" x14ac:dyDescent="0.25">
      <c r="O7614" s="42"/>
      <c r="R7614" s="42"/>
      <c r="AC7614" s="42"/>
    </row>
    <row r="7615" spans="15:29" x14ac:dyDescent="0.25">
      <c r="O7615" s="42"/>
      <c r="R7615" s="42"/>
      <c r="AC7615" s="42"/>
    </row>
    <row r="7616" spans="15:29" x14ac:dyDescent="0.25">
      <c r="O7616" s="42"/>
      <c r="R7616" s="42"/>
      <c r="AC7616" s="42"/>
    </row>
    <row r="7617" spans="15:29" x14ac:dyDescent="0.25">
      <c r="O7617" s="42"/>
      <c r="R7617" s="42"/>
      <c r="AC7617" s="42"/>
    </row>
    <row r="7618" spans="15:29" x14ac:dyDescent="0.25">
      <c r="O7618" s="42"/>
      <c r="R7618" s="42"/>
      <c r="AC7618" s="42"/>
    </row>
    <row r="7619" spans="15:29" x14ac:dyDescent="0.25">
      <c r="O7619" s="42"/>
      <c r="R7619" s="42"/>
      <c r="AC7619" s="42"/>
    </row>
    <row r="7620" spans="15:29" x14ac:dyDescent="0.25">
      <c r="O7620" s="42"/>
      <c r="R7620" s="42"/>
      <c r="AC7620" s="42"/>
    </row>
    <row r="7621" spans="15:29" x14ac:dyDescent="0.25">
      <c r="O7621" s="42"/>
      <c r="R7621" s="42"/>
      <c r="AC7621" s="42"/>
    </row>
    <row r="7622" spans="15:29" x14ac:dyDescent="0.25">
      <c r="O7622" s="42"/>
      <c r="R7622" s="42"/>
      <c r="AC7622" s="42"/>
    </row>
    <row r="7623" spans="15:29" x14ac:dyDescent="0.25">
      <c r="O7623" s="42"/>
      <c r="R7623" s="42"/>
      <c r="AC7623" s="42"/>
    </row>
    <row r="7624" spans="15:29" x14ac:dyDescent="0.25">
      <c r="O7624" s="42"/>
      <c r="R7624" s="42"/>
      <c r="AC7624" s="42"/>
    </row>
    <row r="7625" spans="15:29" x14ac:dyDescent="0.25">
      <c r="O7625" s="42"/>
      <c r="R7625" s="42"/>
      <c r="AC7625" s="42"/>
    </row>
    <row r="7626" spans="15:29" x14ac:dyDescent="0.25">
      <c r="O7626" s="42"/>
      <c r="R7626" s="42"/>
      <c r="AC7626" s="42"/>
    </row>
    <row r="7627" spans="15:29" x14ac:dyDescent="0.25">
      <c r="O7627" s="42"/>
      <c r="R7627" s="42"/>
      <c r="AC7627" s="42"/>
    </row>
    <row r="7628" spans="15:29" x14ac:dyDescent="0.25">
      <c r="O7628" s="42"/>
      <c r="R7628" s="42"/>
      <c r="AC7628" s="42"/>
    </row>
    <row r="7629" spans="15:29" x14ac:dyDescent="0.25">
      <c r="O7629" s="42"/>
      <c r="R7629" s="42"/>
      <c r="AC7629" s="42"/>
    </row>
    <row r="7630" spans="15:29" x14ac:dyDescent="0.25">
      <c r="O7630" s="42"/>
      <c r="R7630" s="42"/>
      <c r="AC7630" s="42"/>
    </row>
    <row r="7631" spans="15:29" x14ac:dyDescent="0.25">
      <c r="O7631" s="42"/>
      <c r="R7631" s="42"/>
      <c r="AC7631" s="42"/>
    </row>
    <row r="7632" spans="15:29" x14ac:dyDescent="0.25">
      <c r="O7632" s="42"/>
      <c r="R7632" s="42"/>
      <c r="AC7632" s="42"/>
    </row>
    <row r="7633" spans="15:29" x14ac:dyDescent="0.25">
      <c r="O7633" s="42"/>
      <c r="R7633" s="42"/>
      <c r="AC7633" s="42"/>
    </row>
    <row r="7634" spans="15:29" x14ac:dyDescent="0.25">
      <c r="O7634" s="42"/>
      <c r="R7634" s="42"/>
      <c r="AC7634" s="42"/>
    </row>
    <row r="7635" spans="15:29" x14ac:dyDescent="0.25">
      <c r="O7635" s="42"/>
      <c r="R7635" s="42"/>
      <c r="AC7635" s="42"/>
    </row>
    <row r="7636" spans="15:29" x14ac:dyDescent="0.25">
      <c r="O7636" s="42"/>
      <c r="R7636" s="42"/>
      <c r="AC7636" s="42"/>
    </row>
    <row r="7637" spans="15:29" x14ac:dyDescent="0.25">
      <c r="O7637" s="42"/>
      <c r="R7637" s="42"/>
      <c r="AC7637" s="42"/>
    </row>
    <row r="7638" spans="15:29" x14ac:dyDescent="0.25">
      <c r="O7638" s="42"/>
      <c r="R7638" s="42"/>
      <c r="AC7638" s="42"/>
    </row>
    <row r="7639" spans="15:29" x14ac:dyDescent="0.25">
      <c r="O7639" s="42"/>
      <c r="R7639" s="42"/>
      <c r="AC7639" s="42"/>
    </row>
    <row r="7640" spans="15:29" x14ac:dyDescent="0.25">
      <c r="O7640" s="42"/>
      <c r="R7640" s="42"/>
      <c r="AC7640" s="42"/>
    </row>
    <row r="7641" spans="15:29" x14ac:dyDescent="0.25">
      <c r="O7641" s="42"/>
      <c r="R7641" s="42"/>
      <c r="AC7641" s="42"/>
    </row>
    <row r="7642" spans="15:29" x14ac:dyDescent="0.25">
      <c r="O7642" s="42"/>
      <c r="R7642" s="42"/>
      <c r="AC7642" s="42"/>
    </row>
    <row r="7643" spans="15:29" x14ac:dyDescent="0.25">
      <c r="O7643" s="42"/>
      <c r="R7643" s="42"/>
      <c r="AC7643" s="42"/>
    </row>
    <row r="7644" spans="15:29" x14ac:dyDescent="0.25">
      <c r="O7644" s="42"/>
      <c r="R7644" s="42"/>
      <c r="AC7644" s="42"/>
    </row>
    <row r="7645" spans="15:29" x14ac:dyDescent="0.25">
      <c r="O7645" s="42"/>
      <c r="R7645" s="42"/>
      <c r="AC7645" s="42"/>
    </row>
    <row r="7646" spans="15:29" x14ac:dyDescent="0.25">
      <c r="O7646" s="42"/>
      <c r="R7646" s="42"/>
      <c r="AC7646" s="42"/>
    </row>
    <row r="7647" spans="15:29" x14ac:dyDescent="0.25">
      <c r="O7647" s="42"/>
      <c r="R7647" s="42"/>
      <c r="AC7647" s="42"/>
    </row>
    <row r="7648" spans="15:29" x14ac:dyDescent="0.25">
      <c r="O7648" s="42"/>
      <c r="R7648" s="42"/>
      <c r="AC7648" s="42"/>
    </row>
    <row r="7649" spans="15:29" x14ac:dyDescent="0.25">
      <c r="O7649" s="42"/>
      <c r="R7649" s="42"/>
      <c r="AC7649" s="42"/>
    </row>
    <row r="7650" spans="15:29" x14ac:dyDescent="0.25">
      <c r="O7650" s="42"/>
      <c r="R7650" s="42"/>
      <c r="AC7650" s="42"/>
    </row>
    <row r="7651" spans="15:29" x14ac:dyDescent="0.25">
      <c r="O7651" s="42"/>
      <c r="R7651" s="42"/>
      <c r="AC7651" s="42"/>
    </row>
    <row r="7652" spans="15:29" x14ac:dyDescent="0.25">
      <c r="O7652" s="42"/>
      <c r="R7652" s="42"/>
      <c r="AC7652" s="42"/>
    </row>
    <row r="7653" spans="15:29" x14ac:dyDescent="0.25">
      <c r="O7653" s="42"/>
      <c r="R7653" s="42"/>
      <c r="AC7653" s="42"/>
    </row>
    <row r="7654" spans="15:29" x14ac:dyDescent="0.25">
      <c r="O7654" s="42"/>
      <c r="R7654" s="42"/>
      <c r="AC7654" s="42"/>
    </row>
    <row r="7655" spans="15:29" x14ac:dyDescent="0.25">
      <c r="O7655" s="42"/>
      <c r="R7655" s="42"/>
      <c r="AC7655" s="42"/>
    </row>
    <row r="7656" spans="15:29" x14ac:dyDescent="0.25">
      <c r="O7656" s="42"/>
      <c r="R7656" s="42"/>
      <c r="AC7656" s="42"/>
    </row>
    <row r="7657" spans="15:29" x14ac:dyDescent="0.25">
      <c r="O7657" s="42"/>
      <c r="R7657" s="42"/>
      <c r="AC7657" s="42"/>
    </row>
    <row r="7658" spans="15:29" x14ac:dyDescent="0.25">
      <c r="O7658" s="42"/>
      <c r="R7658" s="42"/>
      <c r="AC7658" s="42"/>
    </row>
    <row r="7659" spans="15:29" x14ac:dyDescent="0.25">
      <c r="O7659" s="42"/>
      <c r="R7659" s="42"/>
      <c r="AC7659" s="42"/>
    </row>
    <row r="7660" spans="15:29" x14ac:dyDescent="0.25">
      <c r="O7660" s="42"/>
      <c r="R7660" s="42"/>
      <c r="AC7660" s="42"/>
    </row>
    <row r="7661" spans="15:29" x14ac:dyDescent="0.25">
      <c r="O7661" s="42"/>
      <c r="R7661" s="42"/>
      <c r="AC7661" s="42"/>
    </row>
    <row r="7662" spans="15:29" x14ac:dyDescent="0.25">
      <c r="O7662" s="42"/>
      <c r="R7662" s="42"/>
      <c r="AC7662" s="42"/>
    </row>
    <row r="7663" spans="15:29" x14ac:dyDescent="0.25">
      <c r="O7663" s="42"/>
      <c r="R7663" s="42"/>
      <c r="AC7663" s="42"/>
    </row>
    <row r="7664" spans="15:29" x14ac:dyDescent="0.25">
      <c r="O7664" s="42"/>
      <c r="R7664" s="42"/>
      <c r="AC7664" s="42"/>
    </row>
    <row r="7665" spans="15:29" x14ac:dyDescent="0.25">
      <c r="O7665" s="42"/>
      <c r="R7665" s="42"/>
      <c r="AC7665" s="42"/>
    </row>
    <row r="7666" spans="15:29" x14ac:dyDescent="0.25">
      <c r="O7666" s="42"/>
      <c r="R7666" s="42"/>
      <c r="AC7666" s="42"/>
    </row>
    <row r="7667" spans="15:29" x14ac:dyDescent="0.25">
      <c r="O7667" s="42"/>
      <c r="R7667" s="42"/>
      <c r="AC7667" s="42"/>
    </row>
    <row r="7668" spans="15:29" x14ac:dyDescent="0.25">
      <c r="O7668" s="42"/>
      <c r="R7668" s="42"/>
      <c r="AC7668" s="42"/>
    </row>
    <row r="7669" spans="15:29" x14ac:dyDescent="0.25">
      <c r="O7669" s="42"/>
      <c r="R7669" s="42"/>
      <c r="AC7669" s="42"/>
    </row>
    <row r="7670" spans="15:29" x14ac:dyDescent="0.25">
      <c r="O7670" s="42"/>
      <c r="R7670" s="42"/>
      <c r="AC7670" s="42"/>
    </row>
    <row r="7671" spans="15:29" x14ac:dyDescent="0.25">
      <c r="O7671" s="42"/>
      <c r="R7671" s="42"/>
      <c r="AC7671" s="42"/>
    </row>
    <row r="7672" spans="15:29" x14ac:dyDescent="0.25">
      <c r="O7672" s="42"/>
      <c r="R7672" s="42"/>
      <c r="AC7672" s="42"/>
    </row>
    <row r="7673" spans="15:29" x14ac:dyDescent="0.25">
      <c r="O7673" s="42"/>
      <c r="R7673" s="42"/>
      <c r="AC7673" s="42"/>
    </row>
    <row r="7674" spans="15:29" x14ac:dyDescent="0.25">
      <c r="O7674" s="42"/>
      <c r="R7674" s="42"/>
      <c r="AC7674" s="42"/>
    </row>
    <row r="7675" spans="15:29" x14ac:dyDescent="0.25">
      <c r="O7675" s="42"/>
      <c r="R7675" s="42"/>
      <c r="AC7675" s="42"/>
    </row>
    <row r="7676" spans="15:29" x14ac:dyDescent="0.25">
      <c r="O7676" s="42"/>
      <c r="R7676" s="42"/>
      <c r="AC7676" s="42"/>
    </row>
    <row r="7677" spans="15:29" x14ac:dyDescent="0.25">
      <c r="O7677" s="42"/>
      <c r="R7677" s="42"/>
      <c r="AC7677" s="42"/>
    </row>
    <row r="7678" spans="15:29" x14ac:dyDescent="0.25">
      <c r="O7678" s="42"/>
      <c r="R7678" s="42"/>
      <c r="AC7678" s="42"/>
    </row>
    <row r="7679" spans="15:29" x14ac:dyDescent="0.25">
      <c r="O7679" s="42"/>
      <c r="R7679" s="42"/>
      <c r="AC7679" s="42"/>
    </row>
    <row r="7680" spans="15:29" x14ac:dyDescent="0.25">
      <c r="O7680" s="42"/>
      <c r="R7680" s="42"/>
      <c r="AC7680" s="42"/>
    </row>
    <row r="7681" spans="15:29" x14ac:dyDescent="0.25">
      <c r="O7681" s="42"/>
      <c r="R7681" s="42"/>
      <c r="AC7681" s="42"/>
    </row>
    <row r="7682" spans="15:29" x14ac:dyDescent="0.25">
      <c r="O7682" s="42"/>
      <c r="R7682" s="42"/>
      <c r="AC7682" s="42"/>
    </row>
    <row r="7683" spans="15:29" x14ac:dyDescent="0.25">
      <c r="O7683" s="42"/>
      <c r="R7683" s="42"/>
      <c r="AC7683" s="42"/>
    </row>
    <row r="7684" spans="15:29" x14ac:dyDescent="0.25">
      <c r="O7684" s="42"/>
      <c r="R7684" s="42"/>
      <c r="AC7684" s="42"/>
    </row>
    <row r="7685" spans="15:29" x14ac:dyDescent="0.25">
      <c r="O7685" s="42"/>
      <c r="R7685" s="42"/>
      <c r="AC7685" s="42"/>
    </row>
    <row r="7686" spans="15:29" x14ac:dyDescent="0.25">
      <c r="O7686" s="42"/>
      <c r="R7686" s="42"/>
      <c r="AC7686" s="42"/>
    </row>
    <row r="7687" spans="15:29" x14ac:dyDescent="0.25">
      <c r="O7687" s="42"/>
      <c r="R7687" s="42"/>
      <c r="AC7687" s="42"/>
    </row>
    <row r="7688" spans="15:29" x14ac:dyDescent="0.25">
      <c r="O7688" s="42"/>
      <c r="R7688" s="42"/>
      <c r="AC7688" s="42"/>
    </row>
    <row r="7689" spans="15:29" x14ac:dyDescent="0.25">
      <c r="O7689" s="42"/>
      <c r="R7689" s="42"/>
      <c r="AC7689" s="42"/>
    </row>
    <row r="7690" spans="15:29" x14ac:dyDescent="0.25">
      <c r="O7690" s="42"/>
      <c r="R7690" s="42"/>
      <c r="AC7690" s="42"/>
    </row>
    <row r="7691" spans="15:29" x14ac:dyDescent="0.25">
      <c r="O7691" s="42"/>
      <c r="R7691" s="42"/>
      <c r="AC7691" s="42"/>
    </row>
    <row r="7692" spans="15:29" x14ac:dyDescent="0.25">
      <c r="O7692" s="42"/>
      <c r="R7692" s="42"/>
      <c r="AC7692" s="42"/>
    </row>
    <row r="7693" spans="15:29" x14ac:dyDescent="0.25">
      <c r="O7693" s="42"/>
      <c r="R7693" s="42"/>
      <c r="AC7693" s="42"/>
    </row>
    <row r="7694" spans="15:29" x14ac:dyDescent="0.25">
      <c r="O7694" s="42"/>
      <c r="R7694" s="42"/>
      <c r="AC7694" s="42"/>
    </row>
    <row r="7695" spans="15:29" x14ac:dyDescent="0.25">
      <c r="O7695" s="42"/>
      <c r="R7695" s="42"/>
      <c r="AC7695" s="42"/>
    </row>
    <row r="7696" spans="15:29" x14ac:dyDescent="0.25">
      <c r="O7696" s="42"/>
      <c r="R7696" s="42"/>
      <c r="AC7696" s="42"/>
    </row>
    <row r="7697" spans="15:29" x14ac:dyDescent="0.25">
      <c r="O7697" s="42"/>
      <c r="R7697" s="42"/>
      <c r="AC7697" s="42"/>
    </row>
    <row r="7698" spans="15:29" x14ac:dyDescent="0.25">
      <c r="O7698" s="42"/>
      <c r="R7698" s="42"/>
      <c r="AC7698" s="42"/>
    </row>
    <row r="7699" spans="15:29" x14ac:dyDescent="0.25">
      <c r="O7699" s="42"/>
      <c r="R7699" s="42"/>
      <c r="AC7699" s="42"/>
    </row>
    <row r="7700" spans="15:29" x14ac:dyDescent="0.25">
      <c r="O7700" s="42"/>
      <c r="R7700" s="42"/>
      <c r="AC7700" s="42"/>
    </row>
    <row r="7701" spans="15:29" x14ac:dyDescent="0.25">
      <c r="O7701" s="42"/>
      <c r="R7701" s="42"/>
      <c r="AC7701" s="42"/>
    </row>
    <row r="7702" spans="15:29" x14ac:dyDescent="0.25">
      <c r="O7702" s="42"/>
      <c r="R7702" s="42"/>
      <c r="AC7702" s="42"/>
    </row>
    <row r="7703" spans="15:29" x14ac:dyDescent="0.25">
      <c r="O7703" s="42"/>
      <c r="R7703" s="42"/>
      <c r="AC7703" s="42"/>
    </row>
    <row r="7704" spans="15:29" x14ac:dyDescent="0.25">
      <c r="O7704" s="42"/>
      <c r="R7704" s="42"/>
      <c r="AC7704" s="42"/>
    </row>
    <row r="7705" spans="15:29" x14ac:dyDescent="0.25">
      <c r="O7705" s="42"/>
      <c r="R7705" s="42"/>
      <c r="AC7705" s="42"/>
    </row>
    <row r="7706" spans="15:29" x14ac:dyDescent="0.25">
      <c r="O7706" s="42"/>
      <c r="R7706" s="42"/>
      <c r="AC7706" s="42"/>
    </row>
    <row r="7707" spans="15:29" x14ac:dyDescent="0.25">
      <c r="O7707" s="42"/>
      <c r="R7707" s="42"/>
      <c r="AC7707" s="42"/>
    </row>
    <row r="7708" spans="15:29" x14ac:dyDescent="0.25">
      <c r="O7708" s="42"/>
      <c r="R7708" s="42"/>
      <c r="AC7708" s="42"/>
    </row>
    <row r="7709" spans="15:29" x14ac:dyDescent="0.25">
      <c r="O7709" s="42"/>
      <c r="R7709" s="42"/>
      <c r="AC7709" s="42"/>
    </row>
    <row r="7710" spans="15:29" x14ac:dyDescent="0.25">
      <c r="O7710" s="42"/>
      <c r="R7710" s="42"/>
      <c r="AC7710" s="42"/>
    </row>
    <row r="7711" spans="15:29" x14ac:dyDescent="0.25">
      <c r="O7711" s="42"/>
      <c r="R7711" s="42"/>
      <c r="AC7711" s="42"/>
    </row>
    <row r="7712" spans="15:29" x14ac:dyDescent="0.25">
      <c r="O7712" s="42"/>
      <c r="R7712" s="42"/>
      <c r="AC7712" s="42"/>
    </row>
    <row r="7713" spans="15:29" x14ac:dyDescent="0.25">
      <c r="O7713" s="42"/>
      <c r="R7713" s="42"/>
      <c r="AC7713" s="42"/>
    </row>
    <row r="7714" spans="15:29" x14ac:dyDescent="0.25">
      <c r="O7714" s="42"/>
      <c r="R7714" s="42"/>
      <c r="AC7714" s="42"/>
    </row>
    <row r="7715" spans="15:29" x14ac:dyDescent="0.25">
      <c r="O7715" s="42"/>
      <c r="R7715" s="42"/>
      <c r="AC7715" s="42"/>
    </row>
    <row r="7716" spans="15:29" x14ac:dyDescent="0.25">
      <c r="O7716" s="42"/>
      <c r="R7716" s="42"/>
      <c r="AC7716" s="42"/>
    </row>
    <row r="7717" spans="15:29" x14ac:dyDescent="0.25">
      <c r="O7717" s="42"/>
      <c r="R7717" s="42"/>
      <c r="AC7717" s="42"/>
    </row>
    <row r="7718" spans="15:29" x14ac:dyDescent="0.25">
      <c r="O7718" s="42"/>
      <c r="R7718" s="42"/>
      <c r="AC7718" s="42"/>
    </row>
    <row r="7719" spans="15:29" x14ac:dyDescent="0.25">
      <c r="O7719" s="42"/>
      <c r="R7719" s="42"/>
      <c r="AC7719" s="42"/>
    </row>
    <row r="7720" spans="15:29" x14ac:dyDescent="0.25">
      <c r="O7720" s="42"/>
      <c r="R7720" s="42"/>
      <c r="AC7720" s="42"/>
    </row>
    <row r="7721" spans="15:29" x14ac:dyDescent="0.25">
      <c r="O7721" s="42"/>
      <c r="R7721" s="42"/>
      <c r="AC7721" s="42"/>
    </row>
    <row r="7722" spans="15:29" x14ac:dyDescent="0.25">
      <c r="O7722" s="42"/>
      <c r="R7722" s="42"/>
      <c r="AC7722" s="42"/>
    </row>
    <row r="7723" spans="15:29" x14ac:dyDescent="0.25">
      <c r="O7723" s="42"/>
      <c r="R7723" s="42"/>
      <c r="AC7723" s="42"/>
    </row>
    <row r="7724" spans="15:29" x14ac:dyDescent="0.25">
      <c r="O7724" s="42"/>
      <c r="R7724" s="42"/>
      <c r="AC7724" s="42"/>
    </row>
    <row r="7725" spans="15:29" x14ac:dyDescent="0.25">
      <c r="O7725" s="42"/>
      <c r="R7725" s="42"/>
      <c r="AC7725" s="42"/>
    </row>
    <row r="7726" spans="15:29" x14ac:dyDescent="0.25">
      <c r="O7726" s="42"/>
      <c r="R7726" s="42"/>
      <c r="AC7726" s="42"/>
    </row>
    <row r="7727" spans="15:29" x14ac:dyDescent="0.25">
      <c r="O7727" s="42"/>
      <c r="R7727" s="42"/>
      <c r="AC7727" s="42"/>
    </row>
    <row r="7728" spans="15:29" x14ac:dyDescent="0.25">
      <c r="O7728" s="42"/>
      <c r="R7728" s="42"/>
      <c r="AC7728" s="42"/>
    </row>
    <row r="7729" spans="15:29" x14ac:dyDescent="0.25">
      <c r="O7729" s="42"/>
      <c r="R7729" s="42"/>
      <c r="AC7729" s="42"/>
    </row>
    <row r="7730" spans="15:29" x14ac:dyDescent="0.25">
      <c r="O7730" s="42"/>
      <c r="R7730" s="42"/>
      <c r="AC7730" s="42"/>
    </row>
    <row r="7731" spans="15:29" x14ac:dyDescent="0.25">
      <c r="O7731" s="42"/>
      <c r="R7731" s="42"/>
      <c r="AC7731" s="42"/>
    </row>
    <row r="7732" spans="15:29" x14ac:dyDescent="0.25">
      <c r="O7732" s="42"/>
      <c r="R7732" s="42"/>
      <c r="AC7732" s="42"/>
    </row>
    <row r="7733" spans="15:29" x14ac:dyDescent="0.25">
      <c r="O7733" s="42"/>
      <c r="R7733" s="42"/>
      <c r="AC7733" s="42"/>
    </row>
    <row r="7734" spans="15:29" x14ac:dyDescent="0.25">
      <c r="O7734" s="42"/>
      <c r="R7734" s="42"/>
      <c r="AC7734" s="42"/>
    </row>
    <row r="7735" spans="15:29" x14ac:dyDescent="0.25">
      <c r="O7735" s="42"/>
      <c r="R7735" s="42"/>
      <c r="AC7735" s="42"/>
    </row>
    <row r="7736" spans="15:29" x14ac:dyDescent="0.25">
      <c r="O7736" s="42"/>
      <c r="R7736" s="42"/>
      <c r="AC7736" s="42"/>
    </row>
    <row r="7737" spans="15:29" x14ac:dyDescent="0.25">
      <c r="O7737" s="42"/>
      <c r="R7737" s="42"/>
      <c r="AC7737" s="42"/>
    </row>
    <row r="7738" spans="15:29" x14ac:dyDescent="0.25">
      <c r="O7738" s="42"/>
      <c r="R7738" s="42"/>
      <c r="AC7738" s="42"/>
    </row>
    <row r="7739" spans="15:29" x14ac:dyDescent="0.25">
      <c r="O7739" s="42"/>
      <c r="R7739" s="42"/>
      <c r="AC7739" s="42"/>
    </row>
    <row r="7740" spans="15:29" x14ac:dyDescent="0.25">
      <c r="O7740" s="42"/>
      <c r="R7740" s="42"/>
      <c r="AC7740" s="42"/>
    </row>
    <row r="7741" spans="15:29" x14ac:dyDescent="0.25">
      <c r="O7741" s="42"/>
      <c r="R7741" s="42"/>
      <c r="AC7741" s="42"/>
    </row>
    <row r="7742" spans="15:29" x14ac:dyDescent="0.25">
      <c r="O7742" s="42"/>
      <c r="R7742" s="42"/>
      <c r="AC7742" s="42"/>
    </row>
    <row r="7743" spans="15:29" x14ac:dyDescent="0.25">
      <c r="O7743" s="42"/>
      <c r="R7743" s="42"/>
      <c r="AC7743" s="42"/>
    </row>
    <row r="7744" spans="15:29" x14ac:dyDescent="0.25">
      <c r="O7744" s="42"/>
      <c r="R7744" s="42"/>
      <c r="AC7744" s="42"/>
    </row>
    <row r="7745" spans="15:29" x14ac:dyDescent="0.25">
      <c r="O7745" s="42"/>
      <c r="R7745" s="42"/>
      <c r="AC7745" s="42"/>
    </row>
    <row r="7746" spans="15:29" x14ac:dyDescent="0.25">
      <c r="O7746" s="42"/>
      <c r="R7746" s="42"/>
      <c r="AC7746" s="42"/>
    </row>
    <row r="7747" spans="15:29" x14ac:dyDescent="0.25">
      <c r="O7747" s="42"/>
      <c r="R7747" s="42"/>
      <c r="AC7747" s="42"/>
    </row>
    <row r="7748" spans="15:29" x14ac:dyDescent="0.25">
      <c r="O7748" s="42"/>
      <c r="R7748" s="42"/>
      <c r="AC7748" s="42"/>
    </row>
    <row r="7749" spans="15:29" x14ac:dyDescent="0.25">
      <c r="O7749" s="42"/>
      <c r="R7749" s="42"/>
      <c r="AC7749" s="42"/>
    </row>
    <row r="7750" spans="15:29" x14ac:dyDescent="0.25">
      <c r="O7750" s="42"/>
      <c r="R7750" s="42"/>
      <c r="AC7750" s="42"/>
    </row>
    <row r="7751" spans="15:29" x14ac:dyDescent="0.25">
      <c r="O7751" s="42"/>
      <c r="R7751" s="42"/>
      <c r="AC7751" s="42"/>
    </row>
    <row r="7752" spans="15:29" x14ac:dyDescent="0.25">
      <c r="O7752" s="42"/>
      <c r="R7752" s="42"/>
      <c r="AC7752" s="42"/>
    </row>
    <row r="7753" spans="15:29" x14ac:dyDescent="0.25">
      <c r="O7753" s="42"/>
      <c r="R7753" s="42"/>
      <c r="AC7753" s="42"/>
    </row>
    <row r="7754" spans="15:29" x14ac:dyDescent="0.25">
      <c r="O7754" s="42"/>
      <c r="R7754" s="42"/>
      <c r="AC7754" s="42"/>
    </row>
    <row r="7755" spans="15:29" x14ac:dyDescent="0.25">
      <c r="O7755" s="42"/>
      <c r="R7755" s="42"/>
      <c r="AC7755" s="42"/>
    </row>
    <row r="7756" spans="15:29" x14ac:dyDescent="0.25">
      <c r="O7756" s="42"/>
      <c r="R7756" s="42"/>
      <c r="AC7756" s="42"/>
    </row>
    <row r="7757" spans="15:29" x14ac:dyDescent="0.25">
      <c r="O7757" s="42"/>
      <c r="R7757" s="42"/>
      <c r="AC7757" s="42"/>
    </row>
    <row r="7758" spans="15:29" x14ac:dyDescent="0.25">
      <c r="O7758" s="42"/>
      <c r="R7758" s="42"/>
      <c r="AC7758" s="42"/>
    </row>
    <row r="7759" spans="15:29" x14ac:dyDescent="0.25">
      <c r="O7759" s="42"/>
      <c r="R7759" s="42"/>
      <c r="AC7759" s="42"/>
    </row>
    <row r="7760" spans="15:29" x14ac:dyDescent="0.25">
      <c r="O7760" s="42"/>
      <c r="R7760" s="42"/>
      <c r="AC7760" s="42"/>
    </row>
    <row r="7761" spans="15:29" x14ac:dyDescent="0.25">
      <c r="O7761" s="42"/>
      <c r="R7761" s="42"/>
      <c r="AC7761" s="42"/>
    </row>
    <row r="7762" spans="15:29" x14ac:dyDescent="0.25">
      <c r="O7762" s="42"/>
      <c r="R7762" s="42"/>
      <c r="AC7762" s="42"/>
    </row>
    <row r="7763" spans="15:29" x14ac:dyDescent="0.25">
      <c r="O7763" s="42"/>
      <c r="R7763" s="42"/>
      <c r="AC7763" s="42"/>
    </row>
    <row r="7764" spans="15:29" x14ac:dyDescent="0.25">
      <c r="O7764" s="42"/>
      <c r="R7764" s="42"/>
      <c r="AC7764" s="42"/>
    </row>
    <row r="7765" spans="15:29" x14ac:dyDescent="0.25">
      <c r="O7765" s="42"/>
      <c r="R7765" s="42"/>
      <c r="AC7765" s="42"/>
    </row>
    <row r="7766" spans="15:29" x14ac:dyDescent="0.25">
      <c r="O7766" s="42"/>
      <c r="R7766" s="42"/>
      <c r="AC7766" s="42"/>
    </row>
    <row r="7767" spans="15:29" x14ac:dyDescent="0.25">
      <c r="O7767" s="42"/>
      <c r="R7767" s="42"/>
      <c r="AC7767" s="42"/>
    </row>
    <row r="7768" spans="15:29" x14ac:dyDescent="0.25">
      <c r="O7768" s="42"/>
      <c r="R7768" s="42"/>
      <c r="AC7768" s="42"/>
    </row>
    <row r="7769" spans="15:29" x14ac:dyDescent="0.25">
      <c r="O7769" s="42"/>
      <c r="R7769" s="42"/>
      <c r="AC7769" s="42"/>
    </row>
    <row r="7770" spans="15:29" x14ac:dyDescent="0.25">
      <c r="O7770" s="42"/>
      <c r="R7770" s="42"/>
      <c r="AC7770" s="42"/>
    </row>
    <row r="7771" spans="15:29" x14ac:dyDescent="0.25">
      <c r="O7771" s="42"/>
      <c r="R7771" s="42"/>
      <c r="AC7771" s="42"/>
    </row>
    <row r="7772" spans="15:29" x14ac:dyDescent="0.25">
      <c r="O7772" s="42"/>
      <c r="R7772" s="42"/>
      <c r="AC7772" s="42"/>
    </row>
    <row r="7773" spans="15:29" x14ac:dyDescent="0.25">
      <c r="O7773" s="42"/>
      <c r="R7773" s="42"/>
      <c r="AC7773" s="42"/>
    </row>
    <row r="7774" spans="15:29" x14ac:dyDescent="0.25">
      <c r="O7774" s="42"/>
      <c r="R7774" s="42"/>
      <c r="AC7774" s="42"/>
    </row>
    <row r="7775" spans="15:29" x14ac:dyDescent="0.25">
      <c r="O7775" s="42"/>
      <c r="R7775" s="42"/>
      <c r="AC7775" s="42"/>
    </row>
    <row r="7776" spans="15:29" x14ac:dyDescent="0.25">
      <c r="O7776" s="42"/>
      <c r="R7776" s="42"/>
      <c r="AC7776" s="42"/>
    </row>
    <row r="7777" spans="15:29" x14ac:dyDescent="0.25">
      <c r="O7777" s="42"/>
      <c r="R7777" s="42"/>
      <c r="AC7777" s="42"/>
    </row>
    <row r="7778" spans="15:29" x14ac:dyDescent="0.25">
      <c r="O7778" s="42"/>
      <c r="R7778" s="42"/>
      <c r="AC7778" s="42"/>
    </row>
    <row r="7779" spans="15:29" x14ac:dyDescent="0.25">
      <c r="O7779" s="42"/>
      <c r="R7779" s="42"/>
      <c r="AC7779" s="42"/>
    </row>
    <row r="7780" spans="15:29" x14ac:dyDescent="0.25">
      <c r="O7780" s="42"/>
      <c r="R7780" s="42"/>
      <c r="AC7780" s="42"/>
    </row>
    <row r="7781" spans="15:29" x14ac:dyDescent="0.25">
      <c r="O7781" s="42"/>
      <c r="R7781" s="42"/>
      <c r="AC7781" s="42"/>
    </row>
    <row r="7782" spans="15:29" x14ac:dyDescent="0.25">
      <c r="O7782" s="42"/>
      <c r="R7782" s="42"/>
      <c r="AC7782" s="42"/>
    </row>
    <row r="7783" spans="15:29" x14ac:dyDescent="0.25">
      <c r="O7783" s="42"/>
      <c r="R7783" s="42"/>
      <c r="AC7783" s="42"/>
    </row>
    <row r="7784" spans="15:29" x14ac:dyDescent="0.25">
      <c r="O7784" s="42"/>
      <c r="R7784" s="42"/>
      <c r="AC7784" s="42"/>
    </row>
    <row r="7785" spans="15:29" x14ac:dyDescent="0.25">
      <c r="O7785" s="42"/>
      <c r="R7785" s="42"/>
      <c r="AC7785" s="42"/>
    </row>
    <row r="7786" spans="15:29" x14ac:dyDescent="0.25">
      <c r="O7786" s="42"/>
      <c r="R7786" s="42"/>
      <c r="AC7786" s="42"/>
    </row>
    <row r="7787" spans="15:29" x14ac:dyDescent="0.25">
      <c r="O7787" s="42"/>
      <c r="R7787" s="42"/>
      <c r="AC7787" s="42"/>
    </row>
    <row r="7788" spans="15:29" x14ac:dyDescent="0.25">
      <c r="O7788" s="42"/>
      <c r="R7788" s="42"/>
      <c r="AC7788" s="42"/>
    </row>
    <row r="7789" spans="15:29" x14ac:dyDescent="0.25">
      <c r="O7789" s="42"/>
      <c r="R7789" s="42"/>
      <c r="AC7789" s="42"/>
    </row>
    <row r="7790" spans="15:29" x14ac:dyDescent="0.25">
      <c r="O7790" s="42"/>
      <c r="R7790" s="42"/>
      <c r="AC7790" s="42"/>
    </row>
    <row r="7791" spans="15:29" x14ac:dyDescent="0.25">
      <c r="O7791" s="42"/>
      <c r="R7791" s="42"/>
      <c r="AC7791" s="42"/>
    </row>
    <row r="7792" spans="15:29" x14ac:dyDescent="0.25">
      <c r="O7792" s="42"/>
      <c r="R7792" s="42"/>
      <c r="AC7792" s="42"/>
    </row>
    <row r="7793" spans="15:29" x14ac:dyDescent="0.25">
      <c r="O7793" s="42"/>
      <c r="R7793" s="42"/>
      <c r="AC7793" s="42"/>
    </row>
    <row r="7794" spans="15:29" x14ac:dyDescent="0.25">
      <c r="O7794" s="42"/>
      <c r="R7794" s="42"/>
      <c r="AC7794" s="42"/>
    </row>
    <row r="7795" spans="15:29" x14ac:dyDescent="0.25">
      <c r="O7795" s="42"/>
      <c r="R7795" s="42"/>
      <c r="AC7795" s="42"/>
    </row>
    <row r="7796" spans="15:29" x14ac:dyDescent="0.25">
      <c r="O7796" s="42"/>
      <c r="R7796" s="42"/>
      <c r="AC7796" s="42"/>
    </row>
    <row r="7797" spans="15:29" x14ac:dyDescent="0.25">
      <c r="O7797" s="42"/>
      <c r="R7797" s="42"/>
      <c r="AC7797" s="42"/>
    </row>
    <row r="7798" spans="15:29" x14ac:dyDescent="0.25">
      <c r="O7798" s="42"/>
      <c r="R7798" s="42"/>
      <c r="AC7798" s="42"/>
    </row>
    <row r="7799" spans="15:29" x14ac:dyDescent="0.25">
      <c r="O7799" s="42"/>
      <c r="R7799" s="42"/>
      <c r="AC7799" s="42"/>
    </row>
    <row r="7800" spans="15:29" x14ac:dyDescent="0.25">
      <c r="O7800" s="42"/>
      <c r="R7800" s="42"/>
      <c r="AC7800" s="42"/>
    </row>
    <row r="7801" spans="15:29" x14ac:dyDescent="0.25">
      <c r="O7801" s="42"/>
      <c r="R7801" s="42"/>
      <c r="AC7801" s="42"/>
    </row>
    <row r="7802" spans="15:29" x14ac:dyDescent="0.25">
      <c r="O7802" s="42"/>
      <c r="R7802" s="42"/>
      <c r="AC7802" s="42"/>
    </row>
    <row r="7803" spans="15:29" x14ac:dyDescent="0.25">
      <c r="O7803" s="42"/>
      <c r="R7803" s="42"/>
      <c r="AC7803" s="42"/>
    </row>
    <row r="7804" spans="15:29" x14ac:dyDescent="0.25">
      <c r="O7804" s="42"/>
      <c r="R7804" s="42"/>
      <c r="AC7804" s="42"/>
    </row>
    <row r="7805" spans="15:29" x14ac:dyDescent="0.25">
      <c r="O7805" s="42"/>
      <c r="R7805" s="42"/>
      <c r="AC7805" s="42"/>
    </row>
    <row r="7806" spans="15:29" x14ac:dyDescent="0.25">
      <c r="O7806" s="42"/>
      <c r="R7806" s="42"/>
      <c r="AC7806" s="42"/>
    </row>
    <row r="7807" spans="15:29" x14ac:dyDescent="0.25">
      <c r="O7807" s="42"/>
      <c r="R7807" s="42"/>
      <c r="AC7807" s="42"/>
    </row>
    <row r="7808" spans="15:29" x14ac:dyDescent="0.25">
      <c r="O7808" s="42"/>
      <c r="R7808" s="42"/>
      <c r="AC7808" s="42"/>
    </row>
    <row r="7809" spans="15:29" x14ac:dyDescent="0.25">
      <c r="O7809" s="42"/>
      <c r="R7809" s="42"/>
      <c r="AC7809" s="42"/>
    </row>
    <row r="7810" spans="15:29" x14ac:dyDescent="0.25">
      <c r="O7810" s="42"/>
      <c r="R7810" s="42"/>
      <c r="AC7810" s="42"/>
    </row>
    <row r="7811" spans="15:29" x14ac:dyDescent="0.25">
      <c r="O7811" s="42"/>
      <c r="R7811" s="42"/>
      <c r="AC7811" s="42"/>
    </row>
    <row r="7812" spans="15:29" x14ac:dyDescent="0.25">
      <c r="O7812" s="42"/>
      <c r="R7812" s="42"/>
      <c r="AC7812" s="42"/>
    </row>
    <row r="7813" spans="15:29" x14ac:dyDescent="0.25">
      <c r="O7813" s="42"/>
      <c r="R7813" s="42"/>
      <c r="AC7813" s="42"/>
    </row>
    <row r="7814" spans="15:29" x14ac:dyDescent="0.25">
      <c r="O7814" s="42"/>
      <c r="R7814" s="42"/>
      <c r="AC7814" s="42"/>
    </row>
    <row r="7815" spans="15:29" x14ac:dyDescent="0.25">
      <c r="O7815" s="42"/>
      <c r="R7815" s="42"/>
      <c r="AC7815" s="42"/>
    </row>
    <row r="7816" spans="15:29" x14ac:dyDescent="0.25">
      <c r="O7816" s="42"/>
      <c r="R7816" s="42"/>
      <c r="AC7816" s="42"/>
    </row>
    <row r="7817" spans="15:29" x14ac:dyDescent="0.25">
      <c r="O7817" s="42"/>
      <c r="R7817" s="42"/>
      <c r="AC7817" s="42"/>
    </row>
    <row r="7818" spans="15:29" x14ac:dyDescent="0.25">
      <c r="O7818" s="42"/>
      <c r="R7818" s="42"/>
      <c r="AC7818" s="42"/>
    </row>
    <row r="7819" spans="15:29" x14ac:dyDescent="0.25">
      <c r="O7819" s="42"/>
      <c r="R7819" s="42"/>
      <c r="AC7819" s="42"/>
    </row>
    <row r="7820" spans="15:29" x14ac:dyDescent="0.25">
      <c r="O7820" s="42"/>
      <c r="R7820" s="42"/>
      <c r="AC7820" s="42"/>
    </row>
    <row r="7821" spans="15:29" x14ac:dyDescent="0.25">
      <c r="O7821" s="42"/>
      <c r="R7821" s="42"/>
      <c r="AC7821" s="42"/>
    </row>
    <row r="7822" spans="15:29" x14ac:dyDescent="0.25">
      <c r="O7822" s="42"/>
      <c r="R7822" s="42"/>
      <c r="AC7822" s="42"/>
    </row>
    <row r="7823" spans="15:29" x14ac:dyDescent="0.25">
      <c r="O7823" s="42"/>
      <c r="R7823" s="42"/>
      <c r="AC7823" s="42"/>
    </row>
    <row r="7824" spans="15:29" x14ac:dyDescent="0.25">
      <c r="O7824" s="42"/>
      <c r="R7824" s="42"/>
      <c r="AC7824" s="42"/>
    </row>
    <row r="7825" spans="15:29" x14ac:dyDescent="0.25">
      <c r="O7825" s="42"/>
      <c r="R7825" s="42"/>
      <c r="AC7825" s="42"/>
    </row>
    <row r="7826" spans="15:29" x14ac:dyDescent="0.25">
      <c r="O7826" s="42"/>
      <c r="R7826" s="42"/>
      <c r="AC7826" s="42"/>
    </row>
    <row r="7827" spans="15:29" x14ac:dyDescent="0.25">
      <c r="O7827" s="42"/>
      <c r="R7827" s="42"/>
      <c r="AC7827" s="42"/>
    </row>
    <row r="7828" spans="15:29" x14ac:dyDescent="0.25">
      <c r="O7828" s="42"/>
      <c r="R7828" s="42"/>
      <c r="AC7828" s="42"/>
    </row>
    <row r="7829" spans="15:29" x14ac:dyDescent="0.25">
      <c r="O7829" s="42"/>
      <c r="R7829" s="42"/>
      <c r="AC7829" s="42"/>
    </row>
    <row r="7830" spans="15:29" x14ac:dyDescent="0.25">
      <c r="O7830" s="42"/>
      <c r="R7830" s="42"/>
      <c r="AC7830" s="42"/>
    </row>
    <row r="7831" spans="15:29" x14ac:dyDescent="0.25">
      <c r="O7831" s="42"/>
      <c r="R7831" s="42"/>
      <c r="AC7831" s="42"/>
    </row>
    <row r="7832" spans="15:29" x14ac:dyDescent="0.25">
      <c r="O7832" s="42"/>
      <c r="R7832" s="42"/>
      <c r="AC7832" s="42"/>
    </row>
    <row r="7833" spans="15:29" x14ac:dyDescent="0.25">
      <c r="O7833" s="42"/>
      <c r="R7833" s="42"/>
      <c r="AC7833" s="42"/>
    </row>
    <row r="7834" spans="15:29" x14ac:dyDescent="0.25">
      <c r="O7834" s="42"/>
      <c r="R7834" s="42"/>
      <c r="AC7834" s="42"/>
    </row>
    <row r="7835" spans="15:29" x14ac:dyDescent="0.25">
      <c r="O7835" s="42"/>
      <c r="R7835" s="42"/>
      <c r="AC7835" s="42"/>
    </row>
    <row r="7836" spans="15:29" x14ac:dyDescent="0.25">
      <c r="O7836" s="42"/>
      <c r="R7836" s="42"/>
      <c r="AC7836" s="42"/>
    </row>
    <row r="7837" spans="15:29" x14ac:dyDescent="0.25">
      <c r="O7837" s="42"/>
      <c r="R7837" s="42"/>
      <c r="AC7837" s="42"/>
    </row>
    <row r="7838" spans="15:29" x14ac:dyDescent="0.25">
      <c r="O7838" s="42"/>
      <c r="R7838" s="42"/>
      <c r="AC7838" s="42"/>
    </row>
    <row r="7839" spans="15:29" x14ac:dyDescent="0.25">
      <c r="O7839" s="42"/>
      <c r="R7839" s="42"/>
      <c r="AC7839" s="42"/>
    </row>
    <row r="7840" spans="15:29" x14ac:dyDescent="0.25">
      <c r="O7840" s="42"/>
      <c r="R7840" s="42"/>
      <c r="AC7840" s="42"/>
    </row>
    <row r="7841" spans="15:29" x14ac:dyDescent="0.25">
      <c r="O7841" s="42"/>
      <c r="R7841" s="42"/>
      <c r="AC7841" s="42"/>
    </row>
    <row r="7842" spans="15:29" x14ac:dyDescent="0.25">
      <c r="O7842" s="42"/>
      <c r="R7842" s="42"/>
      <c r="AC7842" s="42"/>
    </row>
    <row r="7843" spans="15:29" x14ac:dyDescent="0.25">
      <c r="O7843" s="42"/>
      <c r="R7843" s="42"/>
      <c r="AC7843" s="42"/>
    </row>
    <row r="7844" spans="15:29" x14ac:dyDescent="0.25">
      <c r="O7844" s="42"/>
      <c r="R7844" s="42"/>
      <c r="AC7844" s="42"/>
    </row>
    <row r="7845" spans="15:29" x14ac:dyDescent="0.25">
      <c r="O7845" s="42"/>
      <c r="R7845" s="42"/>
      <c r="AC7845" s="42"/>
    </row>
    <row r="7846" spans="15:29" x14ac:dyDescent="0.25">
      <c r="O7846" s="42"/>
      <c r="R7846" s="42"/>
      <c r="AC7846" s="42"/>
    </row>
    <row r="7847" spans="15:29" x14ac:dyDescent="0.25">
      <c r="O7847" s="42"/>
      <c r="R7847" s="42"/>
      <c r="AC7847" s="42"/>
    </row>
    <row r="7848" spans="15:29" x14ac:dyDescent="0.25">
      <c r="O7848" s="42"/>
      <c r="R7848" s="42"/>
      <c r="AC7848" s="42"/>
    </row>
    <row r="7849" spans="15:29" x14ac:dyDescent="0.25">
      <c r="O7849" s="42"/>
      <c r="R7849" s="42"/>
      <c r="AC7849" s="42"/>
    </row>
    <row r="7850" spans="15:29" x14ac:dyDescent="0.25">
      <c r="O7850" s="42"/>
      <c r="R7850" s="42"/>
      <c r="AC7850" s="42"/>
    </row>
    <row r="7851" spans="15:29" x14ac:dyDescent="0.25">
      <c r="O7851" s="42"/>
      <c r="R7851" s="42"/>
      <c r="AC7851" s="42"/>
    </row>
    <row r="7852" spans="15:29" x14ac:dyDescent="0.25">
      <c r="O7852" s="42"/>
      <c r="R7852" s="42"/>
      <c r="AC7852" s="42"/>
    </row>
    <row r="7853" spans="15:29" x14ac:dyDescent="0.25">
      <c r="O7853" s="42"/>
      <c r="R7853" s="42"/>
      <c r="AC7853" s="42"/>
    </row>
    <row r="7854" spans="15:29" x14ac:dyDescent="0.25">
      <c r="O7854" s="42"/>
      <c r="R7854" s="42"/>
      <c r="AC7854" s="42"/>
    </row>
    <row r="7855" spans="15:29" x14ac:dyDescent="0.25">
      <c r="O7855" s="42"/>
      <c r="R7855" s="42"/>
      <c r="AC7855" s="42"/>
    </row>
    <row r="7856" spans="15:29" x14ac:dyDescent="0.25">
      <c r="O7856" s="42"/>
      <c r="R7856" s="42"/>
      <c r="AC7856" s="42"/>
    </row>
    <row r="7857" spans="15:29" x14ac:dyDescent="0.25">
      <c r="O7857" s="42"/>
      <c r="R7857" s="42"/>
      <c r="AC7857" s="42"/>
    </row>
    <row r="7858" spans="15:29" x14ac:dyDescent="0.25">
      <c r="O7858" s="42"/>
      <c r="R7858" s="42"/>
      <c r="AC7858" s="42"/>
    </row>
    <row r="7859" spans="15:29" x14ac:dyDescent="0.25">
      <c r="O7859" s="42"/>
      <c r="R7859" s="42"/>
      <c r="AC7859" s="42"/>
    </row>
    <row r="7860" spans="15:29" x14ac:dyDescent="0.25">
      <c r="O7860" s="42"/>
      <c r="R7860" s="42"/>
      <c r="AC7860" s="42"/>
    </row>
    <row r="7861" spans="15:29" x14ac:dyDescent="0.25">
      <c r="O7861" s="42"/>
      <c r="R7861" s="42"/>
      <c r="AC7861" s="42"/>
    </row>
    <row r="7862" spans="15:29" x14ac:dyDescent="0.25">
      <c r="O7862" s="42"/>
      <c r="R7862" s="42"/>
      <c r="AC7862" s="42"/>
    </row>
    <row r="7863" spans="15:29" x14ac:dyDescent="0.25">
      <c r="O7863" s="42"/>
      <c r="R7863" s="42"/>
      <c r="AC7863" s="42"/>
    </row>
    <row r="7864" spans="15:29" x14ac:dyDescent="0.25">
      <c r="O7864" s="42"/>
      <c r="R7864" s="42"/>
      <c r="AC7864" s="42"/>
    </row>
    <row r="7865" spans="15:29" x14ac:dyDescent="0.25">
      <c r="O7865" s="42"/>
      <c r="R7865" s="42"/>
      <c r="AC7865" s="42"/>
    </row>
    <row r="7866" spans="15:29" x14ac:dyDescent="0.25">
      <c r="O7866" s="42"/>
      <c r="R7866" s="42"/>
      <c r="AC7866" s="42"/>
    </row>
    <row r="7867" spans="15:29" x14ac:dyDescent="0.25">
      <c r="O7867" s="42"/>
      <c r="R7867" s="42"/>
      <c r="AC7867" s="42"/>
    </row>
    <row r="7868" spans="15:29" x14ac:dyDescent="0.25">
      <c r="O7868" s="42"/>
      <c r="R7868" s="42"/>
      <c r="AC7868" s="42"/>
    </row>
    <row r="7869" spans="15:29" x14ac:dyDescent="0.25">
      <c r="O7869" s="42"/>
      <c r="R7869" s="42"/>
      <c r="AC7869" s="42"/>
    </row>
    <row r="7870" spans="15:29" x14ac:dyDescent="0.25">
      <c r="O7870" s="42"/>
      <c r="R7870" s="42"/>
      <c r="AC7870" s="42"/>
    </row>
    <row r="7871" spans="15:29" x14ac:dyDescent="0.25">
      <c r="O7871" s="42"/>
      <c r="R7871" s="42"/>
      <c r="AC7871" s="42"/>
    </row>
    <row r="7872" spans="15:29" x14ac:dyDescent="0.25">
      <c r="O7872" s="42"/>
      <c r="R7872" s="42"/>
      <c r="AC7872" s="42"/>
    </row>
    <row r="7873" spans="15:29" x14ac:dyDescent="0.25">
      <c r="O7873" s="42"/>
      <c r="R7873" s="42"/>
      <c r="AC7873" s="42"/>
    </row>
    <row r="7874" spans="15:29" x14ac:dyDescent="0.25">
      <c r="O7874" s="42"/>
      <c r="R7874" s="42"/>
      <c r="AC7874" s="42"/>
    </row>
    <row r="7875" spans="15:29" x14ac:dyDescent="0.25">
      <c r="O7875" s="42"/>
      <c r="R7875" s="42"/>
      <c r="AC7875" s="42"/>
    </row>
    <row r="7876" spans="15:29" x14ac:dyDescent="0.25">
      <c r="O7876" s="42"/>
      <c r="R7876" s="42"/>
      <c r="AC7876" s="42"/>
    </row>
    <row r="7877" spans="15:29" x14ac:dyDescent="0.25">
      <c r="O7877" s="42"/>
      <c r="R7877" s="42"/>
      <c r="AC7877" s="42"/>
    </row>
    <row r="7878" spans="15:29" x14ac:dyDescent="0.25">
      <c r="O7878" s="42"/>
      <c r="R7878" s="42"/>
      <c r="AC7878" s="42"/>
    </row>
    <row r="7879" spans="15:29" x14ac:dyDescent="0.25">
      <c r="O7879" s="42"/>
      <c r="R7879" s="42"/>
      <c r="AC7879" s="42"/>
    </row>
    <row r="7880" spans="15:29" x14ac:dyDescent="0.25">
      <c r="O7880" s="42"/>
      <c r="R7880" s="42"/>
      <c r="AC7880" s="42"/>
    </row>
    <row r="7881" spans="15:29" x14ac:dyDescent="0.25">
      <c r="O7881" s="42"/>
      <c r="R7881" s="42"/>
      <c r="AC7881" s="42"/>
    </row>
    <row r="7882" spans="15:29" x14ac:dyDescent="0.25">
      <c r="O7882" s="42"/>
      <c r="R7882" s="42"/>
      <c r="AC7882" s="42"/>
    </row>
    <row r="7883" spans="15:29" x14ac:dyDescent="0.25">
      <c r="O7883" s="42"/>
      <c r="R7883" s="42"/>
      <c r="AC7883" s="42"/>
    </row>
    <row r="7884" spans="15:29" x14ac:dyDescent="0.25">
      <c r="O7884" s="42"/>
      <c r="R7884" s="42"/>
      <c r="AC7884" s="42"/>
    </row>
    <row r="7885" spans="15:29" x14ac:dyDescent="0.25">
      <c r="O7885" s="42"/>
      <c r="R7885" s="42"/>
      <c r="AC7885" s="42"/>
    </row>
    <row r="7886" spans="15:29" x14ac:dyDescent="0.25">
      <c r="O7886" s="42"/>
      <c r="R7886" s="42"/>
      <c r="AC7886" s="42"/>
    </row>
    <row r="7887" spans="15:29" x14ac:dyDescent="0.25">
      <c r="O7887" s="42"/>
      <c r="R7887" s="42"/>
      <c r="AC7887" s="42"/>
    </row>
    <row r="7888" spans="15:29" x14ac:dyDescent="0.25">
      <c r="O7888" s="42"/>
      <c r="R7888" s="42"/>
      <c r="AC7888" s="42"/>
    </row>
    <row r="7889" spans="15:29" x14ac:dyDescent="0.25">
      <c r="O7889" s="42"/>
      <c r="R7889" s="42"/>
      <c r="AC7889" s="42"/>
    </row>
    <row r="7890" spans="15:29" x14ac:dyDescent="0.25">
      <c r="O7890" s="42"/>
      <c r="R7890" s="42"/>
      <c r="AC7890" s="42"/>
    </row>
    <row r="7891" spans="15:29" x14ac:dyDescent="0.25">
      <c r="O7891" s="42"/>
      <c r="R7891" s="42"/>
      <c r="AC7891" s="42"/>
    </row>
    <row r="7892" spans="15:29" x14ac:dyDescent="0.25">
      <c r="O7892" s="42"/>
      <c r="R7892" s="42"/>
      <c r="AC7892" s="42"/>
    </row>
    <row r="7893" spans="15:29" x14ac:dyDescent="0.25">
      <c r="O7893" s="42"/>
      <c r="R7893" s="42"/>
      <c r="AC7893" s="42"/>
    </row>
    <row r="7894" spans="15:29" x14ac:dyDescent="0.25">
      <c r="O7894" s="42"/>
      <c r="R7894" s="42"/>
      <c r="AC7894" s="42"/>
    </row>
    <row r="7895" spans="15:29" x14ac:dyDescent="0.25">
      <c r="O7895" s="42"/>
      <c r="R7895" s="42"/>
      <c r="AC7895" s="42"/>
    </row>
    <row r="7896" spans="15:29" x14ac:dyDescent="0.25">
      <c r="O7896" s="42"/>
      <c r="R7896" s="42"/>
      <c r="AC7896" s="42"/>
    </row>
    <row r="7897" spans="15:29" x14ac:dyDescent="0.25">
      <c r="O7897" s="42"/>
      <c r="R7897" s="42"/>
      <c r="AC7897" s="42"/>
    </row>
    <row r="7898" spans="15:29" x14ac:dyDescent="0.25">
      <c r="O7898" s="42"/>
      <c r="R7898" s="42"/>
      <c r="AC7898" s="42"/>
    </row>
    <row r="7899" spans="15:29" x14ac:dyDescent="0.25">
      <c r="O7899" s="42"/>
      <c r="R7899" s="42"/>
      <c r="AC7899" s="42"/>
    </row>
    <row r="7900" spans="15:29" x14ac:dyDescent="0.25">
      <c r="O7900" s="42"/>
      <c r="R7900" s="42"/>
      <c r="AC7900" s="42"/>
    </row>
    <row r="7901" spans="15:29" x14ac:dyDescent="0.25">
      <c r="O7901" s="42"/>
      <c r="R7901" s="42"/>
      <c r="AC7901" s="42"/>
    </row>
    <row r="7902" spans="15:29" x14ac:dyDescent="0.25">
      <c r="O7902" s="42"/>
      <c r="R7902" s="42"/>
      <c r="AC7902" s="42"/>
    </row>
    <row r="7903" spans="15:29" x14ac:dyDescent="0.25">
      <c r="O7903" s="42"/>
      <c r="R7903" s="42"/>
      <c r="AC7903" s="42"/>
    </row>
    <row r="7904" spans="15:29" x14ac:dyDescent="0.25">
      <c r="O7904" s="42"/>
      <c r="R7904" s="42"/>
      <c r="AC7904" s="42"/>
    </row>
    <row r="7905" spans="15:29" x14ac:dyDescent="0.25">
      <c r="O7905" s="42"/>
      <c r="R7905" s="42"/>
      <c r="AC7905" s="42"/>
    </row>
    <row r="7906" spans="15:29" x14ac:dyDescent="0.25">
      <c r="O7906" s="42"/>
      <c r="R7906" s="42"/>
      <c r="AC7906" s="42"/>
    </row>
    <row r="7907" spans="15:29" x14ac:dyDescent="0.25">
      <c r="O7907" s="42"/>
      <c r="R7907" s="42"/>
      <c r="AC7907" s="42"/>
    </row>
    <row r="7908" spans="15:29" x14ac:dyDescent="0.25">
      <c r="O7908" s="42"/>
      <c r="R7908" s="42"/>
      <c r="AC7908" s="42"/>
    </row>
    <row r="7909" spans="15:29" x14ac:dyDescent="0.25">
      <c r="O7909" s="42"/>
      <c r="R7909" s="42"/>
      <c r="AC7909" s="42"/>
    </row>
    <row r="7910" spans="15:29" x14ac:dyDescent="0.25">
      <c r="O7910" s="42"/>
      <c r="R7910" s="42"/>
      <c r="AC7910" s="42"/>
    </row>
    <row r="7911" spans="15:29" x14ac:dyDescent="0.25">
      <c r="O7911" s="42"/>
      <c r="R7911" s="42"/>
      <c r="AC7911" s="42"/>
    </row>
    <row r="7912" spans="15:29" x14ac:dyDescent="0.25">
      <c r="O7912" s="42"/>
      <c r="R7912" s="42"/>
      <c r="AC7912" s="42"/>
    </row>
    <row r="7913" spans="15:29" x14ac:dyDescent="0.25">
      <c r="O7913" s="42"/>
      <c r="R7913" s="42"/>
      <c r="AC7913" s="42"/>
    </row>
    <row r="7914" spans="15:29" x14ac:dyDescent="0.25">
      <c r="O7914" s="42"/>
      <c r="R7914" s="42"/>
      <c r="AC7914" s="42"/>
    </row>
    <row r="7915" spans="15:29" x14ac:dyDescent="0.25">
      <c r="O7915" s="42"/>
      <c r="R7915" s="42"/>
      <c r="AC7915" s="42"/>
    </row>
    <row r="7916" spans="15:29" x14ac:dyDescent="0.25">
      <c r="O7916" s="42"/>
      <c r="R7916" s="42"/>
      <c r="AC7916" s="42"/>
    </row>
    <row r="7917" spans="15:29" x14ac:dyDescent="0.25">
      <c r="O7917" s="42"/>
      <c r="R7917" s="42"/>
      <c r="AC7917" s="42"/>
    </row>
    <row r="7918" spans="15:29" x14ac:dyDescent="0.25">
      <c r="O7918" s="42"/>
      <c r="R7918" s="42"/>
      <c r="AC7918" s="42"/>
    </row>
    <row r="7919" spans="15:29" x14ac:dyDescent="0.25">
      <c r="O7919" s="42"/>
      <c r="R7919" s="42"/>
      <c r="AC7919" s="42"/>
    </row>
    <row r="7920" spans="15:29" x14ac:dyDescent="0.25">
      <c r="O7920" s="42"/>
      <c r="R7920" s="42"/>
      <c r="AC7920" s="42"/>
    </row>
    <row r="7921" spans="15:29" x14ac:dyDescent="0.25">
      <c r="O7921" s="42"/>
      <c r="R7921" s="42"/>
      <c r="AC7921" s="42"/>
    </row>
    <row r="7922" spans="15:29" x14ac:dyDescent="0.25">
      <c r="O7922" s="42"/>
      <c r="R7922" s="42"/>
      <c r="AC7922" s="42"/>
    </row>
    <row r="7923" spans="15:29" x14ac:dyDescent="0.25">
      <c r="O7923" s="42"/>
      <c r="R7923" s="42"/>
      <c r="AC7923" s="42"/>
    </row>
    <row r="7924" spans="15:29" x14ac:dyDescent="0.25">
      <c r="O7924" s="42"/>
      <c r="R7924" s="42"/>
      <c r="AC7924" s="42"/>
    </row>
    <row r="7925" spans="15:29" x14ac:dyDescent="0.25">
      <c r="O7925" s="42"/>
      <c r="R7925" s="42"/>
      <c r="AC7925" s="42"/>
    </row>
    <row r="7926" spans="15:29" x14ac:dyDescent="0.25">
      <c r="O7926" s="42"/>
      <c r="R7926" s="42"/>
      <c r="AC7926" s="42"/>
    </row>
    <row r="7927" spans="15:29" x14ac:dyDescent="0.25">
      <c r="O7927" s="42"/>
      <c r="R7927" s="42"/>
      <c r="AC7927" s="42"/>
    </row>
    <row r="7928" spans="15:29" x14ac:dyDescent="0.25">
      <c r="O7928" s="42"/>
      <c r="R7928" s="42"/>
      <c r="AC7928" s="42"/>
    </row>
    <row r="7929" spans="15:29" x14ac:dyDescent="0.25">
      <c r="O7929" s="42"/>
      <c r="R7929" s="42"/>
      <c r="AC7929" s="42"/>
    </row>
    <row r="7930" spans="15:29" x14ac:dyDescent="0.25">
      <c r="O7930" s="42"/>
      <c r="R7930" s="42"/>
      <c r="AC7930" s="42"/>
    </row>
    <row r="7931" spans="15:29" x14ac:dyDescent="0.25">
      <c r="O7931" s="42"/>
      <c r="R7931" s="42"/>
      <c r="AC7931" s="42"/>
    </row>
    <row r="7932" spans="15:29" x14ac:dyDescent="0.25">
      <c r="O7932" s="42"/>
      <c r="R7932" s="42"/>
      <c r="AC7932" s="42"/>
    </row>
    <row r="7933" spans="15:29" x14ac:dyDescent="0.25">
      <c r="O7933" s="42"/>
      <c r="R7933" s="42"/>
      <c r="AC7933" s="42"/>
    </row>
    <row r="7934" spans="15:29" x14ac:dyDescent="0.25">
      <c r="O7934" s="42"/>
      <c r="R7934" s="42"/>
      <c r="AC7934" s="42"/>
    </row>
    <row r="7935" spans="15:29" x14ac:dyDescent="0.25">
      <c r="O7935" s="42"/>
      <c r="R7935" s="42"/>
      <c r="AC7935" s="42"/>
    </row>
    <row r="7936" spans="15:29" x14ac:dyDescent="0.25">
      <c r="O7936" s="42"/>
      <c r="R7936" s="42"/>
      <c r="AC7936" s="42"/>
    </row>
    <row r="7937" spans="15:29" x14ac:dyDescent="0.25">
      <c r="O7937" s="42"/>
      <c r="R7937" s="42"/>
      <c r="AC7937" s="42"/>
    </row>
    <row r="7938" spans="15:29" x14ac:dyDescent="0.25">
      <c r="O7938" s="42"/>
      <c r="R7938" s="42"/>
      <c r="AC7938" s="42"/>
    </row>
    <row r="7939" spans="15:29" x14ac:dyDescent="0.25">
      <c r="O7939" s="42"/>
      <c r="R7939" s="42"/>
      <c r="AC7939" s="42"/>
    </row>
    <row r="7940" spans="15:29" x14ac:dyDescent="0.25">
      <c r="O7940" s="42"/>
      <c r="R7940" s="42"/>
      <c r="AC7940" s="42"/>
    </row>
    <row r="7941" spans="15:29" x14ac:dyDescent="0.25">
      <c r="O7941" s="42"/>
      <c r="R7941" s="42"/>
      <c r="AC7941" s="42"/>
    </row>
    <row r="7942" spans="15:29" x14ac:dyDescent="0.25">
      <c r="O7942" s="42"/>
      <c r="R7942" s="42"/>
      <c r="AC7942" s="42"/>
    </row>
    <row r="7943" spans="15:29" x14ac:dyDescent="0.25">
      <c r="O7943" s="42"/>
      <c r="R7943" s="42"/>
      <c r="AC7943" s="42"/>
    </row>
    <row r="7944" spans="15:29" x14ac:dyDescent="0.25">
      <c r="O7944" s="42"/>
      <c r="R7944" s="42"/>
      <c r="AC7944" s="42"/>
    </row>
    <row r="7945" spans="15:29" x14ac:dyDescent="0.25">
      <c r="O7945" s="42"/>
      <c r="R7945" s="42"/>
      <c r="AC7945" s="42"/>
    </row>
    <row r="7946" spans="15:29" x14ac:dyDescent="0.25">
      <c r="O7946" s="42"/>
      <c r="R7946" s="42"/>
      <c r="AC7946" s="42"/>
    </row>
    <row r="7947" spans="15:29" x14ac:dyDescent="0.25">
      <c r="O7947" s="42"/>
      <c r="R7947" s="42"/>
      <c r="AC7947" s="42"/>
    </row>
    <row r="7948" spans="15:29" x14ac:dyDescent="0.25">
      <c r="O7948" s="42"/>
      <c r="R7948" s="42"/>
      <c r="AC7948" s="42"/>
    </row>
    <row r="7949" spans="15:29" x14ac:dyDescent="0.25">
      <c r="O7949" s="42"/>
      <c r="R7949" s="42"/>
      <c r="AC7949" s="42"/>
    </row>
    <row r="7950" spans="15:29" x14ac:dyDescent="0.25">
      <c r="O7950" s="42"/>
      <c r="R7950" s="42"/>
      <c r="AC7950" s="42"/>
    </row>
    <row r="7951" spans="15:29" x14ac:dyDescent="0.25">
      <c r="O7951" s="42"/>
      <c r="R7951" s="42"/>
      <c r="AC7951" s="42"/>
    </row>
    <row r="7952" spans="15:29" x14ac:dyDescent="0.25">
      <c r="O7952" s="42"/>
      <c r="R7952" s="42"/>
      <c r="AC7952" s="42"/>
    </row>
    <row r="7953" spans="15:29" x14ac:dyDescent="0.25">
      <c r="O7953" s="42"/>
      <c r="R7953" s="42"/>
      <c r="AC7953" s="42"/>
    </row>
    <row r="7954" spans="15:29" x14ac:dyDescent="0.25">
      <c r="O7954" s="42"/>
      <c r="R7954" s="42"/>
      <c r="AC7954" s="42"/>
    </row>
    <row r="7955" spans="15:29" x14ac:dyDescent="0.25">
      <c r="O7955" s="42"/>
      <c r="R7955" s="42"/>
      <c r="AC7955" s="42"/>
    </row>
    <row r="7956" spans="15:29" x14ac:dyDescent="0.25">
      <c r="O7956" s="42"/>
      <c r="R7956" s="42"/>
      <c r="AC7956" s="42"/>
    </row>
    <row r="7957" spans="15:29" x14ac:dyDescent="0.25">
      <c r="O7957" s="42"/>
      <c r="R7957" s="42"/>
      <c r="AC7957" s="42"/>
    </row>
    <row r="7958" spans="15:29" x14ac:dyDescent="0.25">
      <c r="O7958" s="42"/>
      <c r="R7958" s="42"/>
      <c r="AC7958" s="42"/>
    </row>
    <row r="7959" spans="15:29" x14ac:dyDescent="0.25">
      <c r="O7959" s="42"/>
      <c r="R7959" s="42"/>
      <c r="AC7959" s="42"/>
    </row>
    <row r="7960" spans="15:29" x14ac:dyDescent="0.25">
      <c r="O7960" s="42"/>
      <c r="R7960" s="42"/>
      <c r="AC7960" s="42"/>
    </row>
    <row r="7961" spans="15:29" x14ac:dyDescent="0.25">
      <c r="O7961" s="42"/>
      <c r="R7961" s="42"/>
      <c r="AC7961" s="42"/>
    </row>
    <row r="7962" spans="15:29" x14ac:dyDescent="0.25">
      <c r="O7962" s="42"/>
      <c r="R7962" s="42"/>
      <c r="AC7962" s="42"/>
    </row>
    <row r="7963" spans="15:29" x14ac:dyDescent="0.25">
      <c r="O7963" s="42"/>
      <c r="R7963" s="42"/>
      <c r="AC7963" s="42"/>
    </row>
    <row r="7964" spans="15:29" x14ac:dyDescent="0.25">
      <c r="O7964" s="42"/>
      <c r="R7964" s="42"/>
      <c r="AC7964" s="42"/>
    </row>
    <row r="7965" spans="15:29" x14ac:dyDescent="0.25">
      <c r="O7965" s="42"/>
      <c r="R7965" s="42"/>
      <c r="AC7965" s="42"/>
    </row>
    <row r="7966" spans="15:29" x14ac:dyDescent="0.25">
      <c r="O7966" s="42"/>
      <c r="R7966" s="42"/>
      <c r="AC7966" s="42"/>
    </row>
    <row r="7967" spans="15:29" x14ac:dyDescent="0.25">
      <c r="O7967" s="42"/>
      <c r="R7967" s="42"/>
      <c r="AC7967" s="42"/>
    </row>
    <row r="7968" spans="15:29" x14ac:dyDescent="0.25">
      <c r="O7968" s="42"/>
      <c r="R7968" s="42"/>
      <c r="AC7968" s="42"/>
    </row>
    <row r="7969" spans="15:29" x14ac:dyDescent="0.25">
      <c r="O7969" s="42"/>
      <c r="R7969" s="42"/>
      <c r="AC7969" s="42"/>
    </row>
    <row r="7970" spans="15:29" x14ac:dyDescent="0.25">
      <c r="O7970" s="42"/>
      <c r="R7970" s="42"/>
      <c r="AC7970" s="42"/>
    </row>
    <row r="7971" spans="15:29" x14ac:dyDescent="0.25">
      <c r="O7971" s="42"/>
      <c r="R7971" s="42"/>
      <c r="AC7971" s="42"/>
    </row>
    <row r="7972" spans="15:29" x14ac:dyDescent="0.25">
      <c r="O7972" s="42"/>
      <c r="R7972" s="42"/>
      <c r="AC7972" s="42"/>
    </row>
    <row r="7973" spans="15:29" x14ac:dyDescent="0.25">
      <c r="O7973" s="42"/>
      <c r="R7973" s="42"/>
      <c r="AC7973" s="42"/>
    </row>
    <row r="7974" spans="15:29" x14ac:dyDescent="0.25">
      <c r="O7974" s="42"/>
      <c r="R7974" s="42"/>
      <c r="AC7974" s="42"/>
    </row>
    <row r="7975" spans="15:29" x14ac:dyDescent="0.25">
      <c r="O7975" s="42"/>
      <c r="R7975" s="42"/>
      <c r="AC7975" s="42"/>
    </row>
    <row r="7976" spans="15:29" x14ac:dyDescent="0.25">
      <c r="O7976" s="42"/>
      <c r="R7976" s="42"/>
      <c r="AC7976" s="42"/>
    </row>
    <row r="7977" spans="15:29" x14ac:dyDescent="0.25">
      <c r="O7977" s="42"/>
      <c r="R7977" s="42"/>
      <c r="AC7977" s="42"/>
    </row>
    <row r="7978" spans="15:29" x14ac:dyDescent="0.25">
      <c r="O7978" s="42"/>
      <c r="R7978" s="42"/>
      <c r="AC7978" s="42"/>
    </row>
    <row r="7979" spans="15:29" x14ac:dyDescent="0.25">
      <c r="O7979" s="42"/>
      <c r="R7979" s="42"/>
      <c r="AC7979" s="42"/>
    </row>
    <row r="7980" spans="15:29" x14ac:dyDescent="0.25">
      <c r="O7980" s="42"/>
      <c r="R7980" s="42"/>
      <c r="AC7980" s="42"/>
    </row>
    <row r="7981" spans="15:29" x14ac:dyDescent="0.25">
      <c r="O7981" s="42"/>
      <c r="R7981" s="42"/>
      <c r="AC7981" s="42"/>
    </row>
    <row r="7982" spans="15:29" x14ac:dyDescent="0.25">
      <c r="O7982" s="42"/>
      <c r="R7982" s="42"/>
      <c r="AC7982" s="42"/>
    </row>
    <row r="7983" spans="15:29" x14ac:dyDescent="0.25">
      <c r="O7983" s="42"/>
      <c r="R7983" s="42"/>
      <c r="AC7983" s="42"/>
    </row>
    <row r="7984" spans="15:29" x14ac:dyDescent="0.25">
      <c r="O7984" s="42"/>
      <c r="R7984" s="42"/>
      <c r="AC7984" s="42"/>
    </row>
    <row r="7985" spans="15:29" x14ac:dyDescent="0.25">
      <c r="O7985" s="42"/>
      <c r="R7985" s="42"/>
      <c r="AC7985" s="42"/>
    </row>
    <row r="7986" spans="15:29" x14ac:dyDescent="0.25">
      <c r="O7986" s="42"/>
      <c r="R7986" s="42"/>
      <c r="AC7986" s="42"/>
    </row>
    <row r="7987" spans="15:29" x14ac:dyDescent="0.25">
      <c r="O7987" s="42"/>
      <c r="R7987" s="42"/>
      <c r="AC7987" s="42"/>
    </row>
    <row r="7988" spans="15:29" x14ac:dyDescent="0.25">
      <c r="O7988" s="42"/>
      <c r="R7988" s="42"/>
      <c r="AC7988" s="42"/>
    </row>
    <row r="7989" spans="15:29" x14ac:dyDescent="0.25">
      <c r="O7989" s="42"/>
      <c r="R7989" s="42"/>
      <c r="AC7989" s="42"/>
    </row>
    <row r="7990" spans="15:29" x14ac:dyDescent="0.25">
      <c r="O7990" s="42"/>
      <c r="R7990" s="42"/>
      <c r="AC7990" s="42"/>
    </row>
    <row r="7991" spans="15:29" x14ac:dyDescent="0.25">
      <c r="O7991" s="42"/>
      <c r="R7991" s="42"/>
      <c r="AC7991" s="42"/>
    </row>
    <row r="7992" spans="15:29" x14ac:dyDescent="0.25">
      <c r="O7992" s="42"/>
      <c r="R7992" s="42"/>
      <c r="AC7992" s="42"/>
    </row>
    <row r="7993" spans="15:29" x14ac:dyDescent="0.25">
      <c r="O7993" s="42"/>
      <c r="R7993" s="42"/>
      <c r="AC7993" s="42"/>
    </row>
    <row r="7994" spans="15:29" x14ac:dyDescent="0.25">
      <c r="O7994" s="42"/>
      <c r="R7994" s="42"/>
      <c r="AC7994" s="42"/>
    </row>
    <row r="7995" spans="15:29" x14ac:dyDescent="0.25">
      <c r="O7995" s="42"/>
      <c r="R7995" s="42"/>
      <c r="AC7995" s="42"/>
    </row>
    <row r="7996" spans="15:29" x14ac:dyDescent="0.25">
      <c r="O7996" s="42"/>
      <c r="R7996" s="42"/>
      <c r="AC7996" s="42"/>
    </row>
    <row r="7997" spans="15:29" x14ac:dyDescent="0.25">
      <c r="O7997" s="42"/>
      <c r="R7997" s="42"/>
      <c r="AC7997" s="42"/>
    </row>
    <row r="7998" spans="15:29" x14ac:dyDescent="0.25">
      <c r="O7998" s="42"/>
      <c r="R7998" s="42"/>
      <c r="AC7998" s="42"/>
    </row>
    <row r="7999" spans="15:29" x14ac:dyDescent="0.25">
      <c r="O7999" s="42"/>
      <c r="R7999" s="42"/>
      <c r="AC7999" s="42"/>
    </row>
    <row r="8000" spans="15:29" x14ac:dyDescent="0.25">
      <c r="O8000" s="42"/>
      <c r="R8000" s="42"/>
      <c r="AC8000" s="42"/>
    </row>
    <row r="8001" spans="15:29" x14ac:dyDescent="0.25">
      <c r="O8001" s="42"/>
      <c r="R8001" s="42"/>
      <c r="AC8001" s="42"/>
    </row>
    <row r="8002" spans="15:29" x14ac:dyDescent="0.25">
      <c r="O8002" s="42"/>
      <c r="R8002" s="42"/>
      <c r="AC8002" s="42"/>
    </row>
    <row r="8003" spans="15:29" x14ac:dyDescent="0.25">
      <c r="O8003" s="42"/>
      <c r="R8003" s="42"/>
      <c r="AC8003" s="42"/>
    </row>
    <row r="8004" spans="15:29" x14ac:dyDescent="0.25">
      <c r="O8004" s="42"/>
      <c r="R8004" s="42"/>
      <c r="AC8004" s="42"/>
    </row>
    <row r="8005" spans="15:29" x14ac:dyDescent="0.25">
      <c r="O8005" s="42"/>
      <c r="R8005" s="42"/>
      <c r="AC8005" s="42"/>
    </row>
    <row r="8006" spans="15:29" x14ac:dyDescent="0.25">
      <c r="O8006" s="42"/>
      <c r="R8006" s="42"/>
      <c r="AC8006" s="42"/>
    </row>
    <row r="8007" spans="15:29" x14ac:dyDescent="0.25">
      <c r="O8007" s="42"/>
      <c r="R8007" s="42"/>
      <c r="AC8007" s="42"/>
    </row>
    <row r="8008" spans="15:29" x14ac:dyDescent="0.25">
      <c r="O8008" s="42"/>
      <c r="R8008" s="42"/>
      <c r="AC8008" s="42"/>
    </row>
    <row r="8009" spans="15:29" x14ac:dyDescent="0.25">
      <c r="O8009" s="42"/>
      <c r="R8009" s="42"/>
      <c r="AC8009" s="42"/>
    </row>
    <row r="8010" spans="15:29" x14ac:dyDescent="0.25">
      <c r="O8010" s="42"/>
      <c r="R8010" s="42"/>
      <c r="AC8010" s="42"/>
    </row>
    <row r="8011" spans="15:29" x14ac:dyDescent="0.25">
      <c r="O8011" s="42"/>
      <c r="R8011" s="42"/>
      <c r="AC8011" s="42"/>
    </row>
    <row r="8012" spans="15:29" x14ac:dyDescent="0.25">
      <c r="O8012" s="42"/>
      <c r="R8012" s="42"/>
      <c r="AC8012" s="42"/>
    </row>
    <row r="8013" spans="15:29" x14ac:dyDescent="0.25">
      <c r="O8013" s="42"/>
      <c r="R8013" s="42"/>
      <c r="AC8013" s="42"/>
    </row>
    <row r="8014" spans="15:29" x14ac:dyDescent="0.25">
      <c r="O8014" s="42"/>
      <c r="R8014" s="42"/>
      <c r="AC8014" s="42"/>
    </row>
    <row r="8015" spans="15:29" x14ac:dyDescent="0.25">
      <c r="O8015" s="42"/>
      <c r="R8015" s="42"/>
      <c r="AC8015" s="42"/>
    </row>
    <row r="8016" spans="15:29" x14ac:dyDescent="0.25">
      <c r="O8016" s="42"/>
      <c r="R8016" s="42"/>
      <c r="AC8016" s="42"/>
    </row>
    <row r="8017" spans="15:29" x14ac:dyDescent="0.25">
      <c r="O8017" s="42"/>
      <c r="R8017" s="42"/>
      <c r="AC8017" s="42"/>
    </row>
    <row r="8018" spans="15:29" x14ac:dyDescent="0.25">
      <c r="O8018" s="42"/>
      <c r="R8018" s="42"/>
      <c r="AC8018" s="42"/>
    </row>
    <row r="8019" spans="15:29" x14ac:dyDescent="0.25">
      <c r="O8019" s="42"/>
      <c r="R8019" s="42"/>
      <c r="AC8019" s="42"/>
    </row>
    <row r="8020" spans="15:29" x14ac:dyDescent="0.25">
      <c r="O8020" s="42"/>
      <c r="R8020" s="42"/>
      <c r="AC8020" s="42"/>
    </row>
    <row r="8021" spans="15:29" x14ac:dyDescent="0.25">
      <c r="O8021" s="42"/>
      <c r="R8021" s="42"/>
      <c r="AC8021" s="42"/>
    </row>
    <row r="8022" spans="15:29" x14ac:dyDescent="0.25">
      <c r="O8022" s="42"/>
      <c r="R8022" s="42"/>
      <c r="AC8022" s="42"/>
    </row>
    <row r="8023" spans="15:29" x14ac:dyDescent="0.25">
      <c r="O8023" s="42"/>
      <c r="R8023" s="42"/>
      <c r="AC8023" s="42"/>
    </row>
    <row r="8024" spans="15:29" x14ac:dyDescent="0.25">
      <c r="O8024" s="42"/>
      <c r="R8024" s="42"/>
      <c r="AC8024" s="42"/>
    </row>
    <row r="8025" spans="15:29" x14ac:dyDescent="0.25">
      <c r="O8025" s="42"/>
      <c r="R8025" s="42"/>
      <c r="AC8025" s="42"/>
    </row>
    <row r="8026" spans="15:29" x14ac:dyDescent="0.25">
      <c r="O8026" s="42"/>
      <c r="R8026" s="42"/>
      <c r="AC8026" s="42"/>
    </row>
    <row r="8027" spans="15:29" x14ac:dyDescent="0.25">
      <c r="O8027" s="42"/>
      <c r="R8027" s="42"/>
      <c r="AC8027" s="42"/>
    </row>
    <row r="8028" spans="15:29" x14ac:dyDescent="0.25">
      <c r="O8028" s="42"/>
      <c r="R8028" s="42"/>
      <c r="AC8028" s="42"/>
    </row>
    <row r="8029" spans="15:29" x14ac:dyDescent="0.25">
      <c r="O8029" s="42"/>
      <c r="R8029" s="42"/>
      <c r="AC8029" s="42"/>
    </row>
    <row r="8030" spans="15:29" x14ac:dyDescent="0.25">
      <c r="O8030" s="42"/>
      <c r="R8030" s="42"/>
      <c r="AC8030" s="42"/>
    </row>
    <row r="8031" spans="15:29" x14ac:dyDescent="0.25">
      <c r="O8031" s="42"/>
      <c r="R8031" s="42"/>
      <c r="AC8031" s="42"/>
    </row>
    <row r="8032" spans="15:29" x14ac:dyDescent="0.25">
      <c r="O8032" s="42"/>
      <c r="R8032" s="42"/>
      <c r="AC8032" s="42"/>
    </row>
    <row r="8033" spans="15:29" x14ac:dyDescent="0.25">
      <c r="O8033" s="42"/>
      <c r="R8033" s="42"/>
      <c r="AC8033" s="42"/>
    </row>
    <row r="8034" spans="15:29" x14ac:dyDescent="0.25">
      <c r="O8034" s="42"/>
      <c r="R8034" s="42"/>
      <c r="AC8034" s="42"/>
    </row>
    <row r="8035" spans="15:29" x14ac:dyDescent="0.25">
      <c r="O8035" s="42"/>
      <c r="R8035" s="42"/>
      <c r="AC8035" s="42"/>
    </row>
    <row r="8036" spans="15:29" x14ac:dyDescent="0.25">
      <c r="O8036" s="42"/>
      <c r="R8036" s="42"/>
      <c r="AC8036" s="42"/>
    </row>
    <row r="8037" spans="15:29" x14ac:dyDescent="0.25">
      <c r="O8037" s="42"/>
      <c r="R8037" s="42"/>
      <c r="AC8037" s="42"/>
    </row>
    <row r="8038" spans="15:29" x14ac:dyDescent="0.25">
      <c r="O8038" s="42"/>
      <c r="R8038" s="42"/>
      <c r="AC8038" s="42"/>
    </row>
    <row r="8039" spans="15:29" x14ac:dyDescent="0.25">
      <c r="O8039" s="42"/>
      <c r="R8039" s="42"/>
      <c r="AC8039" s="42"/>
    </row>
    <row r="8040" spans="15:29" x14ac:dyDescent="0.25">
      <c r="O8040" s="42"/>
      <c r="R8040" s="42"/>
      <c r="AC8040" s="42"/>
    </row>
    <row r="8041" spans="15:29" x14ac:dyDescent="0.25">
      <c r="O8041" s="42"/>
      <c r="R8041" s="42"/>
      <c r="AC8041" s="42"/>
    </row>
    <row r="8042" spans="15:29" x14ac:dyDescent="0.25">
      <c r="O8042" s="42"/>
      <c r="R8042" s="42"/>
      <c r="AC8042" s="42"/>
    </row>
    <row r="8043" spans="15:29" x14ac:dyDescent="0.25">
      <c r="O8043" s="42"/>
      <c r="R8043" s="42"/>
      <c r="AC8043" s="42"/>
    </row>
    <row r="8044" spans="15:29" x14ac:dyDescent="0.25">
      <c r="O8044" s="42"/>
      <c r="R8044" s="42"/>
      <c r="AC8044" s="42"/>
    </row>
    <row r="8045" spans="15:29" x14ac:dyDescent="0.25">
      <c r="O8045" s="42"/>
      <c r="R8045" s="42"/>
      <c r="AC8045" s="42"/>
    </row>
    <row r="8046" spans="15:29" x14ac:dyDescent="0.25">
      <c r="O8046" s="42"/>
      <c r="R8046" s="42"/>
      <c r="AC8046" s="42"/>
    </row>
    <row r="8047" spans="15:29" x14ac:dyDescent="0.25">
      <c r="O8047" s="42"/>
      <c r="R8047" s="42"/>
      <c r="AC8047" s="42"/>
    </row>
    <row r="8048" spans="15:29" x14ac:dyDescent="0.25">
      <c r="O8048" s="42"/>
      <c r="R8048" s="42"/>
      <c r="AC8048" s="42"/>
    </row>
    <row r="8049" spans="15:29" x14ac:dyDescent="0.25">
      <c r="O8049" s="42"/>
      <c r="R8049" s="42"/>
      <c r="AC8049" s="42"/>
    </row>
    <row r="8050" spans="15:29" x14ac:dyDescent="0.25">
      <c r="O8050" s="42"/>
      <c r="R8050" s="42"/>
      <c r="AC8050" s="42"/>
    </row>
    <row r="8051" spans="15:29" x14ac:dyDescent="0.25">
      <c r="O8051" s="42"/>
      <c r="R8051" s="42"/>
      <c r="AC8051" s="42"/>
    </row>
    <row r="8052" spans="15:29" x14ac:dyDescent="0.25">
      <c r="O8052" s="42"/>
      <c r="R8052" s="42"/>
      <c r="AC8052" s="42"/>
    </row>
    <row r="8053" spans="15:29" x14ac:dyDescent="0.25">
      <c r="O8053" s="42"/>
      <c r="R8053" s="42"/>
      <c r="AC8053" s="42"/>
    </row>
    <row r="8054" spans="15:29" x14ac:dyDescent="0.25">
      <c r="O8054" s="42"/>
      <c r="R8054" s="42"/>
      <c r="AC8054" s="42"/>
    </row>
    <row r="8055" spans="15:29" x14ac:dyDescent="0.25">
      <c r="O8055" s="42"/>
      <c r="R8055" s="42"/>
      <c r="AC8055" s="42"/>
    </row>
    <row r="8056" spans="15:29" x14ac:dyDescent="0.25">
      <c r="O8056" s="42"/>
      <c r="R8056" s="42"/>
      <c r="AC8056" s="42"/>
    </row>
    <row r="8057" spans="15:29" x14ac:dyDescent="0.25">
      <c r="O8057" s="42"/>
      <c r="R8057" s="42"/>
      <c r="AC8057" s="42"/>
    </row>
    <row r="8058" spans="15:29" x14ac:dyDescent="0.25">
      <c r="O8058" s="42"/>
      <c r="R8058" s="42"/>
      <c r="AC8058" s="42"/>
    </row>
    <row r="8059" spans="15:29" x14ac:dyDescent="0.25">
      <c r="O8059" s="42"/>
      <c r="R8059" s="42"/>
      <c r="AC8059" s="42"/>
    </row>
    <row r="8060" spans="15:29" x14ac:dyDescent="0.25">
      <c r="O8060" s="42"/>
      <c r="R8060" s="42"/>
      <c r="AC8060" s="42"/>
    </row>
    <row r="8061" spans="15:29" x14ac:dyDescent="0.25">
      <c r="O8061" s="42"/>
      <c r="R8061" s="42"/>
      <c r="AC8061" s="42"/>
    </row>
    <row r="8062" spans="15:29" x14ac:dyDescent="0.25">
      <c r="O8062" s="42"/>
      <c r="R8062" s="42"/>
      <c r="AC8062" s="42"/>
    </row>
    <row r="8063" spans="15:29" x14ac:dyDescent="0.25">
      <c r="O8063" s="42"/>
      <c r="R8063" s="42"/>
      <c r="AC8063" s="42"/>
    </row>
    <row r="8064" spans="15:29" x14ac:dyDescent="0.25">
      <c r="O8064" s="42"/>
      <c r="R8064" s="42"/>
      <c r="AC8064" s="42"/>
    </row>
    <row r="8065" spans="15:29" x14ac:dyDescent="0.25">
      <c r="O8065" s="42"/>
      <c r="R8065" s="42"/>
      <c r="AC8065" s="42"/>
    </row>
    <row r="8066" spans="15:29" x14ac:dyDescent="0.25">
      <c r="O8066" s="42"/>
      <c r="R8066" s="42"/>
      <c r="AC8066" s="42"/>
    </row>
    <row r="8067" spans="15:29" x14ac:dyDescent="0.25">
      <c r="O8067" s="42"/>
      <c r="R8067" s="42"/>
      <c r="AC8067" s="42"/>
    </row>
    <row r="8068" spans="15:29" x14ac:dyDescent="0.25">
      <c r="O8068" s="42"/>
      <c r="R8068" s="42"/>
      <c r="AC8068" s="42"/>
    </row>
    <row r="8069" spans="15:29" x14ac:dyDescent="0.25">
      <c r="O8069" s="42"/>
      <c r="R8069" s="42"/>
      <c r="AC8069" s="42"/>
    </row>
    <row r="8070" spans="15:29" x14ac:dyDescent="0.25">
      <c r="O8070" s="42"/>
      <c r="R8070" s="42"/>
      <c r="AC8070" s="42"/>
    </row>
    <row r="8071" spans="15:29" x14ac:dyDescent="0.25">
      <c r="O8071" s="42"/>
      <c r="R8071" s="42"/>
      <c r="AC8071" s="42"/>
    </row>
    <row r="8072" spans="15:29" x14ac:dyDescent="0.25">
      <c r="O8072" s="42"/>
      <c r="R8072" s="42"/>
      <c r="AC8072" s="42"/>
    </row>
    <row r="8073" spans="15:29" x14ac:dyDescent="0.25">
      <c r="O8073" s="42"/>
      <c r="R8073" s="42"/>
      <c r="AC8073" s="42"/>
    </row>
    <row r="8074" spans="15:29" x14ac:dyDescent="0.25">
      <c r="O8074" s="42"/>
      <c r="R8074" s="42"/>
      <c r="AC8074" s="42"/>
    </row>
    <row r="8075" spans="15:29" x14ac:dyDescent="0.25">
      <c r="O8075" s="42"/>
      <c r="R8075" s="42"/>
      <c r="AC8075" s="42"/>
    </row>
    <row r="8076" spans="15:29" x14ac:dyDescent="0.25">
      <c r="O8076" s="42"/>
      <c r="R8076" s="42"/>
      <c r="AC8076" s="42"/>
    </row>
    <row r="8077" spans="15:29" x14ac:dyDescent="0.25">
      <c r="O8077" s="42"/>
      <c r="R8077" s="42"/>
      <c r="AC8077" s="42"/>
    </row>
    <row r="8078" spans="15:29" x14ac:dyDescent="0.25">
      <c r="O8078" s="42"/>
      <c r="R8078" s="42"/>
      <c r="AC8078" s="42"/>
    </row>
    <row r="8079" spans="15:29" x14ac:dyDescent="0.25">
      <c r="O8079" s="42"/>
      <c r="R8079" s="42"/>
      <c r="AC8079" s="42"/>
    </row>
    <row r="8080" spans="15:29" x14ac:dyDescent="0.25">
      <c r="O8080" s="42"/>
      <c r="R8080" s="42"/>
      <c r="AC8080" s="42"/>
    </row>
    <row r="8081" spans="15:29" x14ac:dyDescent="0.25">
      <c r="O8081" s="42"/>
      <c r="R8081" s="42"/>
      <c r="AC8081" s="42"/>
    </row>
    <row r="8082" spans="15:29" x14ac:dyDescent="0.25">
      <c r="O8082" s="42"/>
      <c r="R8082" s="42"/>
      <c r="AC8082" s="42"/>
    </row>
    <row r="8083" spans="15:29" x14ac:dyDescent="0.25">
      <c r="O8083" s="42"/>
      <c r="R8083" s="42"/>
      <c r="AC8083" s="42"/>
    </row>
    <row r="8084" spans="15:29" x14ac:dyDescent="0.25">
      <c r="O8084" s="42"/>
      <c r="R8084" s="42"/>
      <c r="AC8084" s="42"/>
    </row>
    <row r="8085" spans="15:29" x14ac:dyDescent="0.25">
      <c r="O8085" s="42"/>
      <c r="R8085" s="42"/>
      <c r="AC8085" s="42"/>
    </row>
    <row r="8086" spans="15:29" x14ac:dyDescent="0.25">
      <c r="O8086" s="42"/>
      <c r="R8086" s="42"/>
      <c r="AC8086" s="42"/>
    </row>
    <row r="8087" spans="15:29" x14ac:dyDescent="0.25">
      <c r="O8087" s="42"/>
      <c r="R8087" s="42"/>
      <c r="AC8087" s="42"/>
    </row>
    <row r="8088" spans="15:29" x14ac:dyDescent="0.25">
      <c r="O8088" s="42"/>
      <c r="R8088" s="42"/>
      <c r="AC8088" s="42"/>
    </row>
    <row r="8089" spans="15:29" x14ac:dyDescent="0.25">
      <c r="O8089" s="42"/>
      <c r="R8089" s="42"/>
      <c r="AC8089" s="42"/>
    </row>
    <row r="8090" spans="15:29" x14ac:dyDescent="0.25">
      <c r="O8090" s="42"/>
      <c r="R8090" s="42"/>
      <c r="AC8090" s="42"/>
    </row>
    <row r="8091" spans="15:29" x14ac:dyDescent="0.25">
      <c r="O8091" s="42"/>
      <c r="R8091" s="42"/>
      <c r="AC8091" s="42"/>
    </row>
    <row r="8092" spans="15:29" x14ac:dyDescent="0.25">
      <c r="O8092" s="42"/>
      <c r="R8092" s="42"/>
      <c r="AC8092" s="42"/>
    </row>
    <row r="8093" spans="15:29" x14ac:dyDescent="0.25">
      <c r="O8093" s="42"/>
      <c r="R8093" s="42"/>
      <c r="AC8093" s="42"/>
    </row>
    <row r="8094" spans="15:29" x14ac:dyDescent="0.25">
      <c r="O8094" s="42"/>
      <c r="R8094" s="42"/>
      <c r="AC8094" s="42"/>
    </row>
    <row r="8095" spans="15:29" x14ac:dyDescent="0.25">
      <c r="O8095" s="42"/>
      <c r="R8095" s="42"/>
      <c r="AC8095" s="42"/>
    </row>
    <row r="8096" spans="15:29" x14ac:dyDescent="0.25">
      <c r="O8096" s="42"/>
      <c r="R8096" s="42"/>
      <c r="AC8096" s="42"/>
    </row>
    <row r="8097" spans="15:29" x14ac:dyDescent="0.25">
      <c r="O8097" s="42"/>
      <c r="R8097" s="42"/>
      <c r="AC8097" s="42"/>
    </row>
    <row r="8098" spans="15:29" x14ac:dyDescent="0.25">
      <c r="O8098" s="42"/>
      <c r="R8098" s="42"/>
      <c r="AC8098" s="42"/>
    </row>
    <row r="8099" spans="15:29" x14ac:dyDescent="0.25">
      <c r="O8099" s="42"/>
      <c r="R8099" s="42"/>
      <c r="AC8099" s="42"/>
    </row>
    <row r="8100" spans="15:29" x14ac:dyDescent="0.25">
      <c r="O8100" s="42"/>
      <c r="R8100" s="42"/>
      <c r="AC8100" s="42"/>
    </row>
    <row r="8101" spans="15:29" x14ac:dyDescent="0.25">
      <c r="O8101" s="42"/>
      <c r="R8101" s="42"/>
      <c r="AC8101" s="42"/>
    </row>
    <row r="8102" spans="15:29" x14ac:dyDescent="0.25">
      <c r="O8102" s="42"/>
      <c r="R8102" s="42"/>
      <c r="AC8102" s="42"/>
    </row>
    <row r="8103" spans="15:29" x14ac:dyDescent="0.25">
      <c r="O8103" s="42"/>
      <c r="R8103" s="42"/>
      <c r="AC8103" s="42"/>
    </row>
    <row r="8104" spans="15:29" x14ac:dyDescent="0.25">
      <c r="O8104" s="42"/>
      <c r="R8104" s="42"/>
      <c r="AC8104" s="42"/>
    </row>
    <row r="8105" spans="15:29" x14ac:dyDescent="0.25">
      <c r="O8105" s="42"/>
      <c r="R8105" s="42"/>
      <c r="AC8105" s="42"/>
    </row>
    <row r="8106" spans="15:29" x14ac:dyDescent="0.25">
      <c r="O8106" s="42"/>
      <c r="R8106" s="42"/>
      <c r="AC8106" s="42"/>
    </row>
    <row r="8107" spans="15:29" x14ac:dyDescent="0.25">
      <c r="O8107" s="42"/>
      <c r="R8107" s="42"/>
      <c r="AC8107" s="42"/>
    </row>
    <row r="8108" spans="15:29" x14ac:dyDescent="0.25">
      <c r="O8108" s="42"/>
      <c r="R8108" s="42"/>
      <c r="AC8108" s="42"/>
    </row>
    <row r="8109" spans="15:29" x14ac:dyDescent="0.25">
      <c r="O8109" s="42"/>
      <c r="R8109" s="42"/>
      <c r="AC8109" s="42"/>
    </row>
    <row r="8110" spans="15:29" x14ac:dyDescent="0.25">
      <c r="O8110" s="42"/>
      <c r="R8110" s="42"/>
      <c r="AC8110" s="42"/>
    </row>
    <row r="8111" spans="15:29" x14ac:dyDescent="0.25">
      <c r="O8111" s="42"/>
      <c r="R8111" s="42"/>
      <c r="AC8111" s="42"/>
    </row>
    <row r="8112" spans="15:29" x14ac:dyDescent="0.25">
      <c r="O8112" s="42"/>
      <c r="R8112" s="42"/>
      <c r="AC8112" s="42"/>
    </row>
    <row r="8113" spans="15:29" x14ac:dyDescent="0.25">
      <c r="O8113" s="42"/>
      <c r="R8113" s="42"/>
      <c r="AC8113" s="42"/>
    </row>
    <row r="8114" spans="15:29" x14ac:dyDescent="0.25">
      <c r="O8114" s="42"/>
      <c r="R8114" s="42"/>
      <c r="AC8114" s="42"/>
    </row>
    <row r="8115" spans="15:29" x14ac:dyDescent="0.25">
      <c r="O8115" s="42"/>
      <c r="R8115" s="42"/>
      <c r="AC8115" s="42"/>
    </row>
    <row r="8116" spans="15:29" x14ac:dyDescent="0.25">
      <c r="O8116" s="42"/>
      <c r="R8116" s="42"/>
      <c r="AC8116" s="42"/>
    </row>
    <row r="8117" spans="15:29" x14ac:dyDescent="0.25">
      <c r="O8117" s="42"/>
      <c r="R8117" s="42"/>
      <c r="AC8117" s="42"/>
    </row>
    <row r="8118" spans="15:29" x14ac:dyDescent="0.25">
      <c r="O8118" s="42"/>
      <c r="R8118" s="42"/>
      <c r="AC8118" s="42"/>
    </row>
    <row r="8119" spans="15:29" x14ac:dyDescent="0.25">
      <c r="O8119" s="42"/>
      <c r="R8119" s="42"/>
      <c r="AC8119" s="42"/>
    </row>
    <row r="8120" spans="15:29" x14ac:dyDescent="0.25">
      <c r="O8120" s="42"/>
      <c r="R8120" s="42"/>
      <c r="AC8120" s="42"/>
    </row>
    <row r="8121" spans="15:29" x14ac:dyDescent="0.25">
      <c r="O8121" s="42"/>
      <c r="R8121" s="42"/>
      <c r="AC8121" s="42"/>
    </row>
    <row r="8122" spans="15:29" x14ac:dyDescent="0.25">
      <c r="O8122" s="42"/>
      <c r="R8122" s="42"/>
      <c r="AC8122" s="42"/>
    </row>
    <row r="8123" spans="15:29" x14ac:dyDescent="0.25">
      <c r="O8123" s="42"/>
      <c r="R8123" s="42"/>
      <c r="AC8123" s="42"/>
    </row>
    <row r="8124" spans="15:29" x14ac:dyDescent="0.25">
      <c r="O8124" s="42"/>
      <c r="R8124" s="42"/>
      <c r="AC8124" s="42"/>
    </row>
    <row r="8125" spans="15:29" x14ac:dyDescent="0.25">
      <c r="O8125" s="42"/>
      <c r="R8125" s="42"/>
      <c r="AC8125" s="42"/>
    </row>
    <row r="8126" spans="15:29" x14ac:dyDescent="0.25">
      <c r="O8126" s="42"/>
      <c r="R8126" s="42"/>
      <c r="AC8126" s="42"/>
    </row>
    <row r="8127" spans="15:29" x14ac:dyDescent="0.25">
      <c r="O8127" s="42"/>
      <c r="R8127" s="42"/>
      <c r="AC8127" s="42"/>
    </row>
    <row r="8128" spans="15:29" x14ac:dyDescent="0.25">
      <c r="O8128" s="42"/>
      <c r="R8128" s="42"/>
      <c r="AC8128" s="42"/>
    </row>
    <row r="8129" spans="15:29" x14ac:dyDescent="0.25">
      <c r="O8129" s="42"/>
      <c r="R8129" s="42"/>
      <c r="AC8129" s="42"/>
    </row>
    <row r="8130" spans="15:29" x14ac:dyDescent="0.25">
      <c r="O8130" s="42"/>
      <c r="R8130" s="42"/>
      <c r="AC8130" s="42"/>
    </row>
    <row r="8131" spans="15:29" x14ac:dyDescent="0.25">
      <c r="O8131" s="42"/>
      <c r="R8131" s="42"/>
      <c r="AC8131" s="42"/>
    </row>
    <row r="8132" spans="15:29" x14ac:dyDescent="0.25">
      <c r="O8132" s="42"/>
      <c r="R8132" s="42"/>
      <c r="AC8132" s="42"/>
    </row>
    <row r="8133" spans="15:29" x14ac:dyDescent="0.25">
      <c r="O8133" s="42"/>
      <c r="R8133" s="42"/>
      <c r="AC8133" s="42"/>
    </row>
    <row r="8134" spans="15:29" x14ac:dyDescent="0.25">
      <c r="O8134" s="42"/>
      <c r="R8134" s="42"/>
      <c r="AC8134" s="42"/>
    </row>
    <row r="8135" spans="15:29" x14ac:dyDescent="0.25">
      <c r="O8135" s="42"/>
      <c r="R8135" s="42"/>
      <c r="AC8135" s="42"/>
    </row>
    <row r="8136" spans="15:29" x14ac:dyDescent="0.25">
      <c r="O8136" s="42"/>
      <c r="R8136" s="42"/>
      <c r="AC8136" s="42"/>
    </row>
    <row r="8137" spans="15:29" x14ac:dyDescent="0.25">
      <c r="O8137" s="42"/>
      <c r="R8137" s="42"/>
      <c r="AC8137" s="42"/>
    </row>
    <row r="8138" spans="15:29" x14ac:dyDescent="0.25">
      <c r="O8138" s="42"/>
      <c r="R8138" s="42"/>
      <c r="AC8138" s="42"/>
    </row>
    <row r="8139" spans="15:29" x14ac:dyDescent="0.25">
      <c r="O8139" s="42"/>
      <c r="R8139" s="42"/>
      <c r="AC8139" s="42"/>
    </row>
    <row r="8140" spans="15:29" x14ac:dyDescent="0.25">
      <c r="O8140" s="42"/>
      <c r="R8140" s="42"/>
      <c r="AC8140" s="42"/>
    </row>
    <row r="8141" spans="15:29" x14ac:dyDescent="0.25">
      <c r="O8141" s="42"/>
      <c r="R8141" s="42"/>
      <c r="AC8141" s="42"/>
    </row>
    <row r="8142" spans="15:29" x14ac:dyDescent="0.25">
      <c r="O8142" s="42"/>
      <c r="R8142" s="42"/>
      <c r="AC8142" s="42"/>
    </row>
    <row r="8143" spans="15:29" x14ac:dyDescent="0.25">
      <c r="O8143" s="42"/>
      <c r="R8143" s="42"/>
      <c r="AC8143" s="42"/>
    </row>
    <row r="8144" spans="15:29" x14ac:dyDescent="0.25">
      <c r="O8144" s="42"/>
      <c r="R8144" s="42"/>
      <c r="AC8144" s="42"/>
    </row>
    <row r="8145" spans="15:29" x14ac:dyDescent="0.25">
      <c r="O8145" s="42"/>
      <c r="R8145" s="42"/>
      <c r="AC8145" s="42"/>
    </row>
    <row r="8146" spans="15:29" x14ac:dyDescent="0.25">
      <c r="O8146" s="42"/>
      <c r="R8146" s="42"/>
      <c r="AC8146" s="42"/>
    </row>
    <row r="8147" spans="15:29" x14ac:dyDescent="0.25">
      <c r="O8147" s="42"/>
      <c r="R8147" s="42"/>
      <c r="AC8147" s="42"/>
    </row>
    <row r="8148" spans="15:29" x14ac:dyDescent="0.25">
      <c r="O8148" s="42"/>
      <c r="R8148" s="42"/>
      <c r="AC8148" s="42"/>
    </row>
    <row r="8149" spans="15:29" x14ac:dyDescent="0.25">
      <c r="O8149" s="42"/>
      <c r="R8149" s="42"/>
      <c r="AC8149" s="42"/>
    </row>
    <row r="8150" spans="15:29" x14ac:dyDescent="0.25">
      <c r="O8150" s="42"/>
      <c r="R8150" s="42"/>
      <c r="AC8150" s="42"/>
    </row>
    <row r="8151" spans="15:29" x14ac:dyDescent="0.25">
      <c r="O8151" s="42"/>
      <c r="R8151" s="42"/>
      <c r="AC8151" s="42"/>
    </row>
    <row r="8152" spans="15:29" x14ac:dyDescent="0.25">
      <c r="O8152" s="42"/>
      <c r="R8152" s="42"/>
      <c r="AC8152" s="42"/>
    </row>
    <row r="8153" spans="15:29" x14ac:dyDescent="0.25">
      <c r="O8153" s="42"/>
      <c r="R8153" s="42"/>
      <c r="AC8153" s="42"/>
    </row>
    <row r="8154" spans="15:29" x14ac:dyDescent="0.25">
      <c r="O8154" s="42"/>
      <c r="R8154" s="42"/>
      <c r="AC8154" s="42"/>
    </row>
    <row r="8155" spans="15:29" x14ac:dyDescent="0.25">
      <c r="O8155" s="42"/>
      <c r="R8155" s="42"/>
      <c r="AC8155" s="42"/>
    </row>
    <row r="8156" spans="15:29" x14ac:dyDescent="0.25">
      <c r="O8156" s="42"/>
      <c r="R8156" s="42"/>
      <c r="AC8156" s="42"/>
    </row>
    <row r="8157" spans="15:29" x14ac:dyDescent="0.25">
      <c r="O8157" s="42"/>
      <c r="R8157" s="42"/>
      <c r="AC8157" s="42"/>
    </row>
    <row r="8158" spans="15:29" x14ac:dyDescent="0.25">
      <c r="O8158" s="42"/>
      <c r="R8158" s="42"/>
      <c r="AC8158" s="42"/>
    </row>
    <row r="8159" spans="15:29" x14ac:dyDescent="0.25">
      <c r="O8159" s="42"/>
      <c r="R8159" s="42"/>
      <c r="AC8159" s="42"/>
    </row>
    <row r="8160" spans="15:29" x14ac:dyDescent="0.25">
      <c r="O8160" s="42"/>
      <c r="R8160" s="42"/>
      <c r="AC8160" s="42"/>
    </row>
    <row r="8161" spans="15:29" x14ac:dyDescent="0.25">
      <c r="O8161" s="42"/>
      <c r="R8161" s="42"/>
      <c r="AC8161" s="42"/>
    </row>
    <row r="8162" spans="15:29" x14ac:dyDescent="0.25">
      <c r="O8162" s="42"/>
      <c r="R8162" s="42"/>
      <c r="AC8162" s="42"/>
    </row>
    <row r="8163" spans="15:29" x14ac:dyDescent="0.25">
      <c r="O8163" s="42"/>
      <c r="R8163" s="42"/>
      <c r="AC8163" s="42"/>
    </row>
    <row r="8164" spans="15:29" x14ac:dyDescent="0.25">
      <c r="O8164" s="42"/>
      <c r="R8164" s="42"/>
      <c r="AC8164" s="42"/>
    </row>
    <row r="8165" spans="15:29" x14ac:dyDescent="0.25">
      <c r="O8165" s="42"/>
      <c r="R8165" s="42"/>
      <c r="AC8165" s="42"/>
    </row>
    <row r="8166" spans="15:29" x14ac:dyDescent="0.25">
      <c r="O8166" s="42"/>
      <c r="R8166" s="42"/>
      <c r="AC8166" s="42"/>
    </row>
    <row r="8167" spans="15:29" x14ac:dyDescent="0.25">
      <c r="O8167" s="42"/>
      <c r="R8167" s="42"/>
      <c r="AC8167" s="42"/>
    </row>
    <row r="8168" spans="15:29" x14ac:dyDescent="0.25">
      <c r="O8168" s="42"/>
      <c r="R8168" s="42"/>
      <c r="AC8168" s="42"/>
    </row>
    <row r="8169" spans="15:29" x14ac:dyDescent="0.25">
      <c r="O8169" s="42"/>
      <c r="R8169" s="42"/>
      <c r="AC8169" s="42"/>
    </row>
    <row r="8170" spans="15:29" x14ac:dyDescent="0.25">
      <c r="O8170" s="42"/>
      <c r="R8170" s="42"/>
      <c r="AC8170" s="42"/>
    </row>
    <row r="8171" spans="15:29" x14ac:dyDescent="0.25">
      <c r="O8171" s="42"/>
      <c r="R8171" s="42"/>
      <c r="AC8171" s="42"/>
    </row>
    <row r="8172" spans="15:29" x14ac:dyDescent="0.25">
      <c r="O8172" s="42"/>
      <c r="R8172" s="42"/>
      <c r="AC8172" s="42"/>
    </row>
    <row r="8173" spans="15:29" x14ac:dyDescent="0.25">
      <c r="O8173" s="42"/>
      <c r="R8173" s="42"/>
      <c r="AC8173" s="42"/>
    </row>
    <row r="8174" spans="15:29" x14ac:dyDescent="0.25">
      <c r="O8174" s="42"/>
      <c r="R8174" s="42"/>
      <c r="AC8174" s="42"/>
    </row>
    <row r="8175" spans="15:29" x14ac:dyDescent="0.25">
      <c r="O8175" s="42"/>
      <c r="R8175" s="42"/>
      <c r="AC8175" s="42"/>
    </row>
    <row r="8176" spans="15:29" x14ac:dyDescent="0.25">
      <c r="O8176" s="42"/>
      <c r="R8176" s="42"/>
      <c r="AC8176" s="42"/>
    </row>
    <row r="8177" spans="15:29" x14ac:dyDescent="0.25">
      <c r="O8177" s="42"/>
      <c r="R8177" s="42"/>
      <c r="AC8177" s="42"/>
    </row>
    <row r="8178" spans="15:29" x14ac:dyDescent="0.25">
      <c r="O8178" s="42"/>
      <c r="R8178" s="42"/>
      <c r="AC8178" s="42"/>
    </row>
    <row r="8179" spans="15:29" x14ac:dyDescent="0.25">
      <c r="O8179" s="42"/>
      <c r="R8179" s="42"/>
      <c r="AC8179" s="42"/>
    </row>
    <row r="8180" spans="15:29" x14ac:dyDescent="0.25">
      <c r="O8180" s="42"/>
      <c r="R8180" s="42"/>
      <c r="AC8180" s="42"/>
    </row>
    <row r="8181" spans="15:29" x14ac:dyDescent="0.25">
      <c r="O8181" s="42"/>
      <c r="R8181" s="42"/>
      <c r="AC8181" s="42"/>
    </row>
    <row r="8182" spans="15:29" x14ac:dyDescent="0.25">
      <c r="O8182" s="42"/>
      <c r="R8182" s="42"/>
      <c r="AC8182" s="42"/>
    </row>
    <row r="8183" spans="15:29" x14ac:dyDescent="0.25">
      <c r="O8183" s="42"/>
      <c r="R8183" s="42"/>
      <c r="AC8183" s="42"/>
    </row>
    <row r="8184" spans="15:29" x14ac:dyDescent="0.25">
      <c r="O8184" s="42"/>
      <c r="R8184" s="42"/>
      <c r="AC8184" s="42"/>
    </row>
    <row r="8185" spans="15:29" x14ac:dyDescent="0.25">
      <c r="O8185" s="42"/>
      <c r="R8185" s="42"/>
      <c r="AC8185" s="42"/>
    </row>
    <row r="8186" spans="15:29" x14ac:dyDescent="0.25">
      <c r="O8186" s="42"/>
      <c r="R8186" s="42"/>
      <c r="AC8186" s="42"/>
    </row>
    <row r="8187" spans="15:29" x14ac:dyDescent="0.25">
      <c r="O8187" s="42"/>
      <c r="R8187" s="42"/>
      <c r="AC8187" s="42"/>
    </row>
    <row r="8188" spans="15:29" x14ac:dyDescent="0.25">
      <c r="O8188" s="42"/>
      <c r="R8188" s="42"/>
      <c r="AC8188" s="42"/>
    </row>
    <row r="8189" spans="15:29" x14ac:dyDescent="0.25">
      <c r="O8189" s="42"/>
      <c r="R8189" s="42"/>
      <c r="AC8189" s="42"/>
    </row>
    <row r="8190" spans="15:29" x14ac:dyDescent="0.25">
      <c r="O8190" s="42"/>
      <c r="R8190" s="42"/>
      <c r="AC8190" s="42"/>
    </row>
    <row r="8191" spans="15:29" x14ac:dyDescent="0.25">
      <c r="O8191" s="42"/>
      <c r="R8191" s="42"/>
      <c r="AC8191" s="42"/>
    </row>
    <row r="8192" spans="15:29" x14ac:dyDescent="0.25">
      <c r="O8192" s="42"/>
      <c r="R8192" s="42"/>
      <c r="AC8192" s="42"/>
    </row>
    <row r="8193" spans="15:29" x14ac:dyDescent="0.25">
      <c r="O8193" s="42"/>
      <c r="R8193" s="42"/>
      <c r="AC8193" s="42"/>
    </row>
    <row r="8194" spans="15:29" x14ac:dyDescent="0.25">
      <c r="O8194" s="42"/>
      <c r="R8194" s="42"/>
      <c r="AC8194" s="42"/>
    </row>
    <row r="8195" spans="15:29" x14ac:dyDescent="0.25">
      <c r="O8195" s="42"/>
      <c r="R8195" s="42"/>
      <c r="AC8195" s="42"/>
    </row>
    <row r="8196" spans="15:29" x14ac:dyDescent="0.25">
      <c r="O8196" s="42"/>
      <c r="R8196" s="42"/>
      <c r="AC8196" s="42"/>
    </row>
    <row r="8197" spans="15:29" x14ac:dyDescent="0.25">
      <c r="O8197" s="42"/>
      <c r="R8197" s="42"/>
      <c r="AC8197" s="42"/>
    </row>
    <row r="8198" spans="15:29" x14ac:dyDescent="0.25">
      <c r="O8198" s="42"/>
      <c r="R8198" s="42"/>
      <c r="AC8198" s="42"/>
    </row>
    <row r="8199" spans="15:29" x14ac:dyDescent="0.25">
      <c r="O8199" s="42"/>
      <c r="R8199" s="42"/>
      <c r="AC8199" s="42"/>
    </row>
    <row r="8200" spans="15:29" x14ac:dyDescent="0.25">
      <c r="O8200" s="42"/>
      <c r="R8200" s="42"/>
      <c r="AC8200" s="42"/>
    </row>
    <row r="8201" spans="15:29" x14ac:dyDescent="0.25">
      <c r="O8201" s="42"/>
      <c r="R8201" s="42"/>
      <c r="AC8201" s="42"/>
    </row>
    <row r="8202" spans="15:29" x14ac:dyDescent="0.25">
      <c r="O8202" s="42"/>
      <c r="R8202" s="42"/>
      <c r="AC8202" s="42"/>
    </row>
    <row r="8203" spans="15:29" x14ac:dyDescent="0.25">
      <c r="O8203" s="42"/>
      <c r="R8203" s="42"/>
      <c r="AC8203" s="42"/>
    </row>
    <row r="8204" spans="15:29" x14ac:dyDescent="0.25">
      <c r="O8204" s="42"/>
      <c r="R8204" s="42"/>
      <c r="AC8204" s="42"/>
    </row>
    <row r="8205" spans="15:29" x14ac:dyDescent="0.25">
      <c r="O8205" s="42"/>
      <c r="R8205" s="42"/>
      <c r="AC8205" s="42"/>
    </row>
    <row r="8206" spans="15:29" x14ac:dyDescent="0.25">
      <c r="O8206" s="42"/>
      <c r="R8206" s="42"/>
      <c r="AC8206" s="42"/>
    </row>
    <row r="8207" spans="15:29" x14ac:dyDescent="0.25">
      <c r="O8207" s="42"/>
      <c r="R8207" s="42"/>
      <c r="AC8207" s="42"/>
    </row>
    <row r="8208" spans="15:29" x14ac:dyDescent="0.25">
      <c r="O8208" s="42"/>
      <c r="R8208" s="42"/>
      <c r="AC8208" s="42"/>
    </row>
    <row r="8209" spans="15:29" x14ac:dyDescent="0.25">
      <c r="O8209" s="42"/>
      <c r="R8209" s="42"/>
      <c r="AC8209" s="42"/>
    </row>
    <row r="8210" spans="15:29" x14ac:dyDescent="0.25">
      <c r="O8210" s="42"/>
      <c r="R8210" s="42"/>
      <c r="AC8210" s="42"/>
    </row>
    <row r="8211" spans="15:29" x14ac:dyDescent="0.25">
      <c r="O8211" s="42"/>
      <c r="R8211" s="42"/>
      <c r="AC8211" s="42"/>
    </row>
    <row r="8212" spans="15:29" x14ac:dyDescent="0.25">
      <c r="O8212" s="42"/>
      <c r="R8212" s="42"/>
      <c r="AC8212" s="42"/>
    </row>
    <row r="8213" spans="15:29" x14ac:dyDescent="0.25">
      <c r="O8213" s="42"/>
      <c r="R8213" s="42"/>
      <c r="AC8213" s="42"/>
    </row>
    <row r="8214" spans="15:29" x14ac:dyDescent="0.25">
      <c r="O8214" s="42"/>
      <c r="R8214" s="42"/>
      <c r="AC8214" s="42"/>
    </row>
    <row r="8215" spans="15:29" x14ac:dyDescent="0.25">
      <c r="O8215" s="42"/>
      <c r="R8215" s="42"/>
      <c r="AC8215" s="42"/>
    </row>
    <row r="8216" spans="15:29" x14ac:dyDescent="0.25">
      <c r="O8216" s="42"/>
      <c r="R8216" s="42"/>
      <c r="AC8216" s="42"/>
    </row>
    <row r="8217" spans="15:29" x14ac:dyDescent="0.25">
      <c r="O8217" s="42"/>
      <c r="R8217" s="42"/>
      <c r="AC8217" s="42"/>
    </row>
    <row r="8218" spans="15:29" x14ac:dyDescent="0.25">
      <c r="O8218" s="42"/>
      <c r="R8218" s="42"/>
      <c r="AC8218" s="42"/>
    </row>
    <row r="8219" spans="15:29" x14ac:dyDescent="0.25">
      <c r="O8219" s="42"/>
      <c r="R8219" s="42"/>
      <c r="AC8219" s="42"/>
    </row>
    <row r="8220" spans="15:29" x14ac:dyDescent="0.25">
      <c r="O8220" s="42"/>
      <c r="R8220" s="42"/>
      <c r="AC8220" s="42"/>
    </row>
    <row r="8221" spans="15:29" x14ac:dyDescent="0.25">
      <c r="O8221" s="42"/>
      <c r="R8221" s="42"/>
      <c r="AC8221" s="42"/>
    </row>
    <row r="8222" spans="15:29" x14ac:dyDescent="0.25">
      <c r="O8222" s="42"/>
      <c r="R8222" s="42"/>
      <c r="AC8222" s="42"/>
    </row>
    <row r="8223" spans="15:29" x14ac:dyDescent="0.25">
      <c r="O8223" s="42"/>
      <c r="R8223" s="42"/>
      <c r="AC8223" s="42"/>
    </row>
    <row r="8224" spans="15:29" x14ac:dyDescent="0.25">
      <c r="O8224" s="42"/>
      <c r="R8224" s="42"/>
      <c r="AC8224" s="42"/>
    </row>
    <row r="8225" spans="15:29" x14ac:dyDescent="0.25">
      <c r="O8225" s="42"/>
      <c r="R8225" s="42"/>
      <c r="AC8225" s="42"/>
    </row>
    <row r="8226" spans="15:29" x14ac:dyDescent="0.25">
      <c r="O8226" s="42"/>
      <c r="R8226" s="42"/>
      <c r="AC8226" s="42"/>
    </row>
    <row r="8227" spans="15:29" x14ac:dyDescent="0.25">
      <c r="O8227" s="42"/>
      <c r="R8227" s="42"/>
      <c r="AC8227" s="42"/>
    </row>
    <row r="8228" spans="15:29" x14ac:dyDescent="0.25">
      <c r="O8228" s="42"/>
      <c r="R8228" s="42"/>
      <c r="AC8228" s="42"/>
    </row>
    <row r="8229" spans="15:29" x14ac:dyDescent="0.25">
      <c r="O8229" s="42"/>
      <c r="R8229" s="42"/>
      <c r="AC8229" s="42"/>
    </row>
    <row r="8230" spans="15:29" x14ac:dyDescent="0.25">
      <c r="O8230" s="42"/>
      <c r="R8230" s="42"/>
      <c r="AC8230" s="42"/>
    </row>
    <row r="8231" spans="15:29" x14ac:dyDescent="0.25">
      <c r="O8231" s="42"/>
      <c r="R8231" s="42"/>
      <c r="AC8231" s="42"/>
    </row>
    <row r="8232" spans="15:29" x14ac:dyDescent="0.25">
      <c r="O8232" s="42"/>
      <c r="R8232" s="42"/>
      <c r="AC8232" s="42"/>
    </row>
    <row r="8233" spans="15:29" x14ac:dyDescent="0.25">
      <c r="O8233" s="42"/>
      <c r="R8233" s="42"/>
      <c r="AC8233" s="42"/>
    </row>
    <row r="8234" spans="15:29" x14ac:dyDescent="0.25">
      <c r="O8234" s="42"/>
      <c r="R8234" s="42"/>
      <c r="AC8234" s="42"/>
    </row>
    <row r="8235" spans="15:29" x14ac:dyDescent="0.25">
      <c r="O8235" s="42"/>
      <c r="R8235" s="42"/>
      <c r="AC8235" s="42"/>
    </row>
    <row r="8236" spans="15:29" x14ac:dyDescent="0.25">
      <c r="O8236" s="42"/>
      <c r="R8236" s="42"/>
      <c r="AC8236" s="42"/>
    </row>
    <row r="8237" spans="15:29" x14ac:dyDescent="0.25">
      <c r="O8237" s="42"/>
      <c r="R8237" s="42"/>
      <c r="AC8237" s="42"/>
    </row>
    <row r="8238" spans="15:29" x14ac:dyDescent="0.25">
      <c r="O8238" s="42"/>
      <c r="R8238" s="42"/>
      <c r="AC8238" s="42"/>
    </row>
    <row r="8239" spans="15:29" x14ac:dyDescent="0.25">
      <c r="O8239" s="42"/>
      <c r="R8239" s="42"/>
      <c r="AC8239" s="42"/>
    </row>
    <row r="8240" spans="15:29" x14ac:dyDescent="0.25">
      <c r="O8240" s="42"/>
      <c r="R8240" s="42"/>
      <c r="AC8240" s="42"/>
    </row>
    <row r="8241" spans="15:29" x14ac:dyDescent="0.25">
      <c r="O8241" s="42"/>
      <c r="R8241" s="42"/>
      <c r="AC8241" s="42"/>
    </row>
    <row r="8242" spans="15:29" x14ac:dyDescent="0.25">
      <c r="O8242" s="42"/>
      <c r="R8242" s="42"/>
      <c r="AC8242" s="42"/>
    </row>
    <row r="8243" spans="15:29" x14ac:dyDescent="0.25">
      <c r="O8243" s="42"/>
      <c r="R8243" s="42"/>
      <c r="AC8243" s="42"/>
    </row>
    <row r="8244" spans="15:29" x14ac:dyDescent="0.25">
      <c r="O8244" s="42"/>
      <c r="R8244" s="42"/>
      <c r="AC8244" s="42"/>
    </row>
    <row r="8245" spans="15:29" x14ac:dyDescent="0.25">
      <c r="O8245" s="42"/>
      <c r="R8245" s="42"/>
      <c r="AC8245" s="42"/>
    </row>
    <row r="8246" spans="15:29" x14ac:dyDescent="0.25">
      <c r="O8246" s="42"/>
      <c r="R8246" s="42"/>
      <c r="AC8246" s="42"/>
    </row>
    <row r="8247" spans="15:29" x14ac:dyDescent="0.25">
      <c r="O8247" s="42"/>
      <c r="R8247" s="42"/>
      <c r="AC8247" s="42"/>
    </row>
    <row r="8248" spans="15:29" x14ac:dyDescent="0.25">
      <c r="O8248" s="42"/>
      <c r="R8248" s="42"/>
      <c r="AC8248" s="42"/>
    </row>
    <row r="8249" spans="15:29" x14ac:dyDescent="0.25">
      <c r="O8249" s="42"/>
      <c r="R8249" s="42"/>
      <c r="AC8249" s="42"/>
    </row>
    <row r="8250" spans="15:29" x14ac:dyDescent="0.25">
      <c r="O8250" s="42"/>
      <c r="R8250" s="42"/>
      <c r="AC8250" s="42"/>
    </row>
    <row r="8251" spans="15:29" x14ac:dyDescent="0.25">
      <c r="O8251" s="42"/>
      <c r="R8251" s="42"/>
      <c r="AC8251" s="42"/>
    </row>
    <row r="8252" spans="15:29" x14ac:dyDescent="0.25">
      <c r="O8252" s="42"/>
      <c r="R8252" s="42"/>
      <c r="AC8252" s="42"/>
    </row>
    <row r="8253" spans="15:29" x14ac:dyDescent="0.25">
      <c r="O8253" s="42"/>
      <c r="R8253" s="42"/>
      <c r="AC8253" s="42"/>
    </row>
    <row r="8254" spans="15:29" x14ac:dyDescent="0.25">
      <c r="O8254" s="42"/>
      <c r="R8254" s="42"/>
      <c r="AC8254" s="42"/>
    </row>
    <row r="8255" spans="15:29" x14ac:dyDescent="0.25">
      <c r="O8255" s="42"/>
      <c r="R8255" s="42"/>
      <c r="AC8255" s="42"/>
    </row>
    <row r="8256" spans="15:29" x14ac:dyDescent="0.25">
      <c r="O8256" s="42"/>
      <c r="R8256" s="42"/>
      <c r="AC8256" s="42"/>
    </row>
    <row r="8257" spans="15:29" x14ac:dyDescent="0.25">
      <c r="O8257" s="42"/>
      <c r="R8257" s="42"/>
      <c r="AC8257" s="42"/>
    </row>
    <row r="8258" spans="15:29" x14ac:dyDescent="0.25">
      <c r="O8258" s="42"/>
      <c r="R8258" s="42"/>
      <c r="AC8258" s="42"/>
    </row>
    <row r="8259" spans="15:29" x14ac:dyDescent="0.25">
      <c r="O8259" s="42"/>
      <c r="R8259" s="42"/>
      <c r="AC8259" s="42"/>
    </row>
    <row r="8260" spans="15:29" x14ac:dyDescent="0.25">
      <c r="O8260" s="42"/>
      <c r="R8260" s="42"/>
      <c r="AC8260" s="42"/>
    </row>
    <row r="8261" spans="15:29" x14ac:dyDescent="0.25">
      <c r="O8261" s="42"/>
      <c r="R8261" s="42"/>
      <c r="AC8261" s="42"/>
    </row>
    <row r="8262" spans="15:29" x14ac:dyDescent="0.25">
      <c r="O8262" s="42"/>
      <c r="R8262" s="42"/>
      <c r="AC8262" s="42"/>
    </row>
    <row r="8263" spans="15:29" x14ac:dyDescent="0.25">
      <c r="O8263" s="42"/>
      <c r="R8263" s="42"/>
      <c r="AC8263" s="42"/>
    </row>
    <row r="8264" spans="15:29" x14ac:dyDescent="0.25">
      <c r="O8264" s="42"/>
      <c r="R8264" s="42"/>
      <c r="AC8264" s="42"/>
    </row>
    <row r="8265" spans="15:29" x14ac:dyDescent="0.25">
      <c r="O8265" s="42"/>
      <c r="R8265" s="42"/>
      <c r="AC8265" s="42"/>
    </row>
    <row r="8266" spans="15:29" x14ac:dyDescent="0.25">
      <c r="O8266" s="42"/>
      <c r="R8266" s="42"/>
      <c r="AC8266" s="42"/>
    </row>
    <row r="8267" spans="15:29" x14ac:dyDescent="0.25">
      <c r="O8267" s="42"/>
      <c r="R8267" s="42"/>
      <c r="AC8267" s="42"/>
    </row>
    <row r="8268" spans="15:29" x14ac:dyDescent="0.25">
      <c r="O8268" s="42"/>
      <c r="R8268" s="42"/>
      <c r="AC8268" s="42"/>
    </row>
    <row r="8269" spans="15:29" x14ac:dyDescent="0.25">
      <c r="O8269" s="42"/>
      <c r="R8269" s="42"/>
      <c r="AC8269" s="42"/>
    </row>
    <row r="8270" spans="15:29" x14ac:dyDescent="0.25">
      <c r="O8270" s="42"/>
      <c r="R8270" s="42"/>
      <c r="AC8270" s="42"/>
    </row>
    <row r="8271" spans="15:29" x14ac:dyDescent="0.25">
      <c r="O8271" s="42"/>
      <c r="R8271" s="42"/>
      <c r="AC8271" s="42"/>
    </row>
    <row r="8272" spans="15:29" x14ac:dyDescent="0.25">
      <c r="O8272" s="42"/>
      <c r="R8272" s="42"/>
      <c r="AC8272" s="42"/>
    </row>
    <row r="8273" spans="15:29" x14ac:dyDescent="0.25">
      <c r="O8273" s="42"/>
      <c r="R8273" s="42"/>
      <c r="AC8273" s="42"/>
    </row>
    <row r="8274" spans="15:29" x14ac:dyDescent="0.25">
      <c r="O8274" s="42"/>
      <c r="R8274" s="42"/>
      <c r="AC8274" s="42"/>
    </row>
    <row r="8275" spans="15:29" x14ac:dyDescent="0.25">
      <c r="O8275" s="42"/>
      <c r="R8275" s="42"/>
      <c r="AC8275" s="42"/>
    </row>
    <row r="8276" spans="15:29" x14ac:dyDescent="0.25">
      <c r="O8276" s="42"/>
      <c r="R8276" s="42"/>
      <c r="AC8276" s="42"/>
    </row>
    <row r="8277" spans="15:29" x14ac:dyDescent="0.25">
      <c r="O8277" s="42"/>
      <c r="R8277" s="42"/>
      <c r="AC8277" s="42"/>
    </row>
    <row r="8278" spans="15:29" x14ac:dyDescent="0.25">
      <c r="O8278" s="42"/>
      <c r="R8278" s="42"/>
      <c r="AC8278" s="42"/>
    </row>
    <row r="8279" spans="15:29" x14ac:dyDescent="0.25">
      <c r="O8279" s="42"/>
      <c r="R8279" s="42"/>
      <c r="AC8279" s="42"/>
    </row>
    <row r="8280" spans="15:29" x14ac:dyDescent="0.25">
      <c r="O8280" s="42"/>
      <c r="R8280" s="42"/>
      <c r="AC8280" s="42"/>
    </row>
    <row r="8281" spans="15:29" x14ac:dyDescent="0.25">
      <c r="O8281" s="42"/>
      <c r="R8281" s="42"/>
      <c r="AC8281" s="42"/>
    </row>
    <row r="8282" spans="15:29" x14ac:dyDescent="0.25">
      <c r="O8282" s="42"/>
      <c r="R8282" s="42"/>
      <c r="AC8282" s="42"/>
    </row>
    <row r="8283" spans="15:29" x14ac:dyDescent="0.25">
      <c r="O8283" s="42"/>
      <c r="R8283" s="42"/>
      <c r="AC8283" s="42"/>
    </row>
    <row r="8284" spans="15:29" x14ac:dyDescent="0.25">
      <c r="O8284" s="42"/>
      <c r="R8284" s="42"/>
      <c r="AC8284" s="42"/>
    </row>
    <row r="8285" spans="15:29" x14ac:dyDescent="0.25">
      <c r="O8285" s="42"/>
      <c r="R8285" s="42"/>
      <c r="AC8285" s="42"/>
    </row>
    <row r="8286" spans="15:29" x14ac:dyDescent="0.25">
      <c r="O8286" s="42"/>
      <c r="R8286" s="42"/>
      <c r="AC8286" s="42"/>
    </row>
    <row r="8287" spans="15:29" x14ac:dyDescent="0.25">
      <c r="O8287" s="42"/>
      <c r="R8287" s="42"/>
      <c r="AC8287" s="42"/>
    </row>
    <row r="8288" spans="15:29" x14ac:dyDescent="0.25">
      <c r="O8288" s="42"/>
      <c r="R8288" s="42"/>
      <c r="AC8288" s="42"/>
    </row>
    <row r="8289" spans="15:29" x14ac:dyDescent="0.25">
      <c r="O8289" s="42"/>
      <c r="R8289" s="42"/>
      <c r="AC8289" s="42"/>
    </row>
    <row r="8290" spans="15:29" x14ac:dyDescent="0.25">
      <c r="O8290" s="42"/>
      <c r="R8290" s="42"/>
      <c r="AC8290" s="42"/>
    </row>
    <row r="8291" spans="15:29" x14ac:dyDescent="0.25">
      <c r="O8291" s="42"/>
      <c r="R8291" s="42"/>
      <c r="AC8291" s="42"/>
    </row>
    <row r="8292" spans="15:29" x14ac:dyDescent="0.25">
      <c r="O8292" s="42"/>
      <c r="R8292" s="42"/>
      <c r="AC8292" s="42"/>
    </row>
    <row r="8293" spans="15:29" x14ac:dyDescent="0.25">
      <c r="O8293" s="42"/>
      <c r="R8293" s="42"/>
      <c r="AC8293" s="42"/>
    </row>
    <row r="8294" spans="15:29" x14ac:dyDescent="0.25">
      <c r="O8294" s="42"/>
      <c r="R8294" s="42"/>
      <c r="AC8294" s="42"/>
    </row>
    <row r="8295" spans="15:29" x14ac:dyDescent="0.25">
      <c r="O8295" s="42"/>
      <c r="R8295" s="42"/>
      <c r="AC8295" s="42"/>
    </row>
    <row r="8296" spans="15:29" x14ac:dyDescent="0.25">
      <c r="O8296" s="42"/>
      <c r="R8296" s="42"/>
      <c r="AC8296" s="42"/>
    </row>
    <row r="8297" spans="15:29" x14ac:dyDescent="0.25">
      <c r="O8297" s="42"/>
      <c r="R8297" s="42"/>
      <c r="AC8297" s="42"/>
    </row>
    <row r="8298" spans="15:29" x14ac:dyDescent="0.25">
      <c r="O8298" s="42"/>
      <c r="R8298" s="42"/>
      <c r="AC8298" s="42"/>
    </row>
    <row r="8299" spans="15:29" x14ac:dyDescent="0.25">
      <c r="O8299" s="42"/>
      <c r="R8299" s="42"/>
      <c r="AC8299" s="42"/>
    </row>
    <row r="8300" spans="15:29" x14ac:dyDescent="0.25">
      <c r="O8300" s="42"/>
      <c r="R8300" s="42"/>
      <c r="AC8300" s="42"/>
    </row>
    <row r="8301" spans="15:29" x14ac:dyDescent="0.25">
      <c r="O8301" s="42"/>
      <c r="R8301" s="42"/>
      <c r="AC8301" s="42"/>
    </row>
    <row r="8302" spans="15:29" x14ac:dyDescent="0.25">
      <c r="O8302" s="42"/>
      <c r="R8302" s="42"/>
      <c r="AC8302" s="42"/>
    </row>
    <row r="8303" spans="15:29" x14ac:dyDescent="0.25">
      <c r="O8303" s="42"/>
      <c r="R8303" s="42"/>
      <c r="AC8303" s="42"/>
    </row>
    <row r="8304" spans="15:29" x14ac:dyDescent="0.25">
      <c r="O8304" s="42"/>
      <c r="R8304" s="42"/>
      <c r="AC8304" s="42"/>
    </row>
    <row r="8305" spans="15:29" x14ac:dyDescent="0.25">
      <c r="O8305" s="42"/>
      <c r="R8305" s="42"/>
      <c r="AC8305" s="42"/>
    </row>
    <row r="8306" spans="15:29" x14ac:dyDescent="0.25">
      <c r="O8306" s="42"/>
      <c r="R8306" s="42"/>
      <c r="AC8306" s="42"/>
    </row>
    <row r="8307" spans="15:29" x14ac:dyDescent="0.25">
      <c r="O8307" s="42"/>
      <c r="R8307" s="42"/>
      <c r="AC8307" s="42"/>
    </row>
    <row r="8308" spans="15:29" x14ac:dyDescent="0.25">
      <c r="O8308" s="42"/>
      <c r="R8308" s="42"/>
      <c r="AC8308" s="42"/>
    </row>
    <row r="8309" spans="15:29" x14ac:dyDescent="0.25">
      <c r="O8309" s="42"/>
      <c r="R8309" s="42"/>
      <c r="AC8309" s="42"/>
    </row>
    <row r="8310" spans="15:29" x14ac:dyDescent="0.25">
      <c r="O8310" s="42"/>
      <c r="R8310" s="42"/>
      <c r="AC8310" s="42"/>
    </row>
    <row r="8311" spans="15:29" x14ac:dyDescent="0.25">
      <c r="O8311" s="42"/>
      <c r="R8311" s="42"/>
      <c r="AC8311" s="42"/>
    </row>
    <row r="8312" spans="15:29" x14ac:dyDescent="0.25">
      <c r="O8312" s="42"/>
      <c r="R8312" s="42"/>
      <c r="AC8312" s="42"/>
    </row>
    <row r="8313" spans="15:29" x14ac:dyDescent="0.25">
      <c r="O8313" s="42"/>
      <c r="R8313" s="42"/>
      <c r="AC8313" s="42"/>
    </row>
    <row r="8314" spans="15:29" x14ac:dyDescent="0.25">
      <c r="O8314" s="42"/>
      <c r="R8314" s="42"/>
      <c r="AC8314" s="42"/>
    </row>
    <row r="8315" spans="15:29" x14ac:dyDescent="0.25">
      <c r="O8315" s="42"/>
      <c r="R8315" s="42"/>
      <c r="AC8315" s="42"/>
    </row>
    <row r="8316" spans="15:29" x14ac:dyDescent="0.25">
      <c r="O8316" s="42"/>
      <c r="R8316" s="42"/>
      <c r="AC8316" s="42"/>
    </row>
    <row r="8317" spans="15:29" x14ac:dyDescent="0.25">
      <c r="O8317" s="42"/>
      <c r="R8317" s="42"/>
      <c r="AC8317" s="42"/>
    </row>
    <row r="8318" spans="15:29" x14ac:dyDescent="0.25">
      <c r="O8318" s="42"/>
      <c r="R8318" s="42"/>
      <c r="AC8318" s="42"/>
    </row>
    <row r="8319" spans="15:29" x14ac:dyDescent="0.25">
      <c r="O8319" s="42"/>
      <c r="R8319" s="42"/>
      <c r="AC8319" s="42"/>
    </row>
    <row r="8320" spans="15:29" x14ac:dyDescent="0.25">
      <c r="O8320" s="42"/>
      <c r="R8320" s="42"/>
      <c r="AC8320" s="42"/>
    </row>
    <row r="8321" spans="15:29" x14ac:dyDescent="0.25">
      <c r="O8321" s="42"/>
      <c r="R8321" s="42"/>
      <c r="AC8321" s="42"/>
    </row>
    <row r="8322" spans="15:29" x14ac:dyDescent="0.25">
      <c r="O8322" s="42"/>
      <c r="R8322" s="42"/>
      <c r="AC8322" s="42"/>
    </row>
    <row r="8323" spans="15:29" x14ac:dyDescent="0.25">
      <c r="O8323" s="42"/>
      <c r="R8323" s="42"/>
      <c r="AC8323" s="42"/>
    </row>
    <row r="8324" spans="15:29" x14ac:dyDescent="0.25">
      <c r="O8324" s="42"/>
      <c r="R8324" s="42"/>
      <c r="AC8324" s="42"/>
    </row>
    <row r="8325" spans="15:29" x14ac:dyDescent="0.25">
      <c r="O8325" s="42"/>
      <c r="R8325" s="42"/>
      <c r="AC8325" s="42"/>
    </row>
    <row r="8326" spans="15:29" x14ac:dyDescent="0.25">
      <c r="O8326" s="42"/>
      <c r="R8326" s="42"/>
      <c r="AC8326" s="42"/>
    </row>
    <row r="8327" spans="15:29" x14ac:dyDescent="0.25">
      <c r="O8327" s="42"/>
      <c r="R8327" s="42"/>
      <c r="AC8327" s="42"/>
    </row>
    <row r="8328" spans="15:29" x14ac:dyDescent="0.25">
      <c r="O8328" s="42"/>
      <c r="R8328" s="42"/>
      <c r="AC8328" s="42"/>
    </row>
    <row r="8329" spans="15:29" x14ac:dyDescent="0.25">
      <c r="O8329" s="42"/>
      <c r="R8329" s="42"/>
      <c r="AC8329" s="42"/>
    </row>
    <row r="8330" spans="15:29" x14ac:dyDescent="0.25">
      <c r="O8330" s="42"/>
      <c r="R8330" s="42"/>
      <c r="AC8330" s="42"/>
    </row>
    <row r="8331" spans="15:29" x14ac:dyDescent="0.25">
      <c r="O8331" s="42"/>
      <c r="R8331" s="42"/>
      <c r="AC8331" s="42"/>
    </row>
    <row r="8332" spans="15:29" x14ac:dyDescent="0.25">
      <c r="O8332" s="42"/>
      <c r="R8332" s="42"/>
      <c r="AC8332" s="42"/>
    </row>
    <row r="8333" spans="15:29" x14ac:dyDescent="0.25">
      <c r="O8333" s="42"/>
      <c r="R8333" s="42"/>
      <c r="AC8333" s="42"/>
    </row>
    <row r="8334" spans="15:29" x14ac:dyDescent="0.25">
      <c r="O8334" s="42"/>
      <c r="R8334" s="42"/>
      <c r="AC8334" s="42"/>
    </row>
    <row r="8335" spans="15:29" x14ac:dyDescent="0.25">
      <c r="O8335" s="42"/>
      <c r="R8335" s="42"/>
      <c r="AC8335" s="42"/>
    </row>
    <row r="8336" spans="15:29" x14ac:dyDescent="0.25">
      <c r="O8336" s="42"/>
      <c r="R8336" s="42"/>
      <c r="AC8336" s="42"/>
    </row>
    <row r="8337" spans="15:29" x14ac:dyDescent="0.25">
      <c r="O8337" s="42"/>
      <c r="R8337" s="42"/>
      <c r="AC8337" s="42"/>
    </row>
    <row r="8338" spans="15:29" x14ac:dyDescent="0.25">
      <c r="O8338" s="42"/>
      <c r="R8338" s="42"/>
      <c r="AC8338" s="42"/>
    </row>
    <row r="8339" spans="15:29" x14ac:dyDescent="0.25">
      <c r="O8339" s="42"/>
      <c r="R8339" s="42"/>
      <c r="AC8339" s="42"/>
    </row>
    <row r="8340" spans="15:29" x14ac:dyDescent="0.25">
      <c r="O8340" s="42"/>
      <c r="R8340" s="42"/>
      <c r="AC8340" s="42"/>
    </row>
    <row r="8341" spans="15:29" x14ac:dyDescent="0.25">
      <c r="O8341" s="42"/>
      <c r="R8341" s="42"/>
      <c r="AC8341" s="42"/>
    </row>
    <row r="8342" spans="15:29" x14ac:dyDescent="0.25">
      <c r="O8342" s="42"/>
      <c r="R8342" s="42"/>
      <c r="AC8342" s="42"/>
    </row>
    <row r="8343" spans="15:29" x14ac:dyDescent="0.25">
      <c r="O8343" s="42"/>
      <c r="R8343" s="42"/>
      <c r="AC8343" s="42"/>
    </row>
    <row r="8344" spans="15:29" x14ac:dyDescent="0.25">
      <c r="O8344" s="42"/>
      <c r="R8344" s="42"/>
      <c r="AC8344" s="42"/>
    </row>
    <row r="8345" spans="15:29" x14ac:dyDescent="0.25">
      <c r="O8345" s="42"/>
      <c r="R8345" s="42"/>
      <c r="AC8345" s="42"/>
    </row>
    <row r="8346" spans="15:29" x14ac:dyDescent="0.25">
      <c r="O8346" s="42"/>
      <c r="R8346" s="42"/>
      <c r="AC8346" s="42"/>
    </row>
    <row r="8347" spans="15:29" x14ac:dyDescent="0.25">
      <c r="O8347" s="42"/>
      <c r="R8347" s="42"/>
      <c r="AC8347" s="42"/>
    </row>
    <row r="8348" spans="15:29" x14ac:dyDescent="0.25">
      <c r="O8348" s="42"/>
      <c r="R8348" s="42"/>
      <c r="AC8348" s="42"/>
    </row>
    <row r="8349" spans="15:29" x14ac:dyDescent="0.25">
      <c r="O8349" s="42"/>
      <c r="R8349" s="42"/>
      <c r="AC8349" s="42"/>
    </row>
    <row r="8350" spans="15:29" x14ac:dyDescent="0.25">
      <c r="O8350" s="42"/>
      <c r="R8350" s="42"/>
      <c r="AC8350" s="42"/>
    </row>
    <row r="8351" spans="15:29" x14ac:dyDescent="0.25">
      <c r="O8351" s="42"/>
      <c r="R8351" s="42"/>
      <c r="AC8351" s="42"/>
    </row>
    <row r="8352" spans="15:29" x14ac:dyDescent="0.25">
      <c r="O8352" s="42"/>
      <c r="R8352" s="42"/>
      <c r="AC8352" s="42"/>
    </row>
    <row r="8353" spans="15:29" x14ac:dyDescent="0.25">
      <c r="O8353" s="42"/>
      <c r="R8353" s="42"/>
      <c r="AC8353" s="42"/>
    </row>
    <row r="8354" spans="15:29" x14ac:dyDescent="0.25">
      <c r="O8354" s="42"/>
      <c r="R8354" s="42"/>
      <c r="AC8354" s="42"/>
    </row>
    <row r="8355" spans="15:29" x14ac:dyDescent="0.25">
      <c r="O8355" s="42"/>
      <c r="R8355" s="42"/>
      <c r="AC8355" s="42"/>
    </row>
    <row r="8356" spans="15:29" x14ac:dyDescent="0.25">
      <c r="O8356" s="42"/>
      <c r="R8356" s="42"/>
      <c r="AC8356" s="42"/>
    </row>
    <row r="8357" spans="15:29" x14ac:dyDescent="0.25">
      <c r="O8357" s="42"/>
      <c r="R8357" s="42"/>
      <c r="AC8357" s="42"/>
    </row>
    <row r="8358" spans="15:29" x14ac:dyDescent="0.25">
      <c r="O8358" s="42"/>
      <c r="R8358" s="42"/>
      <c r="AC8358" s="42"/>
    </row>
    <row r="8359" spans="15:29" x14ac:dyDescent="0.25">
      <c r="O8359" s="42"/>
      <c r="R8359" s="42"/>
      <c r="AC8359" s="42"/>
    </row>
    <row r="8360" spans="15:29" x14ac:dyDescent="0.25">
      <c r="O8360" s="42"/>
      <c r="R8360" s="42"/>
      <c r="AC8360" s="42"/>
    </row>
    <row r="8361" spans="15:29" x14ac:dyDescent="0.25">
      <c r="O8361" s="42"/>
      <c r="R8361" s="42"/>
      <c r="AC8361" s="42"/>
    </row>
    <row r="8362" spans="15:29" x14ac:dyDescent="0.25">
      <c r="O8362" s="42"/>
      <c r="R8362" s="42"/>
      <c r="AC8362" s="42"/>
    </row>
    <row r="8363" spans="15:29" x14ac:dyDescent="0.25">
      <c r="O8363" s="42"/>
      <c r="R8363" s="42"/>
      <c r="AC8363" s="42"/>
    </row>
    <row r="8364" spans="15:29" x14ac:dyDescent="0.25">
      <c r="O8364" s="42"/>
      <c r="R8364" s="42"/>
      <c r="AC8364" s="42"/>
    </row>
    <row r="8365" spans="15:29" x14ac:dyDescent="0.25">
      <c r="O8365" s="42"/>
      <c r="R8365" s="42"/>
      <c r="AC8365" s="42"/>
    </row>
    <row r="8366" spans="15:29" x14ac:dyDescent="0.25">
      <c r="O8366" s="42"/>
      <c r="R8366" s="42"/>
      <c r="AC8366" s="42"/>
    </row>
    <row r="8367" spans="15:29" x14ac:dyDescent="0.25">
      <c r="O8367" s="42"/>
      <c r="R8367" s="42"/>
      <c r="AC8367" s="42"/>
    </row>
    <row r="8368" spans="15:29" x14ac:dyDescent="0.25">
      <c r="O8368" s="42"/>
      <c r="R8368" s="42"/>
      <c r="AC8368" s="42"/>
    </row>
    <row r="8369" spans="15:29" x14ac:dyDescent="0.25">
      <c r="O8369" s="42"/>
      <c r="R8369" s="42"/>
      <c r="AC8369" s="42"/>
    </row>
    <row r="8370" spans="15:29" x14ac:dyDescent="0.25">
      <c r="O8370" s="42"/>
      <c r="R8370" s="42"/>
      <c r="AC8370" s="42"/>
    </row>
    <row r="8371" spans="15:29" x14ac:dyDescent="0.25">
      <c r="O8371" s="42"/>
      <c r="R8371" s="42"/>
      <c r="AC8371" s="42"/>
    </row>
    <row r="8372" spans="15:29" x14ac:dyDescent="0.25">
      <c r="O8372" s="42"/>
      <c r="R8372" s="42"/>
      <c r="AC8372" s="42"/>
    </row>
    <row r="8373" spans="15:29" x14ac:dyDescent="0.25">
      <c r="O8373" s="42"/>
      <c r="R8373" s="42"/>
      <c r="AC8373" s="42"/>
    </row>
    <row r="8374" spans="15:29" x14ac:dyDescent="0.25">
      <c r="O8374" s="42"/>
      <c r="R8374" s="42"/>
      <c r="AC8374" s="42"/>
    </row>
    <row r="8375" spans="15:29" x14ac:dyDescent="0.25">
      <c r="O8375" s="42"/>
      <c r="R8375" s="42"/>
      <c r="AC8375" s="42"/>
    </row>
    <row r="8376" spans="15:29" x14ac:dyDescent="0.25">
      <c r="O8376" s="42"/>
      <c r="R8376" s="42"/>
      <c r="AC8376" s="42"/>
    </row>
    <row r="8377" spans="15:29" x14ac:dyDescent="0.25">
      <c r="O8377" s="42"/>
      <c r="R8377" s="42"/>
      <c r="AC8377" s="42"/>
    </row>
    <row r="8378" spans="15:29" x14ac:dyDescent="0.25">
      <c r="O8378" s="42"/>
      <c r="R8378" s="42"/>
      <c r="AC8378" s="42"/>
    </row>
    <row r="8379" spans="15:29" x14ac:dyDescent="0.25">
      <c r="O8379" s="42"/>
      <c r="R8379" s="42"/>
      <c r="AC8379" s="42"/>
    </row>
    <row r="8380" spans="15:29" x14ac:dyDescent="0.25">
      <c r="O8380" s="42"/>
      <c r="R8380" s="42"/>
      <c r="AC8380" s="42"/>
    </row>
    <row r="8381" spans="15:29" x14ac:dyDescent="0.25">
      <c r="O8381" s="42"/>
      <c r="R8381" s="42"/>
      <c r="AC8381" s="42"/>
    </row>
    <row r="8382" spans="15:29" x14ac:dyDescent="0.25">
      <c r="O8382" s="42"/>
      <c r="R8382" s="42"/>
      <c r="AC8382" s="42"/>
    </row>
    <row r="8383" spans="15:29" x14ac:dyDescent="0.25">
      <c r="O8383" s="42"/>
      <c r="R8383" s="42"/>
      <c r="AC8383" s="42"/>
    </row>
    <row r="8384" spans="15:29" x14ac:dyDescent="0.25">
      <c r="O8384" s="42"/>
      <c r="R8384" s="42"/>
      <c r="AC8384" s="42"/>
    </row>
    <row r="8385" spans="15:29" x14ac:dyDescent="0.25">
      <c r="O8385" s="42"/>
      <c r="R8385" s="42"/>
      <c r="AC8385" s="42"/>
    </row>
    <row r="8386" spans="15:29" x14ac:dyDescent="0.25">
      <c r="O8386" s="42"/>
      <c r="R8386" s="42"/>
      <c r="AC8386" s="42"/>
    </row>
    <row r="8387" spans="15:29" x14ac:dyDescent="0.25">
      <c r="O8387" s="42"/>
      <c r="R8387" s="42"/>
      <c r="AC8387" s="42"/>
    </row>
    <row r="8388" spans="15:29" x14ac:dyDescent="0.25">
      <c r="O8388" s="42"/>
      <c r="R8388" s="42"/>
      <c r="AC8388" s="42"/>
    </row>
    <row r="8389" spans="15:29" x14ac:dyDescent="0.25">
      <c r="O8389" s="42"/>
      <c r="R8389" s="42"/>
      <c r="AC8389" s="42"/>
    </row>
    <row r="8390" spans="15:29" x14ac:dyDescent="0.25">
      <c r="O8390" s="42"/>
      <c r="R8390" s="42"/>
      <c r="AC8390" s="42"/>
    </row>
    <row r="8391" spans="15:29" x14ac:dyDescent="0.25">
      <c r="O8391" s="42"/>
      <c r="R8391" s="42"/>
      <c r="AC8391" s="42"/>
    </row>
    <row r="8392" spans="15:29" x14ac:dyDescent="0.25">
      <c r="O8392" s="42"/>
      <c r="R8392" s="42"/>
      <c r="AC8392" s="42"/>
    </row>
    <row r="8393" spans="15:29" x14ac:dyDescent="0.25">
      <c r="O8393" s="42"/>
      <c r="R8393" s="42"/>
      <c r="AC8393" s="42"/>
    </row>
    <row r="8394" spans="15:29" x14ac:dyDescent="0.25">
      <c r="O8394" s="42"/>
      <c r="R8394" s="42"/>
      <c r="AC8394" s="42"/>
    </row>
    <row r="8395" spans="15:29" x14ac:dyDescent="0.25">
      <c r="O8395" s="42"/>
      <c r="R8395" s="42"/>
      <c r="AC8395" s="42"/>
    </row>
    <row r="8396" spans="15:29" x14ac:dyDescent="0.25">
      <c r="O8396" s="42"/>
      <c r="R8396" s="42"/>
      <c r="AC8396" s="42"/>
    </row>
    <row r="8397" spans="15:29" x14ac:dyDescent="0.25">
      <c r="O8397" s="42"/>
      <c r="R8397" s="42"/>
      <c r="AC8397" s="42"/>
    </row>
    <row r="8398" spans="15:29" x14ac:dyDescent="0.25">
      <c r="O8398" s="42"/>
      <c r="R8398" s="42"/>
      <c r="AC8398" s="42"/>
    </row>
    <row r="8399" spans="15:29" x14ac:dyDescent="0.25">
      <c r="O8399" s="42"/>
      <c r="R8399" s="42"/>
      <c r="AC8399" s="42"/>
    </row>
    <row r="8400" spans="15:29" x14ac:dyDescent="0.25">
      <c r="O8400" s="42"/>
      <c r="R8400" s="42"/>
      <c r="AC8400" s="42"/>
    </row>
    <row r="8401" spans="15:29" x14ac:dyDescent="0.25">
      <c r="O8401" s="42"/>
      <c r="R8401" s="42"/>
      <c r="AC8401" s="42"/>
    </row>
    <row r="8402" spans="15:29" x14ac:dyDescent="0.25">
      <c r="O8402" s="42"/>
      <c r="R8402" s="42"/>
      <c r="AC8402" s="42"/>
    </row>
    <row r="8403" spans="15:29" x14ac:dyDescent="0.25">
      <c r="O8403" s="42"/>
      <c r="R8403" s="42"/>
      <c r="AC8403" s="42"/>
    </row>
    <row r="8404" spans="15:29" x14ac:dyDescent="0.25">
      <c r="O8404" s="42"/>
      <c r="R8404" s="42"/>
      <c r="AC8404" s="42"/>
    </row>
    <row r="8405" spans="15:29" x14ac:dyDescent="0.25">
      <c r="O8405" s="42"/>
      <c r="R8405" s="42"/>
      <c r="AC8405" s="42"/>
    </row>
    <row r="8406" spans="15:29" x14ac:dyDescent="0.25">
      <c r="O8406" s="42"/>
      <c r="R8406" s="42"/>
      <c r="AC8406" s="42"/>
    </row>
    <row r="8407" spans="15:29" x14ac:dyDescent="0.25">
      <c r="O8407" s="42"/>
      <c r="R8407" s="42"/>
      <c r="AC8407" s="42"/>
    </row>
    <row r="8408" spans="15:29" x14ac:dyDescent="0.25">
      <c r="O8408" s="42"/>
      <c r="R8408" s="42"/>
      <c r="AC8408" s="42"/>
    </row>
    <row r="8409" spans="15:29" x14ac:dyDescent="0.25">
      <c r="O8409" s="42"/>
      <c r="R8409" s="42"/>
      <c r="AC8409" s="42"/>
    </row>
    <row r="8410" spans="15:29" x14ac:dyDescent="0.25">
      <c r="O8410" s="42"/>
      <c r="R8410" s="42"/>
      <c r="AC8410" s="42"/>
    </row>
    <row r="8411" spans="15:29" x14ac:dyDescent="0.25">
      <c r="O8411" s="42"/>
      <c r="R8411" s="42"/>
      <c r="AC8411" s="42"/>
    </row>
    <row r="8412" spans="15:29" x14ac:dyDescent="0.25">
      <c r="O8412" s="42"/>
      <c r="R8412" s="42"/>
      <c r="AC8412" s="42"/>
    </row>
    <row r="8413" spans="15:29" x14ac:dyDescent="0.25">
      <c r="O8413" s="42"/>
      <c r="R8413" s="42"/>
      <c r="AC8413" s="42"/>
    </row>
    <row r="8414" spans="15:29" x14ac:dyDescent="0.25">
      <c r="O8414" s="42"/>
      <c r="R8414" s="42"/>
      <c r="AC8414" s="42"/>
    </row>
    <row r="8415" spans="15:29" x14ac:dyDescent="0.25">
      <c r="O8415" s="42"/>
      <c r="R8415" s="42"/>
      <c r="AC8415" s="42"/>
    </row>
    <row r="8416" spans="15:29" x14ac:dyDescent="0.25">
      <c r="O8416" s="42"/>
      <c r="R8416" s="42"/>
      <c r="AC8416" s="42"/>
    </row>
    <row r="8417" spans="15:29" x14ac:dyDescent="0.25">
      <c r="O8417" s="42"/>
      <c r="R8417" s="42"/>
      <c r="AC8417" s="42"/>
    </row>
    <row r="8418" spans="15:29" x14ac:dyDescent="0.25">
      <c r="O8418" s="42"/>
      <c r="R8418" s="42"/>
      <c r="AC8418" s="42"/>
    </row>
    <row r="8419" spans="15:29" x14ac:dyDescent="0.25">
      <c r="O8419" s="42"/>
      <c r="R8419" s="42"/>
      <c r="AC8419" s="42"/>
    </row>
    <row r="8420" spans="15:29" x14ac:dyDescent="0.25">
      <c r="O8420" s="42"/>
      <c r="R8420" s="42"/>
      <c r="AC8420" s="42"/>
    </row>
    <row r="8421" spans="15:29" x14ac:dyDescent="0.25">
      <c r="O8421" s="42"/>
      <c r="R8421" s="42"/>
      <c r="AC8421" s="42"/>
    </row>
    <row r="8422" spans="15:29" x14ac:dyDescent="0.25">
      <c r="O8422" s="42"/>
      <c r="R8422" s="42"/>
      <c r="AC8422" s="42"/>
    </row>
    <row r="8423" spans="15:29" x14ac:dyDescent="0.25">
      <c r="O8423" s="42"/>
      <c r="R8423" s="42"/>
      <c r="AC8423" s="42"/>
    </row>
    <row r="8424" spans="15:29" x14ac:dyDescent="0.25">
      <c r="O8424" s="42"/>
      <c r="R8424" s="42"/>
      <c r="AC8424" s="42"/>
    </row>
    <row r="8425" spans="15:29" x14ac:dyDescent="0.25">
      <c r="O8425" s="42"/>
      <c r="R8425" s="42"/>
      <c r="AC8425" s="42"/>
    </row>
    <row r="8426" spans="15:29" x14ac:dyDescent="0.25">
      <c r="O8426" s="42"/>
      <c r="R8426" s="42"/>
      <c r="AC8426" s="42"/>
    </row>
    <row r="8427" spans="15:29" x14ac:dyDescent="0.25">
      <c r="O8427" s="42"/>
      <c r="R8427" s="42"/>
      <c r="AC8427" s="42"/>
    </row>
    <row r="8428" spans="15:29" x14ac:dyDescent="0.25">
      <c r="O8428" s="42"/>
      <c r="R8428" s="42"/>
      <c r="AC8428" s="42"/>
    </row>
    <row r="8429" spans="15:29" x14ac:dyDescent="0.25">
      <c r="O8429" s="42"/>
      <c r="R8429" s="42"/>
      <c r="AC8429" s="42"/>
    </row>
    <row r="8430" spans="15:29" x14ac:dyDescent="0.25">
      <c r="O8430" s="42"/>
      <c r="R8430" s="42"/>
      <c r="AC8430" s="42"/>
    </row>
    <row r="8431" spans="15:29" x14ac:dyDescent="0.25">
      <c r="O8431" s="42"/>
      <c r="R8431" s="42"/>
      <c r="AC8431" s="42"/>
    </row>
    <row r="8432" spans="15:29" x14ac:dyDescent="0.25">
      <c r="O8432" s="42"/>
      <c r="R8432" s="42"/>
      <c r="AC8432" s="42"/>
    </row>
    <row r="8433" spans="15:29" x14ac:dyDescent="0.25">
      <c r="O8433" s="42"/>
      <c r="R8433" s="42"/>
      <c r="AC8433" s="42"/>
    </row>
    <row r="8434" spans="15:29" x14ac:dyDescent="0.25">
      <c r="O8434" s="42"/>
      <c r="R8434" s="42"/>
      <c r="AC8434" s="42"/>
    </row>
    <row r="8435" spans="15:29" x14ac:dyDescent="0.25">
      <c r="O8435" s="42"/>
      <c r="R8435" s="42"/>
      <c r="AC8435" s="42"/>
    </row>
    <row r="8436" spans="15:29" x14ac:dyDescent="0.25">
      <c r="O8436" s="42"/>
      <c r="R8436" s="42"/>
      <c r="AC8436" s="42"/>
    </row>
    <row r="8437" spans="15:29" x14ac:dyDescent="0.25">
      <c r="O8437" s="42"/>
      <c r="R8437" s="42"/>
      <c r="AC8437" s="42"/>
    </row>
    <row r="8438" spans="15:29" x14ac:dyDescent="0.25">
      <c r="O8438" s="42"/>
      <c r="R8438" s="42"/>
      <c r="AC8438" s="42"/>
    </row>
    <row r="8439" spans="15:29" x14ac:dyDescent="0.25">
      <c r="O8439" s="42"/>
      <c r="R8439" s="42"/>
      <c r="AC8439" s="42"/>
    </row>
    <row r="8440" spans="15:29" x14ac:dyDescent="0.25">
      <c r="O8440" s="42"/>
      <c r="R8440" s="42"/>
      <c r="AC8440" s="42"/>
    </row>
    <row r="8441" spans="15:29" x14ac:dyDescent="0.25">
      <c r="O8441" s="42"/>
      <c r="R8441" s="42"/>
      <c r="AC8441" s="42"/>
    </row>
    <row r="8442" spans="15:29" x14ac:dyDescent="0.25">
      <c r="O8442" s="42"/>
      <c r="R8442" s="42"/>
      <c r="AC8442" s="42"/>
    </row>
    <row r="8443" spans="15:29" x14ac:dyDescent="0.25">
      <c r="O8443" s="42"/>
      <c r="R8443" s="42"/>
      <c r="AC8443" s="42"/>
    </row>
    <row r="8444" spans="15:29" x14ac:dyDescent="0.25">
      <c r="O8444" s="42"/>
      <c r="R8444" s="42"/>
      <c r="AC8444" s="42"/>
    </row>
    <row r="8445" spans="15:29" x14ac:dyDescent="0.25">
      <c r="O8445" s="42"/>
      <c r="R8445" s="42"/>
      <c r="AC8445" s="42"/>
    </row>
    <row r="8446" spans="15:29" x14ac:dyDescent="0.25">
      <c r="O8446" s="42"/>
      <c r="R8446" s="42"/>
      <c r="AC8446" s="42"/>
    </row>
    <row r="8447" spans="15:29" x14ac:dyDescent="0.25">
      <c r="O8447" s="42"/>
      <c r="R8447" s="42"/>
      <c r="AC8447" s="42"/>
    </row>
    <row r="8448" spans="15:29" x14ac:dyDescent="0.25">
      <c r="O8448" s="42"/>
      <c r="R8448" s="42"/>
      <c r="AC8448" s="42"/>
    </row>
    <row r="8449" spans="15:29" x14ac:dyDescent="0.25">
      <c r="O8449" s="42"/>
      <c r="R8449" s="42"/>
      <c r="AC8449" s="42"/>
    </row>
    <row r="8450" spans="15:29" x14ac:dyDescent="0.25">
      <c r="O8450" s="42"/>
      <c r="R8450" s="42"/>
      <c r="AC8450" s="42"/>
    </row>
    <row r="8451" spans="15:29" x14ac:dyDescent="0.25">
      <c r="O8451" s="42"/>
      <c r="R8451" s="42"/>
      <c r="AC8451" s="42"/>
    </row>
    <row r="8452" spans="15:29" x14ac:dyDescent="0.25">
      <c r="O8452" s="42"/>
      <c r="R8452" s="42"/>
      <c r="AC8452" s="42"/>
    </row>
    <row r="8453" spans="15:29" x14ac:dyDescent="0.25">
      <c r="O8453" s="42"/>
      <c r="R8453" s="42"/>
      <c r="AC8453" s="42"/>
    </row>
    <row r="8454" spans="15:29" x14ac:dyDescent="0.25">
      <c r="O8454" s="42"/>
      <c r="R8454" s="42"/>
      <c r="AC8454" s="42"/>
    </row>
    <row r="8455" spans="15:29" x14ac:dyDescent="0.25">
      <c r="O8455" s="42"/>
      <c r="R8455" s="42"/>
      <c r="AC8455" s="42"/>
    </row>
    <row r="8456" spans="15:29" x14ac:dyDescent="0.25">
      <c r="O8456" s="42"/>
      <c r="R8456" s="42"/>
      <c r="AC8456" s="42"/>
    </row>
    <row r="8457" spans="15:29" x14ac:dyDescent="0.25">
      <c r="O8457" s="42"/>
      <c r="R8457" s="42"/>
      <c r="AC8457" s="42"/>
    </row>
    <row r="8458" spans="15:29" x14ac:dyDescent="0.25">
      <c r="O8458" s="42"/>
      <c r="R8458" s="42"/>
      <c r="AC8458" s="42"/>
    </row>
    <row r="8459" spans="15:29" x14ac:dyDescent="0.25">
      <c r="O8459" s="42"/>
      <c r="R8459" s="42"/>
      <c r="AC8459" s="42"/>
    </row>
    <row r="8460" spans="15:29" x14ac:dyDescent="0.25">
      <c r="O8460" s="42"/>
      <c r="R8460" s="42"/>
      <c r="AC8460" s="42"/>
    </row>
    <row r="8461" spans="15:29" x14ac:dyDescent="0.25">
      <c r="O8461" s="42"/>
      <c r="R8461" s="42"/>
      <c r="AC8461" s="42"/>
    </row>
    <row r="8462" spans="15:29" x14ac:dyDescent="0.25">
      <c r="O8462" s="42"/>
      <c r="R8462" s="42"/>
      <c r="AC8462" s="42"/>
    </row>
    <row r="8463" spans="15:29" x14ac:dyDescent="0.25">
      <c r="O8463" s="42"/>
      <c r="R8463" s="42"/>
      <c r="AC8463" s="42"/>
    </row>
    <row r="8464" spans="15:29" x14ac:dyDescent="0.25">
      <c r="O8464" s="42"/>
      <c r="R8464" s="42"/>
      <c r="AC8464" s="42"/>
    </row>
    <row r="8465" spans="15:29" x14ac:dyDescent="0.25">
      <c r="O8465" s="42"/>
      <c r="R8465" s="42"/>
      <c r="AC8465" s="42"/>
    </row>
    <row r="8466" spans="15:29" x14ac:dyDescent="0.25">
      <c r="O8466" s="42"/>
      <c r="R8466" s="42"/>
      <c r="AC8466" s="42"/>
    </row>
    <row r="8467" spans="15:29" x14ac:dyDescent="0.25">
      <c r="O8467" s="42"/>
      <c r="R8467" s="42"/>
      <c r="AC8467" s="42"/>
    </row>
    <row r="8468" spans="15:29" x14ac:dyDescent="0.25">
      <c r="O8468" s="42"/>
      <c r="R8468" s="42"/>
      <c r="AC8468" s="42"/>
    </row>
    <row r="8469" spans="15:29" x14ac:dyDescent="0.25">
      <c r="O8469" s="42"/>
      <c r="R8469" s="42"/>
      <c r="AC8469" s="42"/>
    </row>
    <row r="8470" spans="15:29" x14ac:dyDescent="0.25">
      <c r="O8470" s="42"/>
      <c r="R8470" s="42"/>
      <c r="AC8470" s="42"/>
    </row>
    <row r="8471" spans="15:29" x14ac:dyDescent="0.25">
      <c r="O8471" s="42"/>
      <c r="R8471" s="42"/>
      <c r="AC8471" s="42"/>
    </row>
    <row r="8472" spans="15:29" x14ac:dyDescent="0.25">
      <c r="O8472" s="42"/>
      <c r="R8472" s="42"/>
      <c r="AC8472" s="42"/>
    </row>
    <row r="8473" spans="15:29" x14ac:dyDescent="0.25">
      <c r="O8473" s="42"/>
      <c r="R8473" s="42"/>
      <c r="AC8473" s="42"/>
    </row>
    <row r="8474" spans="15:29" x14ac:dyDescent="0.25">
      <c r="O8474" s="42"/>
      <c r="R8474" s="42"/>
      <c r="AC8474" s="42"/>
    </row>
    <row r="8475" spans="15:29" x14ac:dyDescent="0.25">
      <c r="O8475" s="42"/>
      <c r="R8475" s="42"/>
      <c r="AC8475" s="42"/>
    </row>
    <row r="8476" spans="15:29" x14ac:dyDescent="0.25">
      <c r="O8476" s="42"/>
      <c r="R8476" s="42"/>
      <c r="AC8476" s="42"/>
    </row>
    <row r="8477" spans="15:29" x14ac:dyDescent="0.25">
      <c r="O8477" s="42"/>
      <c r="R8477" s="42"/>
      <c r="AC8477" s="42"/>
    </row>
    <row r="8478" spans="15:29" x14ac:dyDescent="0.25">
      <c r="O8478" s="42"/>
      <c r="R8478" s="42"/>
      <c r="AC8478" s="42"/>
    </row>
    <row r="8479" spans="15:29" x14ac:dyDescent="0.25">
      <c r="O8479" s="42"/>
      <c r="R8479" s="42"/>
      <c r="AC8479" s="42"/>
    </row>
    <row r="8480" spans="15:29" x14ac:dyDescent="0.25">
      <c r="O8480" s="42"/>
      <c r="R8480" s="42"/>
      <c r="AC8480" s="42"/>
    </row>
    <row r="8481" spans="15:29" x14ac:dyDescent="0.25">
      <c r="O8481" s="42"/>
      <c r="R8481" s="42"/>
      <c r="AC8481" s="42"/>
    </row>
    <row r="8482" spans="15:29" x14ac:dyDescent="0.25">
      <c r="O8482" s="42"/>
      <c r="R8482" s="42"/>
      <c r="AC8482" s="42"/>
    </row>
    <row r="8483" spans="15:29" x14ac:dyDescent="0.25">
      <c r="O8483" s="42"/>
      <c r="R8483" s="42"/>
      <c r="AC8483" s="42"/>
    </row>
    <row r="8484" spans="15:29" x14ac:dyDescent="0.25">
      <c r="O8484" s="42"/>
      <c r="R8484" s="42"/>
      <c r="AC8484" s="42"/>
    </row>
    <row r="8485" spans="15:29" x14ac:dyDescent="0.25">
      <c r="O8485" s="42"/>
      <c r="R8485" s="42"/>
      <c r="AC8485" s="42"/>
    </row>
    <row r="8486" spans="15:29" x14ac:dyDescent="0.25">
      <c r="O8486" s="42"/>
      <c r="R8486" s="42"/>
      <c r="AC8486" s="42"/>
    </row>
    <row r="8487" spans="15:29" x14ac:dyDescent="0.25">
      <c r="O8487" s="42"/>
      <c r="R8487" s="42"/>
      <c r="AC8487" s="42"/>
    </row>
    <row r="8488" spans="15:29" x14ac:dyDescent="0.25">
      <c r="O8488" s="42"/>
      <c r="R8488" s="42"/>
      <c r="AC8488" s="42"/>
    </row>
    <row r="8489" spans="15:29" x14ac:dyDescent="0.25">
      <c r="O8489" s="42"/>
      <c r="R8489" s="42"/>
      <c r="AC8489" s="42"/>
    </row>
    <row r="8490" spans="15:29" x14ac:dyDescent="0.25">
      <c r="O8490" s="42"/>
      <c r="R8490" s="42"/>
      <c r="AC8490" s="42"/>
    </row>
    <row r="8491" spans="15:29" x14ac:dyDescent="0.25">
      <c r="O8491" s="42"/>
      <c r="R8491" s="42"/>
      <c r="AC8491" s="42"/>
    </row>
    <row r="8492" spans="15:29" x14ac:dyDescent="0.25">
      <c r="O8492" s="42"/>
      <c r="R8492" s="42"/>
      <c r="AC8492" s="42"/>
    </row>
    <row r="8493" spans="15:29" x14ac:dyDescent="0.25">
      <c r="O8493" s="42"/>
      <c r="R8493" s="42"/>
      <c r="AC8493" s="42"/>
    </row>
    <row r="8494" spans="15:29" x14ac:dyDescent="0.25">
      <c r="O8494" s="42"/>
      <c r="R8494" s="42"/>
      <c r="AC8494" s="42"/>
    </row>
    <row r="8495" spans="15:29" x14ac:dyDescent="0.25">
      <c r="O8495" s="42"/>
      <c r="R8495" s="42"/>
      <c r="AC8495" s="42"/>
    </row>
    <row r="8496" spans="15:29" x14ac:dyDescent="0.25">
      <c r="O8496" s="42"/>
      <c r="R8496" s="42"/>
      <c r="AC8496" s="42"/>
    </row>
    <row r="8497" spans="15:29" x14ac:dyDescent="0.25">
      <c r="O8497" s="42"/>
      <c r="R8497" s="42"/>
      <c r="AC8497" s="42"/>
    </row>
    <row r="8498" spans="15:29" x14ac:dyDescent="0.25">
      <c r="O8498" s="42"/>
      <c r="R8498" s="42"/>
      <c r="AC8498" s="42"/>
    </row>
    <row r="8499" spans="15:29" x14ac:dyDescent="0.25">
      <c r="O8499" s="42"/>
      <c r="R8499" s="42"/>
      <c r="AC8499" s="42"/>
    </row>
    <row r="8500" spans="15:29" x14ac:dyDescent="0.25">
      <c r="O8500" s="42"/>
      <c r="R8500" s="42"/>
      <c r="AC8500" s="42"/>
    </row>
    <row r="8501" spans="15:29" x14ac:dyDescent="0.25">
      <c r="O8501" s="42"/>
      <c r="R8501" s="42"/>
      <c r="AC8501" s="42"/>
    </row>
    <row r="8502" spans="15:29" x14ac:dyDescent="0.25">
      <c r="O8502" s="42"/>
      <c r="R8502" s="42"/>
      <c r="AC8502" s="42"/>
    </row>
    <row r="8503" spans="15:29" x14ac:dyDescent="0.25">
      <c r="O8503" s="42"/>
      <c r="R8503" s="42"/>
      <c r="AC8503" s="42"/>
    </row>
    <row r="8504" spans="15:29" x14ac:dyDescent="0.25">
      <c r="O8504" s="42"/>
      <c r="R8504" s="42"/>
      <c r="AC8504" s="42"/>
    </row>
    <row r="8505" spans="15:29" x14ac:dyDescent="0.25">
      <c r="O8505" s="42"/>
      <c r="R8505" s="42"/>
      <c r="AC8505" s="42"/>
    </row>
    <row r="8506" spans="15:29" x14ac:dyDescent="0.25">
      <c r="O8506" s="42"/>
      <c r="R8506" s="42"/>
      <c r="AC8506" s="42"/>
    </row>
    <row r="8507" spans="15:29" x14ac:dyDescent="0.25">
      <c r="O8507" s="42"/>
      <c r="R8507" s="42"/>
      <c r="AC8507" s="42"/>
    </row>
    <row r="8508" spans="15:29" x14ac:dyDescent="0.25">
      <c r="O8508" s="42"/>
      <c r="R8508" s="42"/>
      <c r="AC8508" s="42"/>
    </row>
    <row r="8509" spans="15:29" x14ac:dyDescent="0.25">
      <c r="O8509" s="42"/>
      <c r="R8509" s="42"/>
      <c r="AC8509" s="42"/>
    </row>
    <row r="8510" spans="15:29" x14ac:dyDescent="0.25">
      <c r="O8510" s="42"/>
      <c r="R8510" s="42"/>
      <c r="AC8510" s="42"/>
    </row>
    <row r="8511" spans="15:29" x14ac:dyDescent="0.25">
      <c r="O8511" s="42"/>
      <c r="R8511" s="42"/>
      <c r="AC8511" s="42"/>
    </row>
    <row r="8512" spans="15:29" x14ac:dyDescent="0.25">
      <c r="O8512" s="42"/>
      <c r="R8512" s="42"/>
      <c r="AC8512" s="42"/>
    </row>
    <row r="8513" spans="15:29" x14ac:dyDescent="0.25">
      <c r="O8513" s="42"/>
      <c r="R8513" s="42"/>
      <c r="AC8513" s="42"/>
    </row>
    <row r="8514" spans="15:29" x14ac:dyDescent="0.25">
      <c r="O8514" s="42"/>
      <c r="R8514" s="42"/>
      <c r="AC8514" s="42"/>
    </row>
    <row r="8515" spans="15:29" x14ac:dyDescent="0.25">
      <c r="O8515" s="42"/>
      <c r="R8515" s="42"/>
      <c r="AC8515" s="42"/>
    </row>
    <row r="8516" spans="15:29" x14ac:dyDescent="0.25">
      <c r="O8516" s="42"/>
      <c r="R8516" s="42"/>
      <c r="AC8516" s="42"/>
    </row>
    <row r="8517" spans="15:29" x14ac:dyDescent="0.25">
      <c r="O8517" s="42"/>
      <c r="R8517" s="42"/>
      <c r="AC8517" s="42"/>
    </row>
    <row r="8518" spans="15:29" x14ac:dyDescent="0.25">
      <c r="O8518" s="42"/>
      <c r="R8518" s="42"/>
      <c r="AC8518" s="42"/>
    </row>
    <row r="8519" spans="15:29" x14ac:dyDescent="0.25">
      <c r="O8519" s="42"/>
      <c r="R8519" s="42"/>
      <c r="AC8519" s="42"/>
    </row>
    <row r="8520" spans="15:29" x14ac:dyDescent="0.25">
      <c r="O8520" s="42"/>
      <c r="R8520" s="42"/>
      <c r="AC8520" s="42"/>
    </row>
    <row r="8521" spans="15:29" x14ac:dyDescent="0.25">
      <c r="O8521" s="42"/>
      <c r="R8521" s="42"/>
      <c r="AC8521" s="42"/>
    </row>
    <row r="8522" spans="15:29" x14ac:dyDescent="0.25">
      <c r="O8522" s="42"/>
      <c r="R8522" s="42"/>
      <c r="AC8522" s="42"/>
    </row>
    <row r="8523" spans="15:29" x14ac:dyDescent="0.25">
      <c r="O8523" s="42"/>
      <c r="R8523" s="42"/>
      <c r="AC8523" s="42"/>
    </row>
    <row r="8524" spans="15:29" x14ac:dyDescent="0.25">
      <c r="O8524" s="42"/>
      <c r="R8524" s="42"/>
      <c r="AC8524" s="42"/>
    </row>
    <row r="8525" spans="15:29" x14ac:dyDescent="0.25">
      <c r="O8525" s="42"/>
      <c r="R8525" s="42"/>
      <c r="AC8525" s="42"/>
    </row>
    <row r="8526" spans="15:29" x14ac:dyDescent="0.25">
      <c r="O8526" s="42"/>
      <c r="R8526" s="42"/>
      <c r="AC8526" s="42"/>
    </row>
    <row r="8527" spans="15:29" x14ac:dyDescent="0.25">
      <c r="O8527" s="42"/>
      <c r="R8527" s="42"/>
      <c r="AC8527" s="42"/>
    </row>
    <row r="8528" spans="15:29" x14ac:dyDescent="0.25">
      <c r="O8528" s="42"/>
      <c r="R8528" s="42"/>
      <c r="AC8528" s="42"/>
    </row>
    <row r="8529" spans="15:29" x14ac:dyDescent="0.25">
      <c r="O8529" s="42"/>
      <c r="R8529" s="42"/>
      <c r="AC8529" s="42"/>
    </row>
    <row r="8530" spans="15:29" x14ac:dyDescent="0.25">
      <c r="O8530" s="42"/>
      <c r="R8530" s="42"/>
      <c r="AC8530" s="42"/>
    </row>
    <row r="8531" spans="15:29" x14ac:dyDescent="0.25">
      <c r="O8531" s="42"/>
      <c r="R8531" s="42"/>
      <c r="AC8531" s="42"/>
    </row>
    <row r="8532" spans="15:29" x14ac:dyDescent="0.25">
      <c r="O8532" s="42"/>
      <c r="R8532" s="42"/>
      <c r="AC8532" s="42"/>
    </row>
    <row r="8533" spans="15:29" x14ac:dyDescent="0.25">
      <c r="O8533" s="42"/>
      <c r="R8533" s="42"/>
      <c r="AC8533" s="42"/>
    </row>
    <row r="8534" spans="15:29" x14ac:dyDescent="0.25">
      <c r="O8534" s="42"/>
      <c r="R8534" s="42"/>
      <c r="AC8534" s="42"/>
    </row>
    <row r="8535" spans="15:29" x14ac:dyDescent="0.25">
      <c r="O8535" s="42"/>
      <c r="R8535" s="42"/>
      <c r="AC8535" s="42"/>
    </row>
    <row r="8536" spans="15:29" x14ac:dyDescent="0.25">
      <c r="O8536" s="42"/>
      <c r="R8536" s="42"/>
      <c r="AC8536" s="42"/>
    </row>
    <row r="8537" spans="15:29" x14ac:dyDescent="0.25">
      <c r="O8537" s="42"/>
      <c r="R8537" s="42"/>
      <c r="AC8537" s="42"/>
    </row>
    <row r="8538" spans="15:29" x14ac:dyDescent="0.25">
      <c r="O8538" s="42"/>
      <c r="R8538" s="42"/>
      <c r="AC8538" s="42"/>
    </row>
    <row r="8539" spans="15:29" x14ac:dyDescent="0.25">
      <c r="O8539" s="42"/>
      <c r="R8539" s="42"/>
      <c r="AC8539" s="42"/>
    </row>
    <row r="8540" spans="15:29" x14ac:dyDescent="0.25">
      <c r="O8540" s="42"/>
      <c r="R8540" s="42"/>
      <c r="AC8540" s="42"/>
    </row>
    <row r="8541" spans="15:29" x14ac:dyDescent="0.25">
      <c r="O8541" s="42"/>
      <c r="R8541" s="42"/>
      <c r="AC8541" s="42"/>
    </row>
    <row r="8542" spans="15:29" x14ac:dyDescent="0.25">
      <c r="O8542" s="42"/>
      <c r="R8542" s="42"/>
      <c r="AC8542" s="42"/>
    </row>
    <row r="8543" spans="15:29" x14ac:dyDescent="0.25">
      <c r="O8543" s="42"/>
      <c r="R8543" s="42"/>
      <c r="AC8543" s="42"/>
    </row>
    <row r="8544" spans="15:29" x14ac:dyDescent="0.25">
      <c r="O8544" s="42"/>
      <c r="R8544" s="42"/>
      <c r="AC8544" s="42"/>
    </row>
    <row r="8545" spans="15:29" x14ac:dyDescent="0.25">
      <c r="O8545" s="42"/>
      <c r="R8545" s="42"/>
      <c r="AC8545" s="42"/>
    </row>
    <row r="8546" spans="15:29" x14ac:dyDescent="0.25">
      <c r="O8546" s="42"/>
      <c r="R8546" s="42"/>
      <c r="AC8546" s="42"/>
    </row>
    <row r="8547" spans="15:29" x14ac:dyDescent="0.25">
      <c r="O8547" s="42"/>
      <c r="R8547" s="42"/>
      <c r="AC8547" s="42"/>
    </row>
    <row r="8548" spans="15:29" x14ac:dyDescent="0.25">
      <c r="O8548" s="42"/>
      <c r="R8548" s="42"/>
      <c r="AC8548" s="42"/>
    </row>
    <row r="8549" spans="15:29" x14ac:dyDescent="0.25">
      <c r="O8549" s="42"/>
      <c r="R8549" s="42"/>
      <c r="AC8549" s="42"/>
    </row>
    <row r="8550" spans="15:29" x14ac:dyDescent="0.25">
      <c r="O8550" s="42"/>
      <c r="R8550" s="42"/>
      <c r="AC8550" s="42"/>
    </row>
    <row r="8551" spans="15:29" x14ac:dyDescent="0.25">
      <c r="O8551" s="42"/>
      <c r="R8551" s="42"/>
      <c r="AC8551" s="42"/>
    </row>
    <row r="8552" spans="15:29" x14ac:dyDescent="0.25">
      <c r="O8552" s="42"/>
      <c r="R8552" s="42"/>
      <c r="AC8552" s="42"/>
    </row>
    <row r="8553" spans="15:29" x14ac:dyDescent="0.25">
      <c r="O8553" s="42"/>
      <c r="R8553" s="42"/>
      <c r="AC8553" s="42"/>
    </row>
    <row r="8554" spans="15:29" x14ac:dyDescent="0.25">
      <c r="O8554" s="42"/>
      <c r="R8554" s="42"/>
      <c r="AC8554" s="42"/>
    </row>
    <row r="8555" spans="15:29" x14ac:dyDescent="0.25">
      <c r="O8555" s="42"/>
      <c r="R8555" s="42"/>
      <c r="AC8555" s="42"/>
    </row>
    <row r="8556" spans="15:29" x14ac:dyDescent="0.25">
      <c r="O8556" s="42"/>
      <c r="R8556" s="42"/>
      <c r="AC8556" s="42"/>
    </row>
    <row r="8557" spans="15:29" x14ac:dyDescent="0.25">
      <c r="O8557" s="42"/>
      <c r="R8557" s="42"/>
      <c r="AC8557" s="42"/>
    </row>
    <row r="8558" spans="15:29" x14ac:dyDescent="0.25">
      <c r="O8558" s="42"/>
      <c r="R8558" s="42"/>
      <c r="AC8558" s="42"/>
    </row>
    <row r="8559" spans="15:29" x14ac:dyDescent="0.25">
      <c r="O8559" s="42"/>
      <c r="R8559" s="42"/>
      <c r="AC8559" s="42"/>
    </row>
    <row r="8560" spans="15:29" x14ac:dyDescent="0.25">
      <c r="O8560" s="42"/>
      <c r="R8560" s="42"/>
      <c r="AC8560" s="42"/>
    </row>
    <row r="8561" spans="15:29" x14ac:dyDescent="0.25">
      <c r="O8561" s="42"/>
      <c r="R8561" s="42"/>
      <c r="AC8561" s="42"/>
    </row>
    <row r="8562" spans="15:29" x14ac:dyDescent="0.25">
      <c r="O8562" s="42"/>
      <c r="R8562" s="42"/>
      <c r="AC8562" s="42"/>
    </row>
    <row r="8563" spans="15:29" x14ac:dyDescent="0.25">
      <c r="O8563" s="42"/>
      <c r="R8563" s="42"/>
      <c r="AC8563" s="42"/>
    </row>
    <row r="8564" spans="15:29" x14ac:dyDescent="0.25">
      <c r="O8564" s="42"/>
      <c r="R8564" s="42"/>
      <c r="AC8564" s="42"/>
    </row>
    <row r="8565" spans="15:29" x14ac:dyDescent="0.25">
      <c r="O8565" s="42"/>
      <c r="R8565" s="42"/>
      <c r="AC8565" s="42"/>
    </row>
    <row r="8566" spans="15:29" x14ac:dyDescent="0.25">
      <c r="O8566" s="42"/>
      <c r="R8566" s="42"/>
      <c r="AC8566" s="42"/>
    </row>
    <row r="8567" spans="15:29" x14ac:dyDescent="0.25">
      <c r="O8567" s="42"/>
      <c r="R8567" s="42"/>
      <c r="AC8567" s="42"/>
    </row>
    <row r="8568" spans="15:29" x14ac:dyDescent="0.25">
      <c r="O8568" s="42"/>
      <c r="R8568" s="42"/>
      <c r="AC8568" s="42"/>
    </row>
    <row r="8569" spans="15:29" x14ac:dyDescent="0.25">
      <c r="O8569" s="42"/>
      <c r="R8569" s="42"/>
      <c r="AC8569" s="42"/>
    </row>
    <row r="8570" spans="15:29" x14ac:dyDescent="0.25">
      <c r="O8570" s="42"/>
      <c r="R8570" s="42"/>
      <c r="AC8570" s="42"/>
    </row>
    <row r="8571" spans="15:29" x14ac:dyDescent="0.25">
      <c r="O8571" s="42"/>
      <c r="R8571" s="42"/>
      <c r="AC8571" s="42"/>
    </row>
    <row r="8572" spans="15:29" x14ac:dyDescent="0.25">
      <c r="O8572" s="42"/>
      <c r="R8572" s="42"/>
      <c r="AC8572" s="42"/>
    </row>
    <row r="8573" spans="15:29" x14ac:dyDescent="0.25">
      <c r="O8573" s="42"/>
      <c r="R8573" s="42"/>
      <c r="AC8573" s="42"/>
    </row>
    <row r="8574" spans="15:29" x14ac:dyDescent="0.25">
      <c r="O8574" s="42"/>
      <c r="R8574" s="42"/>
      <c r="AC8574" s="42"/>
    </row>
    <row r="8575" spans="15:29" x14ac:dyDescent="0.25">
      <c r="O8575" s="42"/>
      <c r="R8575" s="42"/>
      <c r="AC8575" s="42"/>
    </row>
    <row r="8576" spans="15:29" x14ac:dyDescent="0.25">
      <c r="O8576" s="42"/>
      <c r="R8576" s="42"/>
      <c r="AC8576" s="42"/>
    </row>
    <row r="8577" spans="15:29" x14ac:dyDescent="0.25">
      <c r="O8577" s="42"/>
      <c r="R8577" s="42"/>
      <c r="AC8577" s="42"/>
    </row>
    <row r="8578" spans="15:29" x14ac:dyDescent="0.25">
      <c r="O8578" s="42"/>
      <c r="R8578" s="42"/>
      <c r="AC8578" s="42"/>
    </row>
    <row r="8579" spans="15:29" x14ac:dyDescent="0.25">
      <c r="O8579" s="42"/>
      <c r="R8579" s="42"/>
      <c r="AC8579" s="42"/>
    </row>
    <row r="8580" spans="15:29" x14ac:dyDescent="0.25">
      <c r="O8580" s="42"/>
      <c r="R8580" s="42"/>
      <c r="AC8580" s="42"/>
    </row>
    <row r="8581" spans="15:29" x14ac:dyDescent="0.25">
      <c r="O8581" s="42"/>
      <c r="R8581" s="42"/>
      <c r="AC8581" s="42"/>
    </row>
    <row r="8582" spans="15:29" x14ac:dyDescent="0.25">
      <c r="O8582" s="42"/>
      <c r="R8582" s="42"/>
      <c r="AC8582" s="42"/>
    </row>
    <row r="8583" spans="15:29" x14ac:dyDescent="0.25">
      <c r="O8583" s="42"/>
      <c r="R8583" s="42"/>
      <c r="AC8583" s="42"/>
    </row>
    <row r="8584" spans="15:29" x14ac:dyDescent="0.25">
      <c r="O8584" s="42"/>
      <c r="R8584" s="42"/>
      <c r="AC8584" s="42"/>
    </row>
    <row r="8585" spans="15:29" x14ac:dyDescent="0.25">
      <c r="O8585" s="42"/>
      <c r="R8585" s="42"/>
      <c r="AC8585" s="42"/>
    </row>
    <row r="8586" spans="15:29" x14ac:dyDescent="0.25">
      <c r="O8586" s="42"/>
      <c r="R8586" s="42"/>
      <c r="AC8586" s="42"/>
    </row>
    <row r="8587" spans="15:29" x14ac:dyDescent="0.25">
      <c r="O8587" s="42"/>
      <c r="R8587" s="42"/>
      <c r="AC8587" s="42"/>
    </row>
    <row r="8588" spans="15:29" x14ac:dyDescent="0.25">
      <c r="O8588" s="42"/>
      <c r="R8588" s="42"/>
      <c r="AC8588" s="42"/>
    </row>
    <row r="8589" spans="15:29" x14ac:dyDescent="0.25">
      <c r="O8589" s="42"/>
      <c r="R8589" s="42"/>
      <c r="AC8589" s="42"/>
    </row>
    <row r="8590" spans="15:29" x14ac:dyDescent="0.25">
      <c r="O8590" s="42"/>
      <c r="R8590" s="42"/>
      <c r="AC8590" s="42"/>
    </row>
    <row r="8591" spans="15:29" x14ac:dyDescent="0.25">
      <c r="O8591" s="42"/>
      <c r="R8591" s="42"/>
      <c r="AC8591" s="42"/>
    </row>
    <row r="8592" spans="15:29" x14ac:dyDescent="0.25">
      <c r="O8592" s="42"/>
      <c r="R8592" s="42"/>
      <c r="AC8592" s="42"/>
    </row>
    <row r="8593" spans="15:29" x14ac:dyDescent="0.25">
      <c r="O8593" s="42"/>
      <c r="R8593" s="42"/>
      <c r="AC8593" s="42"/>
    </row>
    <row r="8594" spans="15:29" x14ac:dyDescent="0.25">
      <c r="O8594" s="42"/>
      <c r="R8594" s="42"/>
      <c r="AC8594" s="42"/>
    </row>
    <row r="8595" spans="15:29" x14ac:dyDescent="0.25">
      <c r="O8595" s="42"/>
      <c r="R8595" s="42"/>
      <c r="AC8595" s="42"/>
    </row>
    <row r="8596" spans="15:29" x14ac:dyDescent="0.25">
      <c r="O8596" s="42"/>
      <c r="R8596" s="42"/>
      <c r="AC8596" s="42"/>
    </row>
    <row r="8597" spans="15:29" x14ac:dyDescent="0.25">
      <c r="O8597" s="42"/>
      <c r="R8597" s="42"/>
      <c r="AC8597" s="42"/>
    </row>
    <row r="8598" spans="15:29" x14ac:dyDescent="0.25">
      <c r="O8598" s="42"/>
      <c r="R8598" s="42"/>
      <c r="AC8598" s="42"/>
    </row>
    <row r="8599" spans="15:29" x14ac:dyDescent="0.25">
      <c r="O8599" s="42"/>
      <c r="R8599" s="42"/>
      <c r="AC8599" s="42"/>
    </row>
    <row r="8600" spans="15:29" x14ac:dyDescent="0.25">
      <c r="O8600" s="42"/>
      <c r="R8600" s="42"/>
      <c r="AC8600" s="42"/>
    </row>
    <row r="8601" spans="15:29" x14ac:dyDescent="0.25">
      <c r="O8601" s="42"/>
      <c r="R8601" s="42"/>
      <c r="AC8601" s="42"/>
    </row>
    <row r="8602" spans="15:29" x14ac:dyDescent="0.25">
      <c r="O8602" s="42"/>
      <c r="R8602" s="42"/>
      <c r="AC8602" s="42"/>
    </row>
    <row r="8603" spans="15:29" x14ac:dyDescent="0.25">
      <c r="O8603" s="42"/>
      <c r="R8603" s="42"/>
      <c r="AC8603" s="42"/>
    </row>
    <row r="8604" spans="15:29" x14ac:dyDescent="0.25">
      <c r="O8604" s="42"/>
      <c r="R8604" s="42"/>
      <c r="AC8604" s="42"/>
    </row>
    <row r="8605" spans="15:29" x14ac:dyDescent="0.25">
      <c r="O8605" s="42"/>
      <c r="R8605" s="42"/>
      <c r="AC8605" s="42"/>
    </row>
    <row r="8606" spans="15:29" x14ac:dyDescent="0.25">
      <c r="O8606" s="42"/>
      <c r="R8606" s="42"/>
      <c r="AC8606" s="42"/>
    </row>
    <row r="8607" spans="15:29" x14ac:dyDescent="0.25">
      <c r="O8607" s="42"/>
      <c r="R8607" s="42"/>
      <c r="AC8607" s="42"/>
    </row>
    <row r="8608" spans="15:29" x14ac:dyDescent="0.25">
      <c r="O8608" s="42"/>
      <c r="R8608" s="42"/>
      <c r="AC8608" s="42"/>
    </row>
    <row r="8609" spans="15:29" x14ac:dyDescent="0.25">
      <c r="O8609" s="42"/>
      <c r="R8609" s="42"/>
      <c r="AC8609" s="42"/>
    </row>
    <row r="8610" spans="15:29" x14ac:dyDescent="0.25">
      <c r="O8610" s="42"/>
      <c r="R8610" s="42"/>
      <c r="AC8610" s="42"/>
    </row>
    <row r="8611" spans="15:29" x14ac:dyDescent="0.25">
      <c r="O8611" s="42"/>
      <c r="R8611" s="42"/>
      <c r="AC8611" s="42"/>
    </row>
    <row r="8612" spans="15:29" x14ac:dyDescent="0.25">
      <c r="O8612" s="42"/>
      <c r="R8612" s="42"/>
      <c r="AC8612" s="42"/>
    </row>
    <row r="8613" spans="15:29" x14ac:dyDescent="0.25">
      <c r="O8613" s="42"/>
      <c r="R8613" s="42"/>
      <c r="AC8613" s="42"/>
    </row>
    <row r="8614" spans="15:29" x14ac:dyDescent="0.25">
      <c r="O8614" s="42"/>
      <c r="R8614" s="42"/>
      <c r="AC8614" s="42"/>
    </row>
    <row r="8615" spans="15:29" x14ac:dyDescent="0.25">
      <c r="O8615" s="42"/>
      <c r="R8615" s="42"/>
      <c r="AC8615" s="42"/>
    </row>
    <row r="8616" spans="15:29" x14ac:dyDescent="0.25">
      <c r="O8616" s="42"/>
      <c r="R8616" s="42"/>
      <c r="AC8616" s="42"/>
    </row>
    <row r="8617" spans="15:29" x14ac:dyDescent="0.25">
      <c r="O8617" s="42"/>
      <c r="R8617" s="42"/>
      <c r="AC8617" s="42"/>
    </row>
    <row r="8618" spans="15:29" x14ac:dyDescent="0.25">
      <c r="O8618" s="42"/>
      <c r="R8618" s="42"/>
      <c r="AC8618" s="42"/>
    </row>
    <row r="8619" spans="15:29" x14ac:dyDescent="0.25">
      <c r="O8619" s="42"/>
      <c r="R8619" s="42"/>
      <c r="AC8619" s="42"/>
    </row>
    <row r="8620" spans="15:29" x14ac:dyDescent="0.25">
      <c r="O8620" s="42"/>
      <c r="R8620" s="42"/>
      <c r="AC8620" s="42"/>
    </row>
    <row r="8621" spans="15:29" x14ac:dyDescent="0.25">
      <c r="O8621" s="42"/>
      <c r="R8621" s="42"/>
      <c r="AC8621" s="42"/>
    </row>
    <row r="8622" spans="15:29" x14ac:dyDescent="0.25">
      <c r="O8622" s="42"/>
      <c r="R8622" s="42"/>
      <c r="AC8622" s="42"/>
    </row>
    <row r="8623" spans="15:29" x14ac:dyDescent="0.25">
      <c r="O8623" s="42"/>
      <c r="R8623" s="42"/>
      <c r="AC8623" s="42"/>
    </row>
    <row r="8624" spans="15:29" x14ac:dyDescent="0.25">
      <c r="O8624" s="42"/>
      <c r="R8624" s="42"/>
      <c r="AC8624" s="42"/>
    </row>
    <row r="8625" spans="15:29" x14ac:dyDescent="0.25">
      <c r="O8625" s="42"/>
      <c r="R8625" s="42"/>
      <c r="AC8625" s="42"/>
    </row>
    <row r="8626" spans="15:29" x14ac:dyDescent="0.25">
      <c r="O8626" s="42"/>
      <c r="R8626" s="42"/>
      <c r="AC8626" s="42"/>
    </row>
    <row r="8627" spans="15:29" x14ac:dyDescent="0.25">
      <c r="O8627" s="42"/>
      <c r="R8627" s="42"/>
      <c r="AC8627" s="42"/>
    </row>
    <row r="8628" spans="15:29" x14ac:dyDescent="0.25">
      <c r="O8628" s="42"/>
      <c r="R8628" s="42"/>
      <c r="AC8628" s="42"/>
    </row>
    <row r="8629" spans="15:29" x14ac:dyDescent="0.25">
      <c r="O8629" s="42"/>
      <c r="R8629" s="42"/>
      <c r="AC8629" s="42"/>
    </row>
    <row r="8630" spans="15:29" x14ac:dyDescent="0.25">
      <c r="O8630" s="42"/>
      <c r="R8630" s="42"/>
      <c r="AC8630" s="42"/>
    </row>
    <row r="8631" spans="15:29" x14ac:dyDescent="0.25">
      <c r="O8631" s="42"/>
      <c r="R8631" s="42"/>
      <c r="AC8631" s="42"/>
    </row>
    <row r="8632" spans="15:29" x14ac:dyDescent="0.25">
      <c r="O8632" s="42"/>
      <c r="R8632" s="42"/>
      <c r="AC8632" s="42"/>
    </row>
    <row r="8633" spans="15:29" x14ac:dyDescent="0.25">
      <c r="O8633" s="42"/>
      <c r="R8633" s="42"/>
      <c r="AC8633" s="42"/>
    </row>
    <row r="8634" spans="15:29" x14ac:dyDescent="0.25">
      <c r="O8634" s="42"/>
      <c r="R8634" s="42"/>
      <c r="AC8634" s="42"/>
    </row>
    <row r="8635" spans="15:29" x14ac:dyDescent="0.25">
      <c r="O8635" s="42"/>
      <c r="R8635" s="42"/>
      <c r="AC8635" s="42"/>
    </row>
    <row r="8636" spans="15:29" x14ac:dyDescent="0.25">
      <c r="O8636" s="42"/>
      <c r="R8636" s="42"/>
      <c r="AC8636" s="42"/>
    </row>
    <row r="8637" spans="15:29" x14ac:dyDescent="0.25">
      <c r="O8637" s="42"/>
      <c r="R8637" s="42"/>
      <c r="AC8637" s="42"/>
    </row>
    <row r="8638" spans="15:29" x14ac:dyDescent="0.25">
      <c r="O8638" s="42"/>
      <c r="R8638" s="42"/>
      <c r="AC8638" s="42"/>
    </row>
    <row r="8639" spans="15:29" x14ac:dyDescent="0.25">
      <c r="O8639" s="42"/>
      <c r="R8639" s="42"/>
      <c r="AC8639" s="42"/>
    </row>
    <row r="8640" spans="15:29" x14ac:dyDescent="0.25">
      <c r="O8640" s="42"/>
      <c r="R8640" s="42"/>
      <c r="AC8640" s="42"/>
    </row>
    <row r="8641" spans="15:29" x14ac:dyDescent="0.25">
      <c r="O8641" s="42"/>
      <c r="R8641" s="42"/>
      <c r="AC8641" s="42"/>
    </row>
    <row r="8642" spans="15:29" x14ac:dyDescent="0.25">
      <c r="O8642" s="42"/>
      <c r="R8642" s="42"/>
      <c r="AC8642" s="42"/>
    </row>
    <row r="8643" spans="15:29" x14ac:dyDescent="0.25">
      <c r="O8643" s="42"/>
      <c r="R8643" s="42"/>
      <c r="AC8643" s="42"/>
    </row>
    <row r="8644" spans="15:29" x14ac:dyDescent="0.25">
      <c r="O8644" s="42"/>
      <c r="R8644" s="42"/>
      <c r="AC8644" s="42"/>
    </row>
    <row r="8645" spans="15:29" x14ac:dyDescent="0.25">
      <c r="O8645" s="42"/>
      <c r="R8645" s="42"/>
      <c r="AC8645" s="42"/>
    </row>
    <row r="8646" spans="15:29" x14ac:dyDescent="0.25">
      <c r="O8646" s="42"/>
      <c r="R8646" s="42"/>
      <c r="AC8646" s="42"/>
    </row>
    <row r="8647" spans="15:29" x14ac:dyDescent="0.25">
      <c r="O8647" s="42"/>
      <c r="R8647" s="42"/>
      <c r="AC8647" s="42"/>
    </row>
    <row r="8648" spans="15:29" x14ac:dyDescent="0.25">
      <c r="O8648" s="42"/>
      <c r="R8648" s="42"/>
      <c r="AC8648" s="42"/>
    </row>
    <row r="8649" spans="15:29" x14ac:dyDescent="0.25">
      <c r="O8649" s="42"/>
      <c r="R8649" s="42"/>
      <c r="AC8649" s="42"/>
    </row>
    <row r="8650" spans="15:29" x14ac:dyDescent="0.25">
      <c r="O8650" s="42"/>
      <c r="R8650" s="42"/>
      <c r="AC8650" s="42"/>
    </row>
    <row r="8651" spans="15:29" x14ac:dyDescent="0.25">
      <c r="O8651" s="42"/>
      <c r="R8651" s="42"/>
      <c r="AC8651" s="42"/>
    </row>
    <row r="8652" spans="15:29" x14ac:dyDescent="0.25">
      <c r="O8652" s="42"/>
      <c r="R8652" s="42"/>
      <c r="AC8652" s="42"/>
    </row>
    <row r="8653" spans="15:29" x14ac:dyDescent="0.25">
      <c r="O8653" s="42"/>
      <c r="R8653" s="42"/>
      <c r="AC8653" s="42"/>
    </row>
    <row r="8654" spans="15:29" x14ac:dyDescent="0.25">
      <c r="O8654" s="42"/>
      <c r="R8654" s="42"/>
      <c r="AC8654" s="42"/>
    </row>
    <row r="8655" spans="15:29" x14ac:dyDescent="0.25">
      <c r="O8655" s="42"/>
      <c r="R8655" s="42"/>
      <c r="AC8655" s="42"/>
    </row>
    <row r="8656" spans="15:29" x14ac:dyDescent="0.25">
      <c r="O8656" s="42"/>
      <c r="R8656" s="42"/>
      <c r="AC8656" s="42"/>
    </row>
    <row r="8657" spans="15:29" x14ac:dyDescent="0.25">
      <c r="O8657" s="42"/>
      <c r="R8657" s="42"/>
      <c r="AC8657" s="42"/>
    </row>
    <row r="8658" spans="15:29" x14ac:dyDescent="0.25">
      <c r="O8658" s="42"/>
      <c r="R8658" s="42"/>
      <c r="AC8658" s="42"/>
    </row>
    <row r="8659" spans="15:29" x14ac:dyDescent="0.25">
      <c r="O8659" s="42"/>
      <c r="R8659" s="42"/>
      <c r="AC8659" s="42"/>
    </row>
    <row r="8660" spans="15:29" x14ac:dyDescent="0.25">
      <c r="O8660" s="42"/>
      <c r="R8660" s="42"/>
      <c r="AC8660" s="42"/>
    </row>
    <row r="8661" spans="15:29" x14ac:dyDescent="0.25">
      <c r="O8661" s="42"/>
      <c r="R8661" s="42"/>
      <c r="AC8661" s="42"/>
    </row>
    <row r="8662" spans="15:29" x14ac:dyDescent="0.25">
      <c r="O8662" s="42"/>
      <c r="R8662" s="42"/>
      <c r="AC8662" s="42"/>
    </row>
    <row r="8663" spans="15:29" x14ac:dyDescent="0.25">
      <c r="O8663" s="42"/>
      <c r="R8663" s="42"/>
      <c r="AC8663" s="42"/>
    </row>
    <row r="8664" spans="15:29" x14ac:dyDescent="0.25">
      <c r="O8664" s="42"/>
      <c r="R8664" s="42"/>
      <c r="AC8664" s="42"/>
    </row>
    <row r="8665" spans="15:29" x14ac:dyDescent="0.25">
      <c r="O8665" s="42"/>
      <c r="R8665" s="42"/>
      <c r="AC8665" s="42"/>
    </row>
    <row r="8666" spans="15:29" x14ac:dyDescent="0.25">
      <c r="O8666" s="42"/>
      <c r="R8666" s="42"/>
      <c r="AC8666" s="42"/>
    </row>
    <row r="8667" spans="15:29" x14ac:dyDescent="0.25">
      <c r="O8667" s="42"/>
      <c r="R8667" s="42"/>
      <c r="AC8667" s="42"/>
    </row>
    <row r="8668" spans="15:29" x14ac:dyDescent="0.25">
      <c r="O8668" s="42"/>
      <c r="R8668" s="42"/>
      <c r="AC8668" s="42"/>
    </row>
    <row r="8669" spans="15:29" x14ac:dyDescent="0.25">
      <c r="O8669" s="42"/>
      <c r="R8669" s="42"/>
      <c r="AC8669" s="42"/>
    </row>
    <row r="8670" spans="15:29" x14ac:dyDescent="0.25">
      <c r="O8670" s="42"/>
      <c r="R8670" s="42"/>
      <c r="AC8670" s="42"/>
    </row>
    <row r="8671" spans="15:29" x14ac:dyDescent="0.25">
      <c r="O8671" s="42"/>
      <c r="R8671" s="42"/>
      <c r="AC8671" s="42"/>
    </row>
    <row r="8672" spans="15:29" x14ac:dyDescent="0.25">
      <c r="O8672" s="42"/>
      <c r="R8672" s="42"/>
      <c r="AC8672" s="42"/>
    </row>
    <row r="8673" spans="15:29" x14ac:dyDescent="0.25">
      <c r="O8673" s="42"/>
      <c r="R8673" s="42"/>
      <c r="AC8673" s="42"/>
    </row>
    <row r="8674" spans="15:29" x14ac:dyDescent="0.25">
      <c r="O8674" s="42"/>
      <c r="R8674" s="42"/>
      <c r="AC8674" s="42"/>
    </row>
    <row r="8675" spans="15:29" x14ac:dyDescent="0.25">
      <c r="O8675" s="42"/>
      <c r="R8675" s="42"/>
      <c r="AC8675" s="42"/>
    </row>
    <row r="8676" spans="15:29" x14ac:dyDescent="0.25">
      <c r="O8676" s="42"/>
      <c r="R8676" s="42"/>
      <c r="AC8676" s="42"/>
    </row>
    <row r="8677" spans="15:29" x14ac:dyDescent="0.25">
      <c r="O8677" s="42"/>
      <c r="R8677" s="42"/>
      <c r="AC8677" s="42"/>
    </row>
    <row r="8678" spans="15:29" x14ac:dyDescent="0.25">
      <c r="O8678" s="42"/>
      <c r="R8678" s="42"/>
      <c r="AC8678" s="42"/>
    </row>
    <row r="8679" spans="15:29" x14ac:dyDescent="0.25">
      <c r="O8679" s="42"/>
      <c r="R8679" s="42"/>
      <c r="AC8679" s="42"/>
    </row>
    <row r="8680" spans="15:29" x14ac:dyDescent="0.25">
      <c r="O8680" s="42"/>
      <c r="R8680" s="42"/>
      <c r="AC8680" s="42"/>
    </row>
    <row r="8681" spans="15:29" x14ac:dyDescent="0.25">
      <c r="O8681" s="42"/>
      <c r="R8681" s="42"/>
      <c r="AC8681" s="42"/>
    </row>
    <row r="8682" spans="15:29" x14ac:dyDescent="0.25">
      <c r="O8682" s="42"/>
      <c r="R8682" s="42"/>
      <c r="AC8682" s="42"/>
    </row>
    <row r="8683" spans="15:29" x14ac:dyDescent="0.25">
      <c r="O8683" s="42"/>
      <c r="R8683" s="42"/>
      <c r="AC8683" s="42"/>
    </row>
    <row r="8684" spans="15:29" x14ac:dyDescent="0.25">
      <c r="O8684" s="42"/>
      <c r="R8684" s="42"/>
      <c r="AC8684" s="42"/>
    </row>
    <row r="8685" spans="15:29" x14ac:dyDescent="0.25">
      <c r="O8685" s="42"/>
      <c r="R8685" s="42"/>
      <c r="AC8685" s="42"/>
    </row>
    <row r="8686" spans="15:29" x14ac:dyDescent="0.25">
      <c r="O8686" s="42"/>
      <c r="R8686" s="42"/>
      <c r="AC8686" s="42"/>
    </row>
    <row r="8687" spans="15:29" x14ac:dyDescent="0.25">
      <c r="O8687" s="42"/>
      <c r="R8687" s="42"/>
      <c r="AC8687" s="42"/>
    </row>
    <row r="8688" spans="15:29" x14ac:dyDescent="0.25">
      <c r="O8688" s="42"/>
      <c r="R8688" s="42"/>
      <c r="AC8688" s="42"/>
    </row>
    <row r="8689" spans="15:29" x14ac:dyDescent="0.25">
      <c r="O8689" s="42"/>
      <c r="R8689" s="42"/>
      <c r="AC8689" s="42"/>
    </row>
    <row r="8690" spans="15:29" x14ac:dyDescent="0.25">
      <c r="O8690" s="42"/>
      <c r="R8690" s="42"/>
      <c r="AC8690" s="42"/>
    </row>
    <row r="8691" spans="15:29" x14ac:dyDescent="0.25">
      <c r="O8691" s="42"/>
      <c r="R8691" s="42"/>
      <c r="AC8691" s="42"/>
    </row>
    <row r="8692" spans="15:29" x14ac:dyDescent="0.25">
      <c r="O8692" s="42"/>
      <c r="R8692" s="42"/>
      <c r="AC8692" s="42"/>
    </row>
    <row r="8693" spans="15:29" x14ac:dyDescent="0.25">
      <c r="O8693" s="42"/>
      <c r="R8693" s="42"/>
      <c r="AC8693" s="42"/>
    </row>
    <row r="8694" spans="15:29" x14ac:dyDescent="0.25">
      <c r="O8694" s="42"/>
      <c r="R8694" s="42"/>
      <c r="AC8694" s="42"/>
    </row>
    <row r="8695" spans="15:29" x14ac:dyDescent="0.25">
      <c r="O8695" s="42"/>
      <c r="R8695" s="42"/>
      <c r="AC8695" s="42"/>
    </row>
    <row r="8696" spans="15:29" x14ac:dyDescent="0.25">
      <c r="O8696" s="42"/>
      <c r="R8696" s="42"/>
      <c r="AC8696" s="42"/>
    </row>
    <row r="8697" spans="15:29" x14ac:dyDescent="0.25">
      <c r="O8697" s="42"/>
      <c r="R8697" s="42"/>
      <c r="AC8697" s="42"/>
    </row>
    <row r="8698" spans="15:29" x14ac:dyDescent="0.25">
      <c r="O8698" s="42"/>
      <c r="R8698" s="42"/>
      <c r="AC8698" s="42"/>
    </row>
    <row r="8699" spans="15:29" x14ac:dyDescent="0.25">
      <c r="O8699" s="42"/>
      <c r="R8699" s="42"/>
      <c r="AC8699" s="42"/>
    </row>
    <row r="8700" spans="15:29" x14ac:dyDescent="0.25">
      <c r="O8700" s="42"/>
      <c r="R8700" s="42"/>
      <c r="AC8700" s="42"/>
    </row>
    <row r="8701" spans="15:29" x14ac:dyDescent="0.25">
      <c r="O8701" s="42"/>
      <c r="R8701" s="42"/>
      <c r="AC8701" s="42"/>
    </row>
    <row r="8702" spans="15:29" x14ac:dyDescent="0.25">
      <c r="O8702" s="42"/>
      <c r="R8702" s="42"/>
      <c r="AC8702" s="42"/>
    </row>
    <row r="8703" spans="15:29" x14ac:dyDescent="0.25">
      <c r="O8703" s="42"/>
      <c r="R8703" s="42"/>
      <c r="AC8703" s="42"/>
    </row>
    <row r="8704" spans="15:29" x14ac:dyDescent="0.25">
      <c r="O8704" s="42"/>
      <c r="R8704" s="42"/>
      <c r="AC8704" s="42"/>
    </row>
    <row r="8705" spans="15:29" x14ac:dyDescent="0.25">
      <c r="O8705" s="42"/>
      <c r="R8705" s="42"/>
      <c r="AC8705" s="42"/>
    </row>
    <row r="8706" spans="15:29" x14ac:dyDescent="0.25">
      <c r="O8706" s="42"/>
      <c r="R8706" s="42"/>
      <c r="AC8706" s="42"/>
    </row>
    <row r="8707" spans="15:29" x14ac:dyDescent="0.25">
      <c r="O8707" s="42"/>
      <c r="R8707" s="42"/>
      <c r="AC8707" s="42"/>
    </row>
    <row r="8708" spans="15:29" x14ac:dyDescent="0.25">
      <c r="O8708" s="42"/>
      <c r="R8708" s="42"/>
      <c r="AC8708" s="42"/>
    </row>
    <row r="8709" spans="15:29" x14ac:dyDescent="0.25">
      <c r="O8709" s="42"/>
      <c r="R8709" s="42"/>
      <c r="AC8709" s="42"/>
    </row>
    <row r="8710" spans="15:29" x14ac:dyDescent="0.25">
      <c r="O8710" s="42"/>
      <c r="R8710" s="42"/>
      <c r="AC8710" s="42"/>
    </row>
    <row r="8711" spans="15:29" x14ac:dyDescent="0.25">
      <c r="O8711" s="42"/>
      <c r="R8711" s="42"/>
      <c r="AC8711" s="42"/>
    </row>
    <row r="8712" spans="15:29" x14ac:dyDescent="0.25">
      <c r="O8712" s="42"/>
      <c r="R8712" s="42"/>
      <c r="AC8712" s="42"/>
    </row>
    <row r="8713" spans="15:29" x14ac:dyDescent="0.25">
      <c r="O8713" s="42"/>
      <c r="R8713" s="42"/>
      <c r="AC8713" s="42"/>
    </row>
    <row r="8714" spans="15:29" x14ac:dyDescent="0.25">
      <c r="O8714" s="42"/>
      <c r="R8714" s="42"/>
      <c r="AC8714" s="42"/>
    </row>
    <row r="8715" spans="15:29" x14ac:dyDescent="0.25">
      <c r="O8715" s="42"/>
      <c r="R8715" s="42"/>
      <c r="AC8715" s="42"/>
    </row>
    <row r="8716" spans="15:29" x14ac:dyDescent="0.25">
      <c r="O8716" s="42"/>
      <c r="R8716" s="42"/>
      <c r="AC8716" s="42"/>
    </row>
    <row r="8717" spans="15:29" x14ac:dyDescent="0.25">
      <c r="O8717" s="42"/>
      <c r="R8717" s="42"/>
      <c r="AC8717" s="42"/>
    </row>
    <row r="8718" spans="15:29" x14ac:dyDescent="0.25">
      <c r="O8718" s="42"/>
      <c r="R8718" s="42"/>
      <c r="AC8718" s="42"/>
    </row>
    <row r="8719" spans="15:29" x14ac:dyDescent="0.25">
      <c r="O8719" s="42"/>
      <c r="R8719" s="42"/>
      <c r="AC8719" s="42"/>
    </row>
    <row r="8720" spans="15:29" x14ac:dyDescent="0.25">
      <c r="O8720" s="42"/>
      <c r="R8720" s="42"/>
      <c r="AC8720" s="42"/>
    </row>
    <row r="8721" spans="15:29" x14ac:dyDescent="0.25">
      <c r="O8721" s="42"/>
      <c r="R8721" s="42"/>
      <c r="AC8721" s="42"/>
    </row>
    <row r="8722" spans="15:29" x14ac:dyDescent="0.25">
      <c r="O8722" s="42"/>
      <c r="R8722" s="42"/>
      <c r="AC8722" s="42"/>
    </row>
    <row r="8723" spans="15:29" x14ac:dyDescent="0.25">
      <c r="O8723" s="42"/>
      <c r="R8723" s="42"/>
      <c r="AC8723" s="42"/>
    </row>
    <row r="8724" spans="15:29" x14ac:dyDescent="0.25">
      <c r="O8724" s="42"/>
      <c r="R8724" s="42"/>
      <c r="AC8724" s="42"/>
    </row>
    <row r="8725" spans="15:29" x14ac:dyDescent="0.25">
      <c r="O8725" s="42"/>
      <c r="R8725" s="42"/>
      <c r="AC8725" s="42"/>
    </row>
    <row r="8726" spans="15:29" x14ac:dyDescent="0.25">
      <c r="O8726" s="42"/>
      <c r="R8726" s="42"/>
      <c r="AC8726" s="42"/>
    </row>
    <row r="8727" spans="15:29" x14ac:dyDescent="0.25">
      <c r="O8727" s="42"/>
      <c r="R8727" s="42"/>
      <c r="AC8727" s="42"/>
    </row>
    <row r="8728" spans="15:29" x14ac:dyDescent="0.25">
      <c r="O8728" s="42"/>
      <c r="R8728" s="42"/>
      <c r="AC8728" s="42"/>
    </row>
    <row r="8729" spans="15:29" x14ac:dyDescent="0.25">
      <c r="O8729" s="42"/>
      <c r="R8729" s="42"/>
      <c r="AC8729" s="42"/>
    </row>
    <row r="8730" spans="15:29" x14ac:dyDescent="0.25">
      <c r="O8730" s="42"/>
      <c r="R8730" s="42"/>
      <c r="AC8730" s="42"/>
    </row>
    <row r="8731" spans="15:29" x14ac:dyDescent="0.25">
      <c r="O8731" s="42"/>
      <c r="R8731" s="42"/>
      <c r="AC8731" s="42"/>
    </row>
    <row r="8732" spans="15:29" x14ac:dyDescent="0.25">
      <c r="O8732" s="42"/>
      <c r="R8732" s="42"/>
      <c r="AC8732" s="42"/>
    </row>
    <row r="8733" spans="15:29" x14ac:dyDescent="0.25">
      <c r="O8733" s="42"/>
      <c r="R8733" s="42"/>
      <c r="AC8733" s="42"/>
    </row>
    <row r="8734" spans="15:29" x14ac:dyDescent="0.25">
      <c r="O8734" s="42"/>
      <c r="R8734" s="42"/>
      <c r="AC8734" s="42"/>
    </row>
    <row r="8735" spans="15:29" x14ac:dyDescent="0.25">
      <c r="O8735" s="42"/>
      <c r="R8735" s="42"/>
      <c r="AC8735" s="42"/>
    </row>
    <row r="8736" spans="15:29" x14ac:dyDescent="0.25">
      <c r="O8736" s="42"/>
      <c r="R8736" s="42"/>
      <c r="AC8736" s="42"/>
    </row>
    <row r="8737" spans="15:29" x14ac:dyDescent="0.25">
      <c r="O8737" s="42"/>
      <c r="R8737" s="42"/>
      <c r="AC8737" s="42"/>
    </row>
    <row r="8738" spans="15:29" x14ac:dyDescent="0.25">
      <c r="O8738" s="42"/>
      <c r="R8738" s="42"/>
      <c r="AC8738" s="42"/>
    </row>
    <row r="8739" spans="15:29" x14ac:dyDescent="0.25">
      <c r="O8739" s="42"/>
      <c r="R8739" s="42"/>
      <c r="AC8739" s="42"/>
    </row>
    <row r="8740" spans="15:29" x14ac:dyDescent="0.25">
      <c r="O8740" s="42"/>
      <c r="R8740" s="42"/>
      <c r="AC8740" s="42"/>
    </row>
    <row r="8741" spans="15:29" x14ac:dyDescent="0.25">
      <c r="O8741" s="42"/>
      <c r="R8741" s="42"/>
      <c r="AC8741" s="42"/>
    </row>
    <row r="8742" spans="15:29" x14ac:dyDescent="0.25">
      <c r="O8742" s="42"/>
      <c r="R8742" s="42"/>
      <c r="AC8742" s="42"/>
    </row>
    <row r="8743" spans="15:29" x14ac:dyDescent="0.25">
      <c r="O8743" s="42"/>
      <c r="R8743" s="42"/>
      <c r="AC8743" s="42"/>
    </row>
    <row r="8744" spans="15:29" x14ac:dyDescent="0.25">
      <c r="O8744" s="42"/>
      <c r="R8744" s="42"/>
      <c r="AC8744" s="42"/>
    </row>
    <row r="8745" spans="15:29" x14ac:dyDescent="0.25">
      <c r="O8745" s="42"/>
      <c r="R8745" s="42"/>
      <c r="AC8745" s="42"/>
    </row>
    <row r="8746" spans="15:29" x14ac:dyDescent="0.25">
      <c r="O8746" s="42"/>
      <c r="R8746" s="42"/>
      <c r="AC8746" s="42"/>
    </row>
    <row r="8747" spans="15:29" x14ac:dyDescent="0.25">
      <c r="O8747" s="42"/>
      <c r="R8747" s="42"/>
      <c r="AC8747" s="42"/>
    </row>
    <row r="8748" spans="15:29" x14ac:dyDescent="0.25">
      <c r="O8748" s="42"/>
      <c r="R8748" s="42"/>
      <c r="AC8748" s="42"/>
    </row>
    <row r="8749" spans="15:29" x14ac:dyDescent="0.25">
      <c r="O8749" s="42"/>
      <c r="R8749" s="42"/>
      <c r="AC8749" s="42"/>
    </row>
    <row r="8750" spans="15:29" x14ac:dyDescent="0.25">
      <c r="O8750" s="42"/>
      <c r="R8750" s="42"/>
      <c r="AC8750" s="42"/>
    </row>
    <row r="8751" spans="15:29" x14ac:dyDescent="0.25">
      <c r="O8751" s="42"/>
      <c r="R8751" s="42"/>
      <c r="AC8751" s="42"/>
    </row>
    <row r="8752" spans="15:29" x14ac:dyDescent="0.25">
      <c r="O8752" s="42"/>
      <c r="R8752" s="42"/>
      <c r="AC8752" s="42"/>
    </row>
    <row r="8753" spans="15:29" x14ac:dyDescent="0.25">
      <c r="O8753" s="42"/>
      <c r="R8753" s="42"/>
      <c r="AC8753" s="42"/>
    </row>
    <row r="8754" spans="15:29" x14ac:dyDescent="0.25">
      <c r="O8754" s="42"/>
      <c r="R8754" s="42"/>
      <c r="AC8754" s="42"/>
    </row>
    <row r="8755" spans="15:29" x14ac:dyDescent="0.25">
      <c r="O8755" s="42"/>
      <c r="R8755" s="42"/>
      <c r="AC8755" s="42"/>
    </row>
    <row r="8756" spans="15:29" x14ac:dyDescent="0.25">
      <c r="O8756" s="42"/>
      <c r="R8756" s="42"/>
      <c r="AC8756" s="42"/>
    </row>
    <row r="8757" spans="15:29" x14ac:dyDescent="0.25">
      <c r="O8757" s="42"/>
      <c r="R8757" s="42"/>
      <c r="AC8757" s="42"/>
    </row>
    <row r="8758" spans="15:29" x14ac:dyDescent="0.25">
      <c r="O8758" s="42"/>
      <c r="R8758" s="42"/>
      <c r="AC8758" s="42"/>
    </row>
    <row r="8759" spans="15:29" x14ac:dyDescent="0.25">
      <c r="O8759" s="42"/>
      <c r="R8759" s="42"/>
      <c r="AC8759" s="42"/>
    </row>
    <row r="8760" spans="15:29" x14ac:dyDescent="0.25">
      <c r="O8760" s="42"/>
      <c r="R8760" s="42"/>
      <c r="AC8760" s="42"/>
    </row>
    <row r="8761" spans="15:29" x14ac:dyDescent="0.25">
      <c r="O8761" s="42"/>
      <c r="R8761" s="42"/>
      <c r="AC8761" s="42"/>
    </row>
    <row r="8762" spans="15:29" x14ac:dyDescent="0.25">
      <c r="O8762" s="42"/>
      <c r="R8762" s="42"/>
      <c r="AC8762" s="42"/>
    </row>
    <row r="8763" spans="15:29" x14ac:dyDescent="0.25">
      <c r="O8763" s="42"/>
      <c r="R8763" s="42"/>
      <c r="AC8763" s="42"/>
    </row>
    <row r="8764" spans="15:29" x14ac:dyDescent="0.25">
      <c r="O8764" s="42"/>
      <c r="R8764" s="42"/>
      <c r="AC8764" s="42"/>
    </row>
    <row r="8765" spans="15:29" x14ac:dyDescent="0.25">
      <c r="O8765" s="42"/>
      <c r="R8765" s="42"/>
      <c r="AC8765" s="42"/>
    </row>
    <row r="8766" spans="15:29" x14ac:dyDescent="0.25">
      <c r="O8766" s="42"/>
      <c r="R8766" s="42"/>
      <c r="AC8766" s="42"/>
    </row>
    <row r="8767" spans="15:29" x14ac:dyDescent="0.25">
      <c r="O8767" s="42"/>
      <c r="R8767" s="42"/>
      <c r="AC8767" s="42"/>
    </row>
    <row r="8768" spans="15:29" x14ac:dyDescent="0.25">
      <c r="O8768" s="42"/>
      <c r="R8768" s="42"/>
      <c r="AC8768" s="42"/>
    </row>
    <row r="8769" spans="15:29" x14ac:dyDescent="0.25">
      <c r="O8769" s="42"/>
      <c r="R8769" s="42"/>
      <c r="AC8769" s="42"/>
    </row>
    <row r="8770" spans="15:29" x14ac:dyDescent="0.25">
      <c r="O8770" s="42"/>
      <c r="R8770" s="42"/>
      <c r="AC8770" s="42"/>
    </row>
    <row r="8771" spans="15:29" x14ac:dyDescent="0.25">
      <c r="O8771" s="42"/>
      <c r="R8771" s="42"/>
      <c r="AC8771" s="42"/>
    </row>
    <row r="8772" spans="15:29" x14ac:dyDescent="0.25">
      <c r="O8772" s="42"/>
      <c r="R8772" s="42"/>
      <c r="AC8772" s="42"/>
    </row>
    <row r="8773" spans="15:29" x14ac:dyDescent="0.25">
      <c r="O8773" s="42"/>
      <c r="R8773" s="42"/>
      <c r="AC8773" s="42"/>
    </row>
    <row r="8774" spans="15:29" x14ac:dyDescent="0.25">
      <c r="O8774" s="42"/>
      <c r="R8774" s="42"/>
      <c r="AC8774" s="42"/>
    </row>
    <row r="8775" spans="15:29" x14ac:dyDescent="0.25">
      <c r="O8775" s="42"/>
      <c r="R8775" s="42"/>
      <c r="AC8775" s="42"/>
    </row>
    <row r="8776" spans="15:29" x14ac:dyDescent="0.25">
      <c r="O8776" s="42"/>
      <c r="R8776" s="42"/>
      <c r="AC8776" s="42"/>
    </row>
    <row r="8777" spans="15:29" x14ac:dyDescent="0.25">
      <c r="O8777" s="42"/>
      <c r="R8777" s="42"/>
      <c r="AC8777" s="42"/>
    </row>
    <row r="8778" spans="15:29" x14ac:dyDescent="0.25">
      <c r="O8778" s="42"/>
      <c r="R8778" s="42"/>
      <c r="AC8778" s="42"/>
    </row>
    <row r="8779" spans="15:29" x14ac:dyDescent="0.25">
      <c r="O8779" s="42"/>
      <c r="R8779" s="42"/>
      <c r="AC8779" s="42"/>
    </row>
    <row r="8780" spans="15:29" x14ac:dyDescent="0.25">
      <c r="O8780" s="42"/>
      <c r="R8780" s="42"/>
      <c r="AC8780" s="42"/>
    </row>
    <row r="8781" spans="15:29" x14ac:dyDescent="0.25">
      <c r="O8781" s="42"/>
      <c r="R8781" s="42"/>
      <c r="AC8781" s="42"/>
    </row>
    <row r="8782" spans="15:29" x14ac:dyDescent="0.25">
      <c r="O8782" s="42"/>
      <c r="R8782" s="42"/>
      <c r="AC8782" s="42"/>
    </row>
    <row r="8783" spans="15:29" x14ac:dyDescent="0.25">
      <c r="O8783" s="42"/>
      <c r="R8783" s="42"/>
      <c r="AC8783" s="42"/>
    </row>
    <row r="8784" spans="15:29" x14ac:dyDescent="0.25">
      <c r="O8784" s="42"/>
      <c r="R8784" s="42"/>
      <c r="AC8784" s="42"/>
    </row>
    <row r="8785" spans="15:29" x14ac:dyDescent="0.25">
      <c r="O8785" s="42"/>
      <c r="R8785" s="42"/>
      <c r="AC8785" s="42"/>
    </row>
    <row r="8786" spans="15:29" x14ac:dyDescent="0.25">
      <c r="O8786" s="42"/>
      <c r="R8786" s="42"/>
      <c r="AC8786" s="42"/>
    </row>
    <row r="8787" spans="15:29" x14ac:dyDescent="0.25">
      <c r="O8787" s="42"/>
      <c r="R8787" s="42"/>
      <c r="AC8787" s="42"/>
    </row>
    <row r="8788" spans="15:29" x14ac:dyDescent="0.25">
      <c r="O8788" s="42"/>
      <c r="R8788" s="42"/>
      <c r="AC8788" s="42"/>
    </row>
    <row r="8789" spans="15:29" x14ac:dyDescent="0.25">
      <c r="O8789" s="42"/>
      <c r="R8789" s="42"/>
      <c r="AC8789" s="42"/>
    </row>
    <row r="8790" spans="15:29" x14ac:dyDescent="0.25">
      <c r="O8790" s="42"/>
      <c r="R8790" s="42"/>
      <c r="AC8790" s="42"/>
    </row>
    <row r="8791" spans="15:29" x14ac:dyDescent="0.25">
      <c r="O8791" s="42"/>
      <c r="R8791" s="42"/>
      <c r="AC8791" s="42"/>
    </row>
    <row r="8792" spans="15:29" x14ac:dyDescent="0.25">
      <c r="O8792" s="42"/>
      <c r="R8792" s="42"/>
      <c r="AC8792" s="42"/>
    </row>
    <row r="8793" spans="15:29" x14ac:dyDescent="0.25">
      <c r="O8793" s="42"/>
      <c r="R8793" s="42"/>
      <c r="AC8793" s="42"/>
    </row>
    <row r="8794" spans="15:29" x14ac:dyDescent="0.25">
      <c r="O8794" s="42"/>
      <c r="R8794" s="42"/>
      <c r="AC8794" s="42"/>
    </row>
    <row r="8795" spans="15:29" x14ac:dyDescent="0.25">
      <c r="O8795" s="42"/>
      <c r="R8795" s="42"/>
      <c r="AC8795" s="42"/>
    </row>
    <row r="8796" spans="15:29" x14ac:dyDescent="0.25">
      <c r="O8796" s="42"/>
      <c r="R8796" s="42"/>
      <c r="AC8796" s="42"/>
    </row>
    <row r="8797" spans="15:29" x14ac:dyDescent="0.25">
      <c r="O8797" s="42"/>
      <c r="R8797" s="42"/>
      <c r="AC8797" s="42"/>
    </row>
    <row r="8798" spans="15:29" x14ac:dyDescent="0.25">
      <c r="O8798" s="42"/>
      <c r="R8798" s="42"/>
      <c r="AC8798" s="42"/>
    </row>
    <row r="8799" spans="15:29" x14ac:dyDescent="0.25">
      <c r="O8799" s="42"/>
      <c r="R8799" s="42"/>
      <c r="AC8799" s="42"/>
    </row>
    <row r="8800" spans="15:29" x14ac:dyDescent="0.25">
      <c r="O8800" s="42"/>
      <c r="R8800" s="42"/>
      <c r="AC8800" s="42"/>
    </row>
    <row r="8801" spans="15:29" x14ac:dyDescent="0.25">
      <c r="O8801" s="42"/>
      <c r="R8801" s="42"/>
      <c r="AC8801" s="42"/>
    </row>
    <row r="8802" spans="15:29" x14ac:dyDescent="0.25">
      <c r="O8802" s="42"/>
      <c r="R8802" s="42"/>
      <c r="AC8802" s="42"/>
    </row>
    <row r="8803" spans="15:29" x14ac:dyDescent="0.25">
      <c r="O8803" s="42"/>
      <c r="R8803" s="42"/>
      <c r="AC8803" s="42"/>
    </row>
    <row r="8804" spans="15:29" x14ac:dyDescent="0.25">
      <c r="O8804" s="42"/>
      <c r="R8804" s="42"/>
      <c r="AC8804" s="42"/>
    </row>
    <row r="8805" spans="15:29" x14ac:dyDescent="0.25">
      <c r="O8805" s="42"/>
      <c r="R8805" s="42"/>
      <c r="AC8805" s="42"/>
    </row>
    <row r="8806" spans="15:29" x14ac:dyDescent="0.25">
      <c r="O8806" s="42"/>
      <c r="R8806" s="42"/>
      <c r="AC8806" s="42"/>
    </row>
    <row r="8807" spans="15:29" x14ac:dyDescent="0.25">
      <c r="O8807" s="42"/>
      <c r="R8807" s="42"/>
      <c r="AC8807" s="42"/>
    </row>
    <row r="8808" spans="15:29" x14ac:dyDescent="0.25">
      <c r="O8808" s="42"/>
      <c r="R8808" s="42"/>
      <c r="AC8808" s="42"/>
    </row>
    <row r="8809" spans="15:29" x14ac:dyDescent="0.25">
      <c r="O8809" s="42"/>
      <c r="R8809" s="42"/>
      <c r="AC8809" s="42"/>
    </row>
    <row r="8810" spans="15:29" x14ac:dyDescent="0.25">
      <c r="O8810" s="42"/>
      <c r="R8810" s="42"/>
      <c r="AC8810" s="42"/>
    </row>
    <row r="8811" spans="15:29" x14ac:dyDescent="0.25">
      <c r="O8811" s="42"/>
      <c r="R8811" s="42"/>
      <c r="AC8811" s="42"/>
    </row>
    <row r="8812" spans="15:29" x14ac:dyDescent="0.25">
      <c r="O8812" s="42"/>
      <c r="R8812" s="42"/>
      <c r="AC8812" s="42"/>
    </row>
    <row r="8813" spans="15:29" x14ac:dyDescent="0.25">
      <c r="O8813" s="42"/>
      <c r="R8813" s="42"/>
      <c r="AC8813" s="42"/>
    </row>
    <row r="8814" spans="15:29" x14ac:dyDescent="0.25">
      <c r="O8814" s="42"/>
      <c r="R8814" s="42"/>
      <c r="AC8814" s="42"/>
    </row>
    <row r="8815" spans="15:29" x14ac:dyDescent="0.25">
      <c r="O8815" s="42"/>
      <c r="R8815" s="42"/>
      <c r="AC8815" s="42"/>
    </row>
    <row r="8816" spans="15:29" x14ac:dyDescent="0.25">
      <c r="O8816" s="42"/>
      <c r="R8816" s="42"/>
      <c r="AC8816" s="42"/>
    </row>
    <row r="8817" spans="15:29" x14ac:dyDescent="0.25">
      <c r="O8817" s="42"/>
      <c r="R8817" s="42"/>
      <c r="AC8817" s="42"/>
    </row>
    <row r="8818" spans="15:29" x14ac:dyDescent="0.25">
      <c r="O8818" s="42"/>
      <c r="R8818" s="42"/>
      <c r="AC8818" s="42"/>
    </row>
    <row r="8819" spans="15:29" x14ac:dyDescent="0.25">
      <c r="O8819" s="42"/>
      <c r="R8819" s="42"/>
      <c r="AC8819" s="42"/>
    </row>
    <row r="8820" spans="15:29" x14ac:dyDescent="0.25">
      <c r="O8820" s="42"/>
      <c r="R8820" s="42"/>
      <c r="AC8820" s="42"/>
    </row>
    <row r="8821" spans="15:29" x14ac:dyDescent="0.25">
      <c r="O8821" s="42"/>
      <c r="R8821" s="42"/>
      <c r="AC8821" s="42"/>
    </row>
    <row r="8822" spans="15:29" x14ac:dyDescent="0.25">
      <c r="O8822" s="42"/>
      <c r="R8822" s="42"/>
      <c r="AC8822" s="42"/>
    </row>
    <row r="8823" spans="15:29" x14ac:dyDescent="0.25">
      <c r="O8823" s="42"/>
      <c r="R8823" s="42"/>
      <c r="AC8823" s="42"/>
    </row>
    <row r="8824" spans="15:29" x14ac:dyDescent="0.25">
      <c r="O8824" s="42"/>
      <c r="R8824" s="42"/>
      <c r="AC8824" s="42"/>
    </row>
    <row r="8825" spans="15:29" x14ac:dyDescent="0.25">
      <c r="O8825" s="42"/>
      <c r="R8825" s="42"/>
      <c r="AC8825" s="42"/>
    </row>
    <row r="8826" spans="15:29" x14ac:dyDescent="0.25">
      <c r="O8826" s="42"/>
      <c r="R8826" s="42"/>
      <c r="AC8826" s="42"/>
    </row>
    <row r="8827" spans="15:29" x14ac:dyDescent="0.25">
      <c r="O8827" s="42"/>
      <c r="R8827" s="42"/>
      <c r="AC8827" s="42"/>
    </row>
    <row r="8828" spans="15:29" x14ac:dyDescent="0.25">
      <c r="O8828" s="42"/>
      <c r="R8828" s="42"/>
      <c r="AC8828" s="42"/>
    </row>
    <row r="8829" spans="15:29" x14ac:dyDescent="0.25">
      <c r="O8829" s="42"/>
      <c r="R8829" s="42"/>
      <c r="AC8829" s="42"/>
    </row>
    <row r="8830" spans="15:29" x14ac:dyDescent="0.25">
      <c r="O8830" s="42"/>
      <c r="R8830" s="42"/>
      <c r="AC8830" s="42"/>
    </row>
    <row r="8831" spans="15:29" x14ac:dyDescent="0.25">
      <c r="O8831" s="42"/>
      <c r="R8831" s="42"/>
      <c r="AC8831" s="42"/>
    </row>
    <row r="8832" spans="15:29" x14ac:dyDescent="0.25">
      <c r="O8832" s="42"/>
      <c r="R8832" s="42"/>
      <c r="AC8832" s="42"/>
    </row>
    <row r="8833" spans="15:29" x14ac:dyDescent="0.25">
      <c r="O8833" s="42"/>
      <c r="R8833" s="42"/>
      <c r="AC8833" s="42"/>
    </row>
    <row r="8834" spans="15:29" x14ac:dyDescent="0.25">
      <c r="O8834" s="42"/>
      <c r="R8834" s="42"/>
      <c r="AC8834" s="42"/>
    </row>
    <row r="8835" spans="15:29" x14ac:dyDescent="0.25">
      <c r="O8835" s="42"/>
      <c r="R8835" s="42"/>
      <c r="AC8835" s="42"/>
    </row>
    <row r="8836" spans="15:29" x14ac:dyDescent="0.25">
      <c r="O8836" s="42"/>
      <c r="R8836" s="42"/>
      <c r="AC8836" s="42"/>
    </row>
    <row r="8837" spans="15:29" x14ac:dyDescent="0.25">
      <c r="O8837" s="42"/>
      <c r="R8837" s="42"/>
      <c r="AC8837" s="42"/>
    </row>
    <row r="8838" spans="15:29" x14ac:dyDescent="0.25">
      <c r="O8838" s="42"/>
      <c r="R8838" s="42"/>
      <c r="AC8838" s="42"/>
    </row>
    <row r="8839" spans="15:29" x14ac:dyDescent="0.25">
      <c r="O8839" s="42"/>
      <c r="R8839" s="42"/>
      <c r="AC8839" s="42"/>
    </row>
    <row r="8840" spans="15:29" x14ac:dyDescent="0.25">
      <c r="O8840" s="42"/>
      <c r="R8840" s="42"/>
      <c r="AC8840" s="42"/>
    </row>
    <row r="8841" spans="15:29" x14ac:dyDescent="0.25">
      <c r="O8841" s="42"/>
      <c r="R8841" s="42"/>
      <c r="AC8841" s="42"/>
    </row>
    <row r="8842" spans="15:29" x14ac:dyDescent="0.25">
      <c r="O8842" s="42"/>
      <c r="R8842" s="42"/>
      <c r="AC8842" s="42"/>
    </row>
    <row r="8843" spans="15:29" x14ac:dyDescent="0.25">
      <c r="O8843" s="42"/>
      <c r="R8843" s="42"/>
      <c r="AC8843" s="42"/>
    </row>
    <row r="8844" spans="15:29" x14ac:dyDescent="0.25">
      <c r="O8844" s="42"/>
      <c r="R8844" s="42"/>
      <c r="AC8844" s="42"/>
    </row>
    <row r="8845" spans="15:29" x14ac:dyDescent="0.25">
      <c r="O8845" s="42"/>
      <c r="R8845" s="42"/>
      <c r="AC8845" s="42"/>
    </row>
    <row r="8846" spans="15:29" x14ac:dyDescent="0.25">
      <c r="O8846" s="42"/>
      <c r="R8846" s="42"/>
      <c r="AC8846" s="42"/>
    </row>
    <row r="8847" spans="15:29" x14ac:dyDescent="0.25">
      <c r="O8847" s="42"/>
      <c r="R8847" s="42"/>
      <c r="AC8847" s="42"/>
    </row>
    <row r="8848" spans="15:29" x14ac:dyDescent="0.25">
      <c r="O8848" s="42"/>
      <c r="R8848" s="42"/>
      <c r="AC8848" s="42"/>
    </row>
    <row r="8849" spans="15:29" x14ac:dyDescent="0.25">
      <c r="O8849" s="42"/>
      <c r="R8849" s="42"/>
      <c r="AC8849" s="42"/>
    </row>
    <row r="8850" spans="15:29" x14ac:dyDescent="0.25">
      <c r="O8850" s="42"/>
      <c r="R8850" s="42"/>
      <c r="AC8850" s="42"/>
    </row>
    <row r="8851" spans="15:29" x14ac:dyDescent="0.25">
      <c r="O8851" s="42"/>
      <c r="R8851" s="42"/>
      <c r="AC8851" s="42"/>
    </row>
    <row r="8852" spans="15:29" x14ac:dyDescent="0.25">
      <c r="O8852" s="42"/>
      <c r="R8852" s="42"/>
      <c r="AC8852" s="42"/>
    </row>
    <row r="8853" spans="15:29" x14ac:dyDescent="0.25">
      <c r="O8853" s="42"/>
      <c r="R8853" s="42"/>
      <c r="AC8853" s="42"/>
    </row>
    <row r="8854" spans="15:29" x14ac:dyDescent="0.25">
      <c r="O8854" s="42"/>
      <c r="R8854" s="42"/>
      <c r="AC8854" s="42"/>
    </row>
    <row r="8855" spans="15:29" x14ac:dyDescent="0.25">
      <c r="O8855" s="42"/>
      <c r="R8855" s="42"/>
      <c r="AC8855" s="42"/>
    </row>
    <row r="8856" spans="15:29" x14ac:dyDescent="0.25">
      <c r="O8856" s="42"/>
      <c r="R8856" s="42"/>
      <c r="AC8856" s="42"/>
    </row>
    <row r="8857" spans="15:29" x14ac:dyDescent="0.25">
      <c r="O8857" s="42"/>
      <c r="R8857" s="42"/>
      <c r="AC8857" s="42"/>
    </row>
    <row r="8858" spans="15:29" x14ac:dyDescent="0.25">
      <c r="O8858" s="42"/>
      <c r="R8858" s="42"/>
      <c r="AC8858" s="42"/>
    </row>
    <row r="8859" spans="15:29" x14ac:dyDescent="0.25">
      <c r="O8859" s="42"/>
      <c r="R8859" s="42"/>
      <c r="AC8859" s="42"/>
    </row>
    <row r="8860" spans="15:29" x14ac:dyDescent="0.25">
      <c r="O8860" s="42"/>
      <c r="R8860" s="42"/>
      <c r="AC8860" s="42"/>
    </row>
    <row r="8861" spans="15:29" x14ac:dyDescent="0.25">
      <c r="O8861" s="42"/>
      <c r="R8861" s="42"/>
      <c r="AC8861" s="42"/>
    </row>
    <row r="8862" spans="15:29" x14ac:dyDescent="0.25">
      <c r="O8862" s="42"/>
      <c r="R8862" s="42"/>
      <c r="AC8862" s="42"/>
    </row>
    <row r="8863" spans="15:29" x14ac:dyDescent="0.25">
      <c r="O8863" s="42"/>
      <c r="R8863" s="42"/>
      <c r="AC8863" s="42"/>
    </row>
    <row r="8864" spans="15:29" x14ac:dyDescent="0.25">
      <c r="O8864" s="42"/>
      <c r="R8864" s="42"/>
      <c r="AC8864" s="42"/>
    </row>
    <row r="8865" spans="15:29" x14ac:dyDescent="0.25">
      <c r="O8865" s="42"/>
      <c r="R8865" s="42"/>
      <c r="AC8865" s="42"/>
    </row>
    <row r="8866" spans="15:29" x14ac:dyDescent="0.25">
      <c r="O8866" s="42"/>
      <c r="R8866" s="42"/>
      <c r="AC8866" s="42"/>
    </row>
    <row r="8867" spans="15:29" x14ac:dyDescent="0.25">
      <c r="O8867" s="42"/>
      <c r="R8867" s="42"/>
      <c r="AC8867" s="42"/>
    </row>
    <row r="8868" spans="15:29" x14ac:dyDescent="0.25">
      <c r="O8868" s="42"/>
      <c r="R8868" s="42"/>
      <c r="AC8868" s="42"/>
    </row>
    <row r="8869" spans="15:29" x14ac:dyDescent="0.25">
      <c r="O8869" s="42"/>
      <c r="R8869" s="42"/>
      <c r="AC8869" s="42"/>
    </row>
    <row r="8870" spans="15:29" x14ac:dyDescent="0.25">
      <c r="O8870" s="42"/>
      <c r="R8870" s="42"/>
      <c r="AC8870" s="42"/>
    </row>
    <row r="8871" spans="15:29" x14ac:dyDescent="0.25">
      <c r="O8871" s="42"/>
      <c r="R8871" s="42"/>
      <c r="AC8871" s="42"/>
    </row>
    <row r="8872" spans="15:29" x14ac:dyDescent="0.25">
      <c r="O8872" s="42"/>
      <c r="R8872" s="42"/>
      <c r="AC8872" s="42"/>
    </row>
    <row r="8873" spans="15:29" x14ac:dyDescent="0.25">
      <c r="O8873" s="42"/>
      <c r="R8873" s="42"/>
      <c r="AC8873" s="42"/>
    </row>
    <row r="8874" spans="15:29" x14ac:dyDescent="0.25">
      <c r="O8874" s="42"/>
      <c r="R8874" s="42"/>
      <c r="AC8874" s="42"/>
    </row>
    <row r="8875" spans="15:29" x14ac:dyDescent="0.25">
      <c r="O8875" s="42"/>
      <c r="R8875" s="42"/>
      <c r="AC8875" s="42"/>
    </row>
    <row r="8876" spans="15:29" x14ac:dyDescent="0.25">
      <c r="O8876" s="42"/>
      <c r="R8876" s="42"/>
      <c r="AC8876" s="42"/>
    </row>
    <row r="8877" spans="15:29" x14ac:dyDescent="0.25">
      <c r="O8877" s="42"/>
      <c r="R8877" s="42"/>
      <c r="AC8877" s="42"/>
    </row>
    <row r="8878" spans="15:29" x14ac:dyDescent="0.25">
      <c r="O8878" s="42"/>
      <c r="R8878" s="42"/>
      <c r="AC8878" s="42"/>
    </row>
    <row r="8879" spans="15:29" x14ac:dyDescent="0.25">
      <c r="O8879" s="42"/>
      <c r="R8879" s="42"/>
      <c r="AC8879" s="42"/>
    </row>
    <row r="8880" spans="15:29" x14ac:dyDescent="0.25">
      <c r="O8880" s="42"/>
      <c r="R8880" s="42"/>
      <c r="AC8880" s="42"/>
    </row>
    <row r="8881" spans="15:29" x14ac:dyDescent="0.25">
      <c r="O8881" s="42"/>
      <c r="R8881" s="42"/>
      <c r="AC8881" s="42"/>
    </row>
    <row r="8882" spans="15:29" x14ac:dyDescent="0.25">
      <c r="O8882" s="42"/>
      <c r="R8882" s="42"/>
      <c r="AC8882" s="42"/>
    </row>
    <row r="8883" spans="15:29" x14ac:dyDescent="0.25">
      <c r="O8883" s="42"/>
      <c r="R8883" s="42"/>
      <c r="AC8883" s="42"/>
    </row>
    <row r="8884" spans="15:29" x14ac:dyDescent="0.25">
      <c r="O8884" s="42"/>
      <c r="R8884" s="42"/>
      <c r="AC8884" s="42"/>
    </row>
    <row r="8885" spans="15:29" x14ac:dyDescent="0.25">
      <c r="O8885" s="42"/>
      <c r="R8885" s="42"/>
      <c r="AC8885" s="42"/>
    </row>
    <row r="8886" spans="15:29" x14ac:dyDescent="0.25">
      <c r="O8886" s="42"/>
      <c r="R8886" s="42"/>
      <c r="AC8886" s="42"/>
    </row>
    <row r="8887" spans="15:29" x14ac:dyDescent="0.25">
      <c r="O8887" s="42"/>
      <c r="R8887" s="42"/>
      <c r="AC8887" s="42"/>
    </row>
    <row r="8888" spans="15:29" x14ac:dyDescent="0.25">
      <c r="O8888" s="42"/>
      <c r="R8888" s="42"/>
      <c r="AC8888" s="42"/>
    </row>
    <row r="8889" spans="15:29" x14ac:dyDescent="0.25">
      <c r="O8889" s="42"/>
      <c r="R8889" s="42"/>
      <c r="AC8889" s="42"/>
    </row>
    <row r="8890" spans="15:29" x14ac:dyDescent="0.25">
      <c r="O8890" s="42"/>
      <c r="R8890" s="42"/>
      <c r="AC8890" s="42"/>
    </row>
    <row r="8891" spans="15:29" x14ac:dyDescent="0.25">
      <c r="O8891" s="42"/>
      <c r="R8891" s="42"/>
      <c r="AC8891" s="42"/>
    </row>
    <row r="8892" spans="15:29" x14ac:dyDescent="0.25">
      <c r="O8892" s="42"/>
      <c r="R8892" s="42"/>
      <c r="AC8892" s="42"/>
    </row>
    <row r="8893" spans="15:29" x14ac:dyDescent="0.25">
      <c r="O8893" s="42"/>
      <c r="R8893" s="42"/>
      <c r="AC8893" s="42"/>
    </row>
    <row r="8894" spans="15:29" x14ac:dyDescent="0.25">
      <c r="O8894" s="42"/>
      <c r="R8894" s="42"/>
      <c r="AC8894" s="42"/>
    </row>
    <row r="8895" spans="15:29" x14ac:dyDescent="0.25">
      <c r="O8895" s="42"/>
      <c r="R8895" s="42"/>
      <c r="AC8895" s="42"/>
    </row>
    <row r="8896" spans="15:29" x14ac:dyDescent="0.25">
      <c r="O8896" s="42"/>
      <c r="R8896" s="42"/>
      <c r="AC8896" s="42"/>
    </row>
    <row r="8897" spans="15:29" x14ac:dyDescent="0.25">
      <c r="O8897" s="42"/>
      <c r="R8897" s="42"/>
      <c r="AC8897" s="42"/>
    </row>
    <row r="8898" spans="15:29" x14ac:dyDescent="0.25">
      <c r="O8898" s="42"/>
      <c r="R8898" s="42"/>
      <c r="AC8898" s="42"/>
    </row>
    <row r="8899" spans="15:29" x14ac:dyDescent="0.25">
      <c r="O8899" s="42"/>
      <c r="R8899" s="42"/>
      <c r="AC8899" s="42"/>
    </row>
    <row r="8900" spans="15:29" x14ac:dyDescent="0.25">
      <c r="O8900" s="42"/>
      <c r="R8900" s="42"/>
      <c r="AC8900" s="42"/>
    </row>
    <row r="8901" spans="15:29" x14ac:dyDescent="0.25">
      <c r="O8901" s="42"/>
      <c r="R8901" s="42"/>
      <c r="AC8901" s="42"/>
    </row>
    <row r="8902" spans="15:29" x14ac:dyDescent="0.25">
      <c r="O8902" s="42"/>
      <c r="R8902" s="42"/>
      <c r="AC8902" s="42"/>
    </row>
    <row r="8903" spans="15:29" x14ac:dyDescent="0.25">
      <c r="O8903" s="42"/>
      <c r="R8903" s="42"/>
      <c r="AC8903" s="42"/>
    </row>
    <row r="8904" spans="15:29" x14ac:dyDescent="0.25">
      <c r="O8904" s="42"/>
      <c r="R8904" s="42"/>
      <c r="AC8904" s="42"/>
    </row>
    <row r="8905" spans="15:29" x14ac:dyDescent="0.25">
      <c r="O8905" s="42"/>
      <c r="R8905" s="42"/>
      <c r="AC8905" s="42"/>
    </row>
    <row r="8906" spans="15:29" x14ac:dyDescent="0.25">
      <c r="O8906" s="42"/>
      <c r="R8906" s="42"/>
      <c r="AC8906" s="42"/>
    </row>
    <row r="8907" spans="15:29" x14ac:dyDescent="0.25">
      <c r="O8907" s="42"/>
      <c r="R8907" s="42"/>
      <c r="AC8907" s="42"/>
    </row>
    <row r="8908" spans="15:29" x14ac:dyDescent="0.25">
      <c r="O8908" s="42"/>
      <c r="R8908" s="42"/>
      <c r="AC8908" s="42"/>
    </row>
    <row r="8909" spans="15:29" x14ac:dyDescent="0.25">
      <c r="O8909" s="42"/>
      <c r="R8909" s="42"/>
      <c r="AC8909" s="42"/>
    </row>
    <row r="8910" spans="15:29" x14ac:dyDescent="0.25">
      <c r="O8910" s="42"/>
      <c r="R8910" s="42"/>
      <c r="AC8910" s="42"/>
    </row>
    <row r="8911" spans="15:29" x14ac:dyDescent="0.25">
      <c r="O8911" s="42"/>
      <c r="R8911" s="42"/>
      <c r="AC8911" s="42"/>
    </row>
    <row r="8912" spans="15:29" x14ac:dyDescent="0.25">
      <c r="O8912" s="42"/>
      <c r="R8912" s="42"/>
      <c r="AC8912" s="42"/>
    </row>
    <row r="8913" spans="15:29" x14ac:dyDescent="0.25">
      <c r="O8913" s="42"/>
      <c r="R8913" s="42"/>
      <c r="AC8913" s="42"/>
    </row>
    <row r="8914" spans="15:29" x14ac:dyDescent="0.25">
      <c r="O8914" s="42"/>
      <c r="R8914" s="42"/>
      <c r="AC8914" s="42"/>
    </row>
    <row r="8915" spans="15:29" x14ac:dyDescent="0.25">
      <c r="O8915" s="42"/>
      <c r="R8915" s="42"/>
      <c r="AC8915" s="42"/>
    </row>
    <row r="8916" spans="15:29" x14ac:dyDescent="0.25">
      <c r="O8916" s="42"/>
      <c r="R8916" s="42"/>
      <c r="AC8916" s="42"/>
    </row>
    <row r="8917" spans="15:29" x14ac:dyDescent="0.25">
      <c r="O8917" s="42"/>
      <c r="R8917" s="42"/>
      <c r="AC8917" s="42"/>
    </row>
    <row r="8918" spans="15:29" x14ac:dyDescent="0.25">
      <c r="O8918" s="42"/>
      <c r="R8918" s="42"/>
      <c r="AC8918" s="42"/>
    </row>
    <row r="8919" spans="15:29" x14ac:dyDescent="0.25">
      <c r="O8919" s="42"/>
      <c r="R8919" s="42"/>
      <c r="AC8919" s="42"/>
    </row>
    <row r="8920" spans="15:29" x14ac:dyDescent="0.25">
      <c r="O8920" s="42"/>
      <c r="R8920" s="42"/>
      <c r="AC8920" s="42"/>
    </row>
    <row r="8921" spans="15:29" x14ac:dyDescent="0.25">
      <c r="O8921" s="42"/>
      <c r="R8921" s="42"/>
      <c r="AC8921" s="42"/>
    </row>
    <row r="8922" spans="15:29" x14ac:dyDescent="0.25">
      <c r="O8922" s="42"/>
      <c r="R8922" s="42"/>
      <c r="AC8922" s="42"/>
    </row>
    <row r="8923" spans="15:29" x14ac:dyDescent="0.25">
      <c r="O8923" s="42"/>
      <c r="R8923" s="42"/>
      <c r="AC8923" s="42"/>
    </row>
    <row r="8924" spans="15:29" x14ac:dyDescent="0.25">
      <c r="O8924" s="42"/>
      <c r="R8924" s="42"/>
      <c r="AC8924" s="42"/>
    </row>
    <row r="8925" spans="15:29" x14ac:dyDescent="0.25">
      <c r="O8925" s="42"/>
      <c r="R8925" s="42"/>
      <c r="AC8925" s="42"/>
    </row>
    <row r="8926" spans="15:29" x14ac:dyDescent="0.25">
      <c r="O8926" s="42"/>
      <c r="R8926" s="42"/>
      <c r="AC8926" s="42"/>
    </row>
    <row r="8927" spans="15:29" x14ac:dyDescent="0.25">
      <c r="O8927" s="42"/>
      <c r="R8927" s="42"/>
      <c r="AC8927" s="42"/>
    </row>
    <row r="8928" spans="15:29" x14ac:dyDescent="0.25">
      <c r="O8928" s="42"/>
      <c r="R8928" s="42"/>
      <c r="AC8928" s="42"/>
    </row>
    <row r="8929" spans="15:29" x14ac:dyDescent="0.25">
      <c r="O8929" s="42"/>
      <c r="R8929" s="42"/>
      <c r="AC8929" s="42"/>
    </row>
    <row r="8930" spans="15:29" x14ac:dyDescent="0.25">
      <c r="O8930" s="42"/>
      <c r="R8930" s="42"/>
      <c r="AC8930" s="42"/>
    </row>
    <row r="8931" spans="15:29" x14ac:dyDescent="0.25">
      <c r="O8931" s="42"/>
      <c r="R8931" s="42"/>
      <c r="AC8931" s="42"/>
    </row>
    <row r="8932" spans="15:29" x14ac:dyDescent="0.25">
      <c r="O8932" s="42"/>
      <c r="R8932" s="42"/>
      <c r="AC8932" s="42"/>
    </row>
    <row r="8933" spans="15:29" x14ac:dyDescent="0.25">
      <c r="O8933" s="42"/>
      <c r="R8933" s="42"/>
      <c r="AC8933" s="42"/>
    </row>
    <row r="8934" spans="15:29" x14ac:dyDescent="0.25">
      <c r="O8934" s="42"/>
      <c r="R8934" s="42"/>
      <c r="AC8934" s="42"/>
    </row>
    <row r="8935" spans="15:29" x14ac:dyDescent="0.25">
      <c r="O8935" s="42"/>
      <c r="R8935" s="42"/>
      <c r="AC8935" s="42"/>
    </row>
    <row r="8936" spans="15:29" x14ac:dyDescent="0.25">
      <c r="O8936" s="42"/>
      <c r="R8936" s="42"/>
      <c r="AC8936" s="42"/>
    </row>
    <row r="8937" spans="15:29" x14ac:dyDescent="0.25">
      <c r="O8937" s="42"/>
      <c r="R8937" s="42"/>
      <c r="AC8937" s="42"/>
    </row>
    <row r="8938" spans="15:29" x14ac:dyDescent="0.25">
      <c r="O8938" s="42"/>
      <c r="R8938" s="42"/>
      <c r="AC8938" s="42"/>
    </row>
    <row r="8939" spans="15:29" x14ac:dyDescent="0.25">
      <c r="O8939" s="42"/>
      <c r="R8939" s="42"/>
      <c r="AC8939" s="42"/>
    </row>
    <row r="8940" spans="15:29" x14ac:dyDescent="0.25">
      <c r="O8940" s="42"/>
      <c r="R8940" s="42"/>
      <c r="AC8940" s="42"/>
    </row>
    <row r="8941" spans="15:29" x14ac:dyDescent="0.25">
      <c r="O8941" s="42"/>
      <c r="R8941" s="42"/>
      <c r="AC8941" s="42"/>
    </row>
    <row r="8942" spans="15:29" x14ac:dyDescent="0.25">
      <c r="O8942" s="42"/>
      <c r="R8942" s="42"/>
      <c r="AC8942" s="42"/>
    </row>
    <row r="8943" spans="15:29" x14ac:dyDescent="0.25">
      <c r="O8943" s="42"/>
      <c r="R8943" s="42"/>
      <c r="AC8943" s="42"/>
    </row>
    <row r="8944" spans="15:29" x14ac:dyDescent="0.25">
      <c r="O8944" s="42"/>
      <c r="R8944" s="42"/>
      <c r="AC8944" s="42"/>
    </row>
    <row r="8945" spans="15:29" x14ac:dyDescent="0.25">
      <c r="O8945" s="42"/>
      <c r="R8945" s="42"/>
      <c r="AC8945" s="42"/>
    </row>
    <row r="8946" spans="15:29" x14ac:dyDescent="0.25">
      <c r="O8946" s="42"/>
      <c r="R8946" s="42"/>
      <c r="AC8946" s="42"/>
    </row>
    <row r="8947" spans="15:29" x14ac:dyDescent="0.25">
      <c r="O8947" s="42"/>
      <c r="R8947" s="42"/>
      <c r="AC8947" s="42"/>
    </row>
    <row r="8948" spans="15:29" x14ac:dyDescent="0.25">
      <c r="O8948" s="42"/>
      <c r="R8948" s="42"/>
      <c r="AC8948" s="42"/>
    </row>
    <row r="8949" spans="15:29" x14ac:dyDescent="0.25">
      <c r="O8949" s="42"/>
      <c r="R8949" s="42"/>
      <c r="AC8949" s="42"/>
    </row>
    <row r="8950" spans="15:29" x14ac:dyDescent="0.25">
      <c r="O8950" s="42"/>
      <c r="R8950" s="42"/>
      <c r="AC8950" s="42"/>
    </row>
    <row r="8951" spans="15:29" x14ac:dyDescent="0.25">
      <c r="O8951" s="42"/>
      <c r="R8951" s="42"/>
      <c r="AC8951" s="42"/>
    </row>
    <row r="8952" spans="15:29" x14ac:dyDescent="0.25">
      <c r="O8952" s="42"/>
      <c r="R8952" s="42"/>
      <c r="AC8952" s="42"/>
    </row>
    <row r="8953" spans="15:29" x14ac:dyDescent="0.25">
      <c r="O8953" s="42"/>
      <c r="R8953" s="42"/>
      <c r="AC8953" s="42"/>
    </row>
    <row r="8954" spans="15:29" x14ac:dyDescent="0.25">
      <c r="O8954" s="42"/>
      <c r="R8954" s="42"/>
      <c r="AC8954" s="42"/>
    </row>
    <row r="8955" spans="15:29" x14ac:dyDescent="0.25">
      <c r="O8955" s="42"/>
      <c r="R8955" s="42"/>
      <c r="AC8955" s="42"/>
    </row>
    <row r="8956" spans="15:29" x14ac:dyDescent="0.25">
      <c r="O8956" s="42"/>
      <c r="R8956" s="42"/>
      <c r="AC8956" s="42"/>
    </row>
    <row r="8957" spans="15:29" x14ac:dyDescent="0.25">
      <c r="O8957" s="42"/>
      <c r="R8957" s="42"/>
      <c r="AC8957" s="42"/>
    </row>
    <row r="8958" spans="15:29" x14ac:dyDescent="0.25">
      <c r="O8958" s="42"/>
      <c r="R8958" s="42"/>
      <c r="AC8958" s="42"/>
    </row>
    <row r="8959" spans="15:29" x14ac:dyDescent="0.25">
      <c r="O8959" s="42"/>
      <c r="R8959" s="42"/>
      <c r="AC8959" s="42"/>
    </row>
    <row r="8960" spans="15:29" x14ac:dyDescent="0.25">
      <c r="O8960" s="42"/>
      <c r="R8960" s="42"/>
      <c r="AC8960" s="42"/>
    </row>
    <row r="8961" spans="15:29" x14ac:dyDescent="0.25">
      <c r="O8961" s="42"/>
      <c r="R8961" s="42"/>
      <c r="AC8961" s="42"/>
    </row>
    <row r="8962" spans="15:29" x14ac:dyDescent="0.25">
      <c r="O8962" s="42"/>
      <c r="R8962" s="42"/>
      <c r="AC8962" s="42"/>
    </row>
    <row r="8963" spans="15:29" x14ac:dyDescent="0.25">
      <c r="O8963" s="42"/>
      <c r="R8963" s="42"/>
      <c r="AC8963" s="42"/>
    </row>
    <row r="8964" spans="15:29" x14ac:dyDescent="0.25">
      <c r="O8964" s="42"/>
      <c r="R8964" s="42"/>
      <c r="AC8964" s="42"/>
    </row>
    <row r="8965" spans="15:29" x14ac:dyDescent="0.25">
      <c r="O8965" s="42"/>
      <c r="R8965" s="42"/>
      <c r="AC8965" s="42"/>
    </row>
    <row r="8966" spans="15:29" x14ac:dyDescent="0.25">
      <c r="O8966" s="42"/>
      <c r="R8966" s="42"/>
      <c r="AC8966" s="42"/>
    </row>
    <row r="8967" spans="15:29" x14ac:dyDescent="0.25">
      <c r="O8967" s="42"/>
      <c r="R8967" s="42"/>
      <c r="AC8967" s="42"/>
    </row>
    <row r="8968" spans="15:29" x14ac:dyDescent="0.25">
      <c r="O8968" s="42"/>
      <c r="R8968" s="42"/>
      <c r="AC8968" s="42"/>
    </row>
    <row r="8969" spans="15:29" x14ac:dyDescent="0.25">
      <c r="O8969" s="42"/>
      <c r="R8969" s="42"/>
      <c r="AC8969" s="42"/>
    </row>
    <row r="8970" spans="15:29" x14ac:dyDescent="0.25">
      <c r="O8970" s="42"/>
      <c r="R8970" s="42"/>
      <c r="AC8970" s="42"/>
    </row>
    <row r="8971" spans="15:29" x14ac:dyDescent="0.25">
      <c r="O8971" s="42"/>
      <c r="R8971" s="42"/>
      <c r="AC8971" s="42"/>
    </row>
    <row r="8972" spans="15:29" x14ac:dyDescent="0.25">
      <c r="O8972" s="42"/>
      <c r="R8972" s="42"/>
      <c r="AC8972" s="42"/>
    </row>
    <row r="8973" spans="15:29" x14ac:dyDescent="0.25">
      <c r="O8973" s="42"/>
      <c r="R8973" s="42"/>
      <c r="AC8973" s="42"/>
    </row>
    <row r="8974" spans="15:29" x14ac:dyDescent="0.25">
      <c r="O8974" s="42"/>
      <c r="R8974" s="42"/>
      <c r="AC8974" s="42"/>
    </row>
    <row r="8975" spans="15:29" x14ac:dyDescent="0.25">
      <c r="O8975" s="42"/>
      <c r="R8975" s="42"/>
      <c r="AC8975" s="42"/>
    </row>
    <row r="8976" spans="15:29" x14ac:dyDescent="0.25">
      <c r="O8976" s="42"/>
      <c r="R8976" s="42"/>
      <c r="AC8976" s="42"/>
    </row>
    <row r="8977" spans="15:29" x14ac:dyDescent="0.25">
      <c r="O8977" s="42"/>
      <c r="R8977" s="42"/>
      <c r="AC8977" s="42"/>
    </row>
    <row r="8978" spans="15:29" x14ac:dyDescent="0.25">
      <c r="O8978" s="42"/>
      <c r="R8978" s="42"/>
      <c r="AC8978" s="42"/>
    </row>
    <row r="8979" spans="15:29" x14ac:dyDescent="0.25">
      <c r="O8979" s="42"/>
      <c r="R8979" s="42"/>
      <c r="AC8979" s="42"/>
    </row>
    <row r="8980" spans="15:29" x14ac:dyDescent="0.25">
      <c r="O8980" s="42"/>
      <c r="R8980" s="42"/>
      <c r="AC8980" s="42"/>
    </row>
    <row r="8981" spans="15:29" x14ac:dyDescent="0.25">
      <c r="O8981" s="42"/>
      <c r="R8981" s="42"/>
      <c r="AC8981" s="42"/>
    </row>
    <row r="8982" spans="15:29" x14ac:dyDescent="0.25">
      <c r="O8982" s="42"/>
      <c r="R8982" s="42"/>
      <c r="AC8982" s="42"/>
    </row>
    <row r="8983" spans="15:29" x14ac:dyDescent="0.25">
      <c r="O8983" s="42"/>
      <c r="R8983" s="42"/>
      <c r="AC8983" s="42"/>
    </row>
    <row r="8984" spans="15:29" x14ac:dyDescent="0.25">
      <c r="O8984" s="42"/>
      <c r="R8984" s="42"/>
      <c r="AC8984" s="42"/>
    </row>
    <row r="8985" spans="15:29" x14ac:dyDescent="0.25">
      <c r="O8985" s="42"/>
      <c r="R8985" s="42"/>
      <c r="AC8985" s="42"/>
    </row>
    <row r="8986" spans="15:29" x14ac:dyDescent="0.25">
      <c r="O8986" s="42"/>
      <c r="R8986" s="42"/>
      <c r="AC8986" s="42"/>
    </row>
    <row r="8987" spans="15:29" x14ac:dyDescent="0.25">
      <c r="O8987" s="42"/>
      <c r="R8987" s="42"/>
      <c r="AC8987" s="42"/>
    </row>
    <row r="8988" spans="15:29" x14ac:dyDescent="0.25">
      <c r="O8988" s="42"/>
      <c r="R8988" s="42"/>
      <c r="AC8988" s="42"/>
    </row>
    <row r="8989" spans="15:29" x14ac:dyDescent="0.25">
      <c r="O8989" s="42"/>
      <c r="R8989" s="42"/>
      <c r="AC8989" s="42"/>
    </row>
    <row r="8990" spans="15:29" x14ac:dyDescent="0.25">
      <c r="O8990" s="42"/>
      <c r="R8990" s="42"/>
      <c r="AC8990" s="42"/>
    </row>
    <row r="8991" spans="15:29" x14ac:dyDescent="0.25">
      <c r="O8991" s="42"/>
      <c r="R8991" s="42"/>
      <c r="AC8991" s="42"/>
    </row>
    <row r="8992" spans="15:29" x14ac:dyDescent="0.25">
      <c r="O8992" s="42"/>
      <c r="R8992" s="42"/>
      <c r="AC8992" s="42"/>
    </row>
    <row r="8993" spans="15:29" x14ac:dyDescent="0.25">
      <c r="O8993" s="42"/>
      <c r="R8993" s="42"/>
      <c r="AC8993" s="42"/>
    </row>
    <row r="8994" spans="15:29" x14ac:dyDescent="0.25">
      <c r="O8994" s="42"/>
      <c r="R8994" s="42"/>
      <c r="AC8994" s="42"/>
    </row>
    <row r="8995" spans="15:29" x14ac:dyDescent="0.25">
      <c r="O8995" s="42"/>
      <c r="R8995" s="42"/>
      <c r="AC8995" s="42"/>
    </row>
    <row r="8996" spans="15:29" x14ac:dyDescent="0.25">
      <c r="O8996" s="42"/>
      <c r="R8996" s="42"/>
      <c r="AC8996" s="42"/>
    </row>
    <row r="8997" spans="15:29" x14ac:dyDescent="0.25">
      <c r="O8997" s="42"/>
      <c r="R8997" s="42"/>
      <c r="AC8997" s="42"/>
    </row>
    <row r="8998" spans="15:29" x14ac:dyDescent="0.25">
      <c r="O8998" s="42"/>
      <c r="R8998" s="42"/>
      <c r="AC8998" s="42"/>
    </row>
    <row r="8999" spans="15:29" x14ac:dyDescent="0.25">
      <c r="O8999" s="42"/>
      <c r="R8999" s="42"/>
      <c r="AC8999" s="42"/>
    </row>
    <row r="9000" spans="15:29" x14ac:dyDescent="0.25">
      <c r="O9000" s="42"/>
      <c r="R9000" s="42"/>
      <c r="AC9000" s="42"/>
    </row>
    <row r="9001" spans="15:29" x14ac:dyDescent="0.25">
      <c r="O9001" s="42"/>
      <c r="R9001" s="42"/>
      <c r="AC9001" s="42"/>
    </row>
    <row r="9002" spans="15:29" x14ac:dyDescent="0.25">
      <c r="O9002" s="42"/>
      <c r="R9002" s="42"/>
      <c r="AC9002" s="42"/>
    </row>
    <row r="9003" spans="15:29" x14ac:dyDescent="0.25">
      <c r="O9003" s="42"/>
      <c r="R9003" s="42"/>
      <c r="AC9003" s="42"/>
    </row>
    <row r="9004" spans="15:29" x14ac:dyDescent="0.25">
      <c r="O9004" s="42"/>
      <c r="R9004" s="42"/>
      <c r="AC9004" s="42"/>
    </row>
    <row r="9005" spans="15:29" x14ac:dyDescent="0.25">
      <c r="O9005" s="42"/>
      <c r="R9005" s="42"/>
      <c r="AC9005" s="42"/>
    </row>
    <row r="9006" spans="15:29" x14ac:dyDescent="0.25">
      <c r="O9006" s="42"/>
      <c r="R9006" s="42"/>
      <c r="AC9006" s="42"/>
    </row>
    <row r="9007" spans="15:29" x14ac:dyDescent="0.25">
      <c r="O9007" s="42"/>
      <c r="R9007" s="42"/>
      <c r="AC9007" s="42"/>
    </row>
    <row r="9008" spans="15:29" x14ac:dyDescent="0.25">
      <c r="O9008" s="42"/>
      <c r="R9008" s="42"/>
      <c r="AC9008" s="42"/>
    </row>
    <row r="9009" spans="15:29" x14ac:dyDescent="0.25">
      <c r="O9009" s="42"/>
      <c r="R9009" s="42"/>
      <c r="AC9009" s="42"/>
    </row>
    <row r="9010" spans="15:29" x14ac:dyDescent="0.25">
      <c r="O9010" s="42"/>
      <c r="R9010" s="42"/>
      <c r="AC9010" s="42"/>
    </row>
    <row r="9011" spans="15:29" x14ac:dyDescent="0.25">
      <c r="O9011" s="42"/>
      <c r="R9011" s="42"/>
      <c r="AC9011" s="42"/>
    </row>
    <row r="9012" spans="15:29" x14ac:dyDescent="0.25">
      <c r="O9012" s="42"/>
      <c r="R9012" s="42"/>
      <c r="AC9012" s="42"/>
    </row>
    <row r="9013" spans="15:29" x14ac:dyDescent="0.25">
      <c r="O9013" s="42"/>
      <c r="R9013" s="42"/>
      <c r="AC9013" s="42"/>
    </row>
    <row r="9014" spans="15:29" x14ac:dyDescent="0.25">
      <c r="O9014" s="42"/>
      <c r="R9014" s="42"/>
      <c r="AC9014" s="42"/>
    </row>
    <row r="9015" spans="15:29" x14ac:dyDescent="0.25">
      <c r="O9015" s="42"/>
      <c r="R9015" s="42"/>
      <c r="AC9015" s="42"/>
    </row>
    <row r="9016" spans="15:29" x14ac:dyDescent="0.25">
      <c r="O9016" s="42"/>
      <c r="R9016" s="42"/>
      <c r="AC9016" s="42"/>
    </row>
    <row r="9017" spans="15:29" x14ac:dyDescent="0.25">
      <c r="O9017" s="42"/>
      <c r="R9017" s="42"/>
      <c r="AC9017" s="42"/>
    </row>
    <row r="9018" spans="15:29" x14ac:dyDescent="0.25">
      <c r="O9018" s="42"/>
      <c r="R9018" s="42"/>
      <c r="AC9018" s="42"/>
    </row>
    <row r="9019" spans="15:29" x14ac:dyDescent="0.25">
      <c r="O9019" s="42"/>
      <c r="R9019" s="42"/>
      <c r="AC9019" s="42"/>
    </row>
    <row r="9020" spans="15:29" x14ac:dyDescent="0.25">
      <c r="O9020" s="42"/>
      <c r="R9020" s="42"/>
      <c r="AC9020" s="42"/>
    </row>
    <row r="9021" spans="15:29" x14ac:dyDescent="0.25">
      <c r="O9021" s="42"/>
      <c r="R9021" s="42"/>
      <c r="AC9021" s="42"/>
    </row>
    <row r="9022" spans="15:29" x14ac:dyDescent="0.25">
      <c r="O9022" s="42"/>
      <c r="R9022" s="42"/>
      <c r="AC9022" s="42"/>
    </row>
    <row r="9023" spans="15:29" x14ac:dyDescent="0.25">
      <c r="O9023" s="42"/>
      <c r="R9023" s="42"/>
      <c r="AC9023" s="42"/>
    </row>
    <row r="9024" spans="15:29" x14ac:dyDescent="0.25">
      <c r="O9024" s="42"/>
      <c r="R9024" s="42"/>
      <c r="AC9024" s="42"/>
    </row>
    <row r="9025" spans="15:29" x14ac:dyDescent="0.25">
      <c r="O9025" s="42"/>
      <c r="R9025" s="42"/>
      <c r="AC9025" s="42"/>
    </row>
    <row r="9026" spans="15:29" x14ac:dyDescent="0.25">
      <c r="O9026" s="42"/>
      <c r="R9026" s="42"/>
      <c r="AC9026" s="42"/>
    </row>
    <row r="9027" spans="15:29" x14ac:dyDescent="0.25">
      <c r="O9027" s="42"/>
      <c r="R9027" s="42"/>
      <c r="AC9027" s="42"/>
    </row>
    <row r="9028" spans="15:29" x14ac:dyDescent="0.25">
      <c r="O9028" s="42"/>
      <c r="R9028" s="42"/>
      <c r="AC9028" s="42"/>
    </row>
    <row r="9029" spans="15:29" x14ac:dyDescent="0.25">
      <c r="O9029" s="42"/>
      <c r="R9029" s="42"/>
      <c r="AC9029" s="42"/>
    </row>
    <row r="9030" spans="15:29" x14ac:dyDescent="0.25">
      <c r="O9030" s="42"/>
      <c r="R9030" s="42"/>
      <c r="AC9030" s="42"/>
    </row>
    <row r="9031" spans="15:29" x14ac:dyDescent="0.25">
      <c r="O9031" s="42"/>
      <c r="R9031" s="42"/>
      <c r="AC9031" s="42"/>
    </row>
    <row r="9032" spans="15:29" x14ac:dyDescent="0.25">
      <c r="O9032" s="42"/>
      <c r="R9032" s="42"/>
      <c r="AC9032" s="42"/>
    </row>
    <row r="9033" spans="15:29" x14ac:dyDescent="0.25">
      <c r="O9033" s="42"/>
      <c r="R9033" s="42"/>
      <c r="AC9033" s="42"/>
    </row>
    <row r="9034" spans="15:29" x14ac:dyDescent="0.25">
      <c r="O9034" s="42"/>
      <c r="R9034" s="42"/>
      <c r="AC9034" s="42"/>
    </row>
    <row r="9035" spans="15:29" x14ac:dyDescent="0.25">
      <c r="O9035" s="42"/>
      <c r="R9035" s="42"/>
      <c r="AC9035" s="42"/>
    </row>
    <row r="9036" spans="15:29" x14ac:dyDescent="0.25">
      <c r="O9036" s="42"/>
      <c r="R9036" s="42"/>
      <c r="AC9036" s="42"/>
    </row>
    <row r="9037" spans="15:29" x14ac:dyDescent="0.25">
      <c r="O9037" s="42"/>
      <c r="R9037" s="42"/>
      <c r="AC9037" s="42"/>
    </row>
    <row r="9038" spans="15:29" x14ac:dyDescent="0.25">
      <c r="O9038" s="42"/>
      <c r="R9038" s="42"/>
      <c r="AC9038" s="42"/>
    </row>
    <row r="9039" spans="15:29" x14ac:dyDescent="0.25">
      <c r="O9039" s="42"/>
      <c r="R9039" s="42"/>
      <c r="AC9039" s="42"/>
    </row>
    <row r="9040" spans="15:29" x14ac:dyDescent="0.25">
      <c r="O9040" s="42"/>
      <c r="R9040" s="42"/>
      <c r="AC9040" s="42"/>
    </row>
    <row r="9041" spans="15:29" x14ac:dyDescent="0.25">
      <c r="O9041" s="42"/>
      <c r="R9041" s="42"/>
      <c r="AC9041" s="42"/>
    </row>
    <row r="9042" spans="15:29" x14ac:dyDescent="0.25">
      <c r="O9042" s="42"/>
      <c r="R9042" s="42"/>
      <c r="AC9042" s="42"/>
    </row>
    <row r="9043" spans="15:29" x14ac:dyDescent="0.25">
      <c r="O9043" s="42"/>
      <c r="R9043" s="42"/>
      <c r="AC9043" s="42"/>
    </row>
    <row r="9044" spans="15:29" x14ac:dyDescent="0.25">
      <c r="O9044" s="42"/>
      <c r="R9044" s="42"/>
      <c r="AC9044" s="42"/>
    </row>
    <row r="9045" spans="15:29" x14ac:dyDescent="0.25">
      <c r="O9045" s="42"/>
      <c r="R9045" s="42"/>
      <c r="AC9045" s="42"/>
    </row>
    <row r="9046" spans="15:29" x14ac:dyDescent="0.25">
      <c r="O9046" s="42"/>
      <c r="R9046" s="42"/>
      <c r="AC9046" s="42"/>
    </row>
    <row r="9047" spans="15:29" x14ac:dyDescent="0.25">
      <c r="O9047" s="42"/>
      <c r="R9047" s="42"/>
      <c r="AC9047" s="42"/>
    </row>
    <row r="9048" spans="15:29" x14ac:dyDescent="0.25">
      <c r="O9048" s="42"/>
      <c r="R9048" s="42"/>
      <c r="AC9048" s="42"/>
    </row>
    <row r="9049" spans="15:29" x14ac:dyDescent="0.25">
      <c r="O9049" s="42"/>
      <c r="R9049" s="42"/>
      <c r="AC9049" s="42"/>
    </row>
    <row r="9050" spans="15:29" x14ac:dyDescent="0.25">
      <c r="O9050" s="42"/>
      <c r="R9050" s="42"/>
      <c r="AC9050" s="42"/>
    </row>
    <row r="9051" spans="15:29" x14ac:dyDescent="0.25">
      <c r="O9051" s="42"/>
      <c r="R9051" s="42"/>
      <c r="AC9051" s="42"/>
    </row>
    <row r="9052" spans="15:29" x14ac:dyDescent="0.25">
      <c r="O9052" s="42"/>
      <c r="R9052" s="42"/>
      <c r="AC9052" s="42"/>
    </row>
    <row r="9053" spans="15:29" x14ac:dyDescent="0.25">
      <c r="O9053" s="42"/>
      <c r="R9053" s="42"/>
      <c r="AC9053" s="42"/>
    </row>
    <row r="9054" spans="15:29" x14ac:dyDescent="0.25">
      <c r="O9054" s="42"/>
      <c r="R9054" s="42"/>
      <c r="AC9054" s="42"/>
    </row>
    <row r="9055" spans="15:29" x14ac:dyDescent="0.25">
      <c r="O9055" s="42"/>
      <c r="R9055" s="42"/>
      <c r="AC9055" s="42"/>
    </row>
    <row r="9056" spans="15:29" x14ac:dyDescent="0.25">
      <c r="O9056" s="42"/>
      <c r="R9056" s="42"/>
      <c r="AC9056" s="42"/>
    </row>
    <row r="9057" spans="15:29" x14ac:dyDescent="0.25">
      <c r="O9057" s="42"/>
      <c r="R9057" s="42"/>
      <c r="AC9057" s="42"/>
    </row>
    <row r="9058" spans="15:29" x14ac:dyDescent="0.25">
      <c r="O9058" s="42"/>
      <c r="R9058" s="42"/>
      <c r="AC9058" s="42"/>
    </row>
    <row r="9059" spans="15:29" x14ac:dyDescent="0.25">
      <c r="O9059" s="42"/>
      <c r="R9059" s="42"/>
      <c r="AC9059" s="42"/>
    </row>
    <row r="9060" spans="15:29" x14ac:dyDescent="0.25">
      <c r="O9060" s="42"/>
      <c r="R9060" s="42"/>
      <c r="AC9060" s="42"/>
    </row>
    <row r="9061" spans="15:29" x14ac:dyDescent="0.25">
      <c r="O9061" s="42"/>
      <c r="R9061" s="42"/>
      <c r="AC9061" s="42"/>
    </row>
    <row r="9062" spans="15:29" x14ac:dyDescent="0.25">
      <c r="O9062" s="42"/>
      <c r="R9062" s="42"/>
      <c r="AC9062" s="42"/>
    </row>
    <row r="9063" spans="15:29" x14ac:dyDescent="0.25">
      <c r="O9063" s="42"/>
      <c r="R9063" s="42"/>
      <c r="AC9063" s="42"/>
    </row>
    <row r="9064" spans="15:29" x14ac:dyDescent="0.25">
      <c r="O9064" s="42"/>
      <c r="R9064" s="42"/>
      <c r="AC9064" s="42"/>
    </row>
    <row r="9065" spans="15:29" x14ac:dyDescent="0.25">
      <c r="O9065" s="42"/>
      <c r="R9065" s="42"/>
      <c r="AC9065" s="42"/>
    </row>
    <row r="9066" spans="15:29" x14ac:dyDescent="0.25">
      <c r="O9066" s="42"/>
      <c r="R9066" s="42"/>
      <c r="AC9066" s="42"/>
    </row>
    <row r="9067" spans="15:29" x14ac:dyDescent="0.25">
      <c r="O9067" s="42"/>
      <c r="R9067" s="42"/>
      <c r="AC9067" s="42"/>
    </row>
    <row r="9068" spans="15:29" x14ac:dyDescent="0.25">
      <c r="O9068" s="42"/>
      <c r="R9068" s="42"/>
      <c r="AC9068" s="42"/>
    </row>
    <row r="9069" spans="15:29" x14ac:dyDescent="0.25">
      <c r="O9069" s="42"/>
      <c r="R9069" s="42"/>
      <c r="AC9069" s="42"/>
    </row>
    <row r="9070" spans="15:29" x14ac:dyDescent="0.25">
      <c r="O9070" s="42"/>
      <c r="R9070" s="42"/>
      <c r="AC9070" s="42"/>
    </row>
    <row r="9071" spans="15:29" x14ac:dyDescent="0.25">
      <c r="O9071" s="42"/>
      <c r="R9071" s="42"/>
      <c r="AC9071" s="42"/>
    </row>
    <row r="9072" spans="15:29" x14ac:dyDescent="0.25">
      <c r="O9072" s="42"/>
      <c r="R9072" s="42"/>
      <c r="AC9072" s="42"/>
    </row>
    <row r="9073" spans="15:29" x14ac:dyDescent="0.25">
      <c r="O9073" s="42"/>
      <c r="R9073" s="42"/>
      <c r="AC9073" s="42"/>
    </row>
    <row r="9074" spans="15:29" x14ac:dyDescent="0.25">
      <c r="O9074" s="42"/>
      <c r="R9074" s="42"/>
      <c r="AC9074" s="42"/>
    </row>
    <row r="9075" spans="15:29" x14ac:dyDescent="0.25">
      <c r="O9075" s="42"/>
      <c r="R9075" s="42"/>
      <c r="AC9075" s="42"/>
    </row>
    <row r="9076" spans="15:29" x14ac:dyDescent="0.25">
      <c r="O9076" s="42"/>
      <c r="R9076" s="42"/>
      <c r="AC9076" s="42"/>
    </row>
    <row r="9077" spans="15:29" x14ac:dyDescent="0.25">
      <c r="O9077" s="42"/>
      <c r="R9077" s="42"/>
      <c r="AC9077" s="42"/>
    </row>
    <row r="9078" spans="15:29" x14ac:dyDescent="0.25">
      <c r="O9078" s="42"/>
      <c r="R9078" s="42"/>
      <c r="AC9078" s="42"/>
    </row>
    <row r="9079" spans="15:29" x14ac:dyDescent="0.25">
      <c r="O9079" s="42"/>
      <c r="R9079" s="42"/>
      <c r="AC9079" s="42"/>
    </row>
    <row r="9080" spans="15:29" x14ac:dyDescent="0.25">
      <c r="O9080" s="42"/>
      <c r="R9080" s="42"/>
      <c r="AC9080" s="42"/>
    </row>
    <row r="9081" spans="15:29" x14ac:dyDescent="0.25">
      <c r="O9081" s="42"/>
      <c r="R9081" s="42"/>
      <c r="AC9081" s="42"/>
    </row>
    <row r="9082" spans="15:29" x14ac:dyDescent="0.25">
      <c r="O9082" s="42"/>
      <c r="R9082" s="42"/>
      <c r="AC9082" s="42"/>
    </row>
    <row r="9083" spans="15:29" x14ac:dyDescent="0.25">
      <c r="O9083" s="42"/>
      <c r="R9083" s="42"/>
      <c r="AC9083" s="42"/>
    </row>
    <row r="9084" spans="15:29" x14ac:dyDescent="0.25">
      <c r="O9084" s="42"/>
      <c r="R9084" s="42"/>
      <c r="AC9084" s="42"/>
    </row>
    <row r="9085" spans="15:29" x14ac:dyDescent="0.25">
      <c r="O9085" s="42"/>
      <c r="R9085" s="42"/>
      <c r="AC9085" s="42"/>
    </row>
    <row r="9086" spans="15:29" x14ac:dyDescent="0.25">
      <c r="O9086" s="42"/>
      <c r="R9086" s="42"/>
      <c r="AC9086" s="42"/>
    </row>
    <row r="9087" spans="15:29" x14ac:dyDescent="0.25">
      <c r="O9087" s="42"/>
      <c r="R9087" s="42"/>
      <c r="AC9087" s="42"/>
    </row>
    <row r="9088" spans="15:29" x14ac:dyDescent="0.25">
      <c r="O9088" s="42"/>
      <c r="R9088" s="42"/>
      <c r="AC9088" s="42"/>
    </row>
    <row r="9089" spans="15:29" x14ac:dyDescent="0.25">
      <c r="O9089" s="42"/>
      <c r="R9089" s="42"/>
      <c r="AC9089" s="42"/>
    </row>
    <row r="9090" spans="15:29" x14ac:dyDescent="0.25">
      <c r="O9090" s="42"/>
      <c r="R9090" s="42"/>
      <c r="AC9090" s="42"/>
    </row>
    <row r="9091" spans="15:29" x14ac:dyDescent="0.25">
      <c r="O9091" s="42"/>
      <c r="R9091" s="42"/>
      <c r="AC9091" s="42"/>
    </row>
    <row r="9092" spans="15:29" x14ac:dyDescent="0.25">
      <c r="O9092" s="42"/>
      <c r="R9092" s="42"/>
      <c r="AC9092" s="42"/>
    </row>
    <row r="9093" spans="15:29" x14ac:dyDescent="0.25">
      <c r="O9093" s="42"/>
      <c r="R9093" s="42"/>
      <c r="AC9093" s="42"/>
    </row>
    <row r="9094" spans="15:29" x14ac:dyDescent="0.25">
      <c r="O9094" s="42"/>
      <c r="R9094" s="42"/>
      <c r="AC9094" s="42"/>
    </row>
    <row r="9095" spans="15:29" x14ac:dyDescent="0.25">
      <c r="O9095" s="42"/>
      <c r="R9095" s="42"/>
      <c r="AC9095" s="42"/>
    </row>
    <row r="9096" spans="15:29" x14ac:dyDescent="0.25">
      <c r="O9096" s="42"/>
      <c r="R9096" s="42"/>
      <c r="AC9096" s="42"/>
    </row>
    <row r="9097" spans="15:29" x14ac:dyDescent="0.25">
      <c r="O9097" s="42"/>
      <c r="R9097" s="42"/>
      <c r="AC9097" s="42"/>
    </row>
    <row r="9098" spans="15:29" x14ac:dyDescent="0.25">
      <c r="O9098" s="42"/>
      <c r="R9098" s="42"/>
      <c r="AC9098" s="42"/>
    </row>
    <row r="9099" spans="15:29" x14ac:dyDescent="0.25">
      <c r="O9099" s="42"/>
      <c r="R9099" s="42"/>
      <c r="AC9099" s="42"/>
    </row>
    <row r="9100" spans="15:29" x14ac:dyDescent="0.25">
      <c r="O9100" s="42"/>
      <c r="R9100" s="42"/>
      <c r="AC9100" s="42"/>
    </row>
    <row r="9101" spans="15:29" x14ac:dyDescent="0.25">
      <c r="O9101" s="42"/>
      <c r="R9101" s="42"/>
      <c r="AC9101" s="42"/>
    </row>
    <row r="9102" spans="15:29" x14ac:dyDescent="0.25">
      <c r="O9102" s="42"/>
      <c r="R9102" s="42"/>
      <c r="AC9102" s="42"/>
    </row>
    <row r="9103" spans="15:29" x14ac:dyDescent="0.25">
      <c r="O9103" s="42"/>
      <c r="R9103" s="42"/>
      <c r="AC9103" s="42"/>
    </row>
    <row r="9104" spans="15:29" x14ac:dyDescent="0.25">
      <c r="O9104" s="42"/>
      <c r="R9104" s="42"/>
      <c r="AC9104" s="42"/>
    </row>
    <row r="9105" spans="15:29" x14ac:dyDescent="0.25">
      <c r="O9105" s="42"/>
      <c r="R9105" s="42"/>
      <c r="AC9105" s="42"/>
    </row>
    <row r="9106" spans="15:29" x14ac:dyDescent="0.25">
      <c r="O9106" s="42"/>
      <c r="R9106" s="42"/>
      <c r="AC9106" s="42"/>
    </row>
    <row r="9107" spans="15:29" x14ac:dyDescent="0.25">
      <c r="O9107" s="42"/>
      <c r="R9107" s="42"/>
      <c r="AC9107" s="42"/>
    </row>
    <row r="9108" spans="15:29" x14ac:dyDescent="0.25">
      <c r="O9108" s="42"/>
      <c r="R9108" s="42"/>
      <c r="AC9108" s="42"/>
    </row>
    <row r="9109" spans="15:29" x14ac:dyDescent="0.25">
      <c r="O9109" s="42"/>
      <c r="R9109" s="42"/>
      <c r="AC9109" s="42"/>
    </row>
    <row r="9110" spans="15:29" x14ac:dyDescent="0.25">
      <c r="O9110" s="42"/>
      <c r="R9110" s="42"/>
      <c r="AC9110" s="42"/>
    </row>
    <row r="9111" spans="15:29" x14ac:dyDescent="0.25">
      <c r="O9111" s="42"/>
      <c r="R9111" s="42"/>
      <c r="AC9111" s="42"/>
    </row>
    <row r="9112" spans="15:29" x14ac:dyDescent="0.25">
      <c r="O9112" s="42"/>
      <c r="R9112" s="42"/>
      <c r="AC9112" s="42"/>
    </row>
    <row r="9113" spans="15:29" x14ac:dyDescent="0.25">
      <c r="O9113" s="42"/>
      <c r="R9113" s="42"/>
      <c r="AC9113" s="42"/>
    </row>
    <row r="9114" spans="15:29" x14ac:dyDescent="0.25">
      <c r="O9114" s="42"/>
      <c r="R9114" s="42"/>
      <c r="AC9114" s="42"/>
    </row>
    <row r="9115" spans="15:29" x14ac:dyDescent="0.25">
      <c r="O9115" s="42"/>
      <c r="R9115" s="42"/>
      <c r="AC9115" s="42"/>
    </row>
    <row r="9116" spans="15:29" x14ac:dyDescent="0.25">
      <c r="O9116" s="42"/>
      <c r="R9116" s="42"/>
      <c r="AC9116" s="42"/>
    </row>
    <row r="9117" spans="15:29" x14ac:dyDescent="0.25">
      <c r="O9117" s="42"/>
      <c r="R9117" s="42"/>
      <c r="AC9117" s="42"/>
    </row>
    <row r="9118" spans="15:29" x14ac:dyDescent="0.25">
      <c r="O9118" s="42"/>
      <c r="R9118" s="42"/>
      <c r="AC9118" s="42"/>
    </row>
    <row r="9119" spans="15:29" x14ac:dyDescent="0.25">
      <c r="O9119" s="42"/>
      <c r="R9119" s="42"/>
      <c r="AC9119" s="42"/>
    </row>
    <row r="9120" spans="15:29" x14ac:dyDescent="0.25">
      <c r="O9120" s="42"/>
      <c r="R9120" s="42"/>
      <c r="AC9120" s="42"/>
    </row>
    <row r="9121" spans="15:29" x14ac:dyDescent="0.25">
      <c r="O9121" s="42"/>
      <c r="R9121" s="42"/>
      <c r="AC9121" s="42"/>
    </row>
    <row r="9122" spans="15:29" x14ac:dyDescent="0.25">
      <c r="O9122" s="42"/>
      <c r="R9122" s="42"/>
      <c r="AC9122" s="42"/>
    </row>
    <row r="9123" spans="15:29" x14ac:dyDescent="0.25">
      <c r="O9123" s="42"/>
      <c r="R9123" s="42"/>
      <c r="AC9123" s="42"/>
    </row>
    <row r="9124" spans="15:29" x14ac:dyDescent="0.25">
      <c r="O9124" s="42"/>
      <c r="R9124" s="42"/>
      <c r="AC9124" s="42"/>
    </row>
    <row r="9125" spans="15:29" x14ac:dyDescent="0.25">
      <c r="O9125" s="42"/>
      <c r="R9125" s="42"/>
      <c r="AC9125" s="42"/>
    </row>
    <row r="9126" spans="15:29" x14ac:dyDescent="0.25">
      <c r="O9126" s="42"/>
      <c r="R9126" s="42"/>
      <c r="AC9126" s="42"/>
    </row>
    <row r="9127" spans="15:29" x14ac:dyDescent="0.25">
      <c r="O9127" s="42"/>
      <c r="R9127" s="42"/>
      <c r="AC9127" s="42"/>
    </row>
    <row r="9128" spans="15:29" x14ac:dyDescent="0.25">
      <c r="O9128" s="42"/>
      <c r="R9128" s="42"/>
      <c r="AC9128" s="42"/>
    </row>
    <row r="9129" spans="15:29" x14ac:dyDescent="0.25">
      <c r="O9129" s="42"/>
      <c r="R9129" s="42"/>
      <c r="AC9129" s="42"/>
    </row>
    <row r="9130" spans="15:29" x14ac:dyDescent="0.25">
      <c r="O9130" s="42"/>
      <c r="R9130" s="42"/>
      <c r="AC9130" s="42"/>
    </row>
    <row r="9131" spans="15:29" x14ac:dyDescent="0.25">
      <c r="O9131" s="42"/>
      <c r="R9131" s="42"/>
      <c r="AC9131" s="42"/>
    </row>
    <row r="9132" spans="15:29" x14ac:dyDescent="0.25">
      <c r="O9132" s="42"/>
      <c r="R9132" s="42"/>
      <c r="AC9132" s="42"/>
    </row>
    <row r="9133" spans="15:29" x14ac:dyDescent="0.25">
      <c r="O9133" s="42"/>
      <c r="R9133" s="42"/>
      <c r="AC9133" s="42"/>
    </row>
    <row r="9134" spans="15:29" x14ac:dyDescent="0.25">
      <c r="O9134" s="42"/>
      <c r="R9134" s="42"/>
      <c r="AC9134" s="42"/>
    </row>
    <row r="9135" spans="15:29" x14ac:dyDescent="0.25">
      <c r="O9135" s="42"/>
      <c r="R9135" s="42"/>
      <c r="AC9135" s="42"/>
    </row>
    <row r="9136" spans="15:29" x14ac:dyDescent="0.25">
      <c r="O9136" s="42"/>
      <c r="R9136" s="42"/>
      <c r="AC9136" s="42"/>
    </row>
    <row r="9137" spans="15:29" x14ac:dyDescent="0.25">
      <c r="O9137" s="42"/>
      <c r="R9137" s="42"/>
      <c r="AC9137" s="42"/>
    </row>
    <row r="9138" spans="15:29" x14ac:dyDescent="0.25">
      <c r="O9138" s="42"/>
      <c r="R9138" s="42"/>
      <c r="AC9138" s="42"/>
    </row>
    <row r="9139" spans="15:29" x14ac:dyDescent="0.25">
      <c r="O9139" s="42"/>
      <c r="R9139" s="42"/>
      <c r="AC9139" s="42"/>
    </row>
    <row r="9140" spans="15:29" x14ac:dyDescent="0.25">
      <c r="O9140" s="42"/>
      <c r="R9140" s="42"/>
      <c r="AC9140" s="42"/>
    </row>
    <row r="9141" spans="15:29" x14ac:dyDescent="0.25">
      <c r="O9141" s="42"/>
      <c r="R9141" s="42"/>
      <c r="AC9141" s="42"/>
    </row>
    <row r="9142" spans="15:29" x14ac:dyDescent="0.25">
      <c r="O9142" s="42"/>
      <c r="R9142" s="42"/>
      <c r="AC9142" s="42"/>
    </row>
    <row r="9143" spans="15:29" x14ac:dyDescent="0.25">
      <c r="O9143" s="42"/>
      <c r="R9143" s="42"/>
      <c r="AC9143" s="42"/>
    </row>
    <row r="9144" spans="15:29" x14ac:dyDescent="0.25">
      <c r="O9144" s="42"/>
      <c r="R9144" s="42"/>
      <c r="AC9144" s="42"/>
    </row>
    <row r="9145" spans="15:29" x14ac:dyDescent="0.25">
      <c r="O9145" s="42"/>
      <c r="R9145" s="42"/>
      <c r="AC9145" s="42"/>
    </row>
    <row r="9146" spans="15:29" x14ac:dyDescent="0.25">
      <c r="O9146" s="42"/>
      <c r="R9146" s="42"/>
      <c r="AC9146" s="42"/>
    </row>
    <row r="9147" spans="15:29" x14ac:dyDescent="0.25">
      <c r="O9147" s="42"/>
      <c r="R9147" s="42"/>
      <c r="AC9147" s="42"/>
    </row>
    <row r="9148" spans="15:29" x14ac:dyDescent="0.25">
      <c r="O9148" s="42"/>
      <c r="R9148" s="42"/>
      <c r="AC9148" s="42"/>
    </row>
    <row r="9149" spans="15:29" x14ac:dyDescent="0.25">
      <c r="O9149" s="42"/>
      <c r="R9149" s="42"/>
      <c r="AC9149" s="42"/>
    </row>
    <row r="9150" spans="15:29" x14ac:dyDescent="0.25">
      <c r="O9150" s="42"/>
      <c r="R9150" s="42"/>
      <c r="AC9150" s="42"/>
    </row>
    <row r="9151" spans="15:29" x14ac:dyDescent="0.25">
      <c r="O9151" s="42"/>
      <c r="R9151" s="42"/>
      <c r="AC9151" s="42"/>
    </row>
    <row r="9152" spans="15:29" x14ac:dyDescent="0.25">
      <c r="O9152" s="42"/>
      <c r="R9152" s="42"/>
      <c r="AC9152" s="42"/>
    </row>
    <row r="9153" spans="15:29" x14ac:dyDescent="0.25">
      <c r="O9153" s="42"/>
      <c r="R9153" s="42"/>
      <c r="AC9153" s="42"/>
    </row>
    <row r="9154" spans="15:29" x14ac:dyDescent="0.25">
      <c r="O9154" s="42"/>
      <c r="R9154" s="42"/>
      <c r="AC9154" s="42"/>
    </row>
    <row r="9155" spans="15:29" x14ac:dyDescent="0.25">
      <c r="O9155" s="42"/>
      <c r="R9155" s="42"/>
      <c r="AC9155" s="42"/>
    </row>
    <row r="9156" spans="15:29" x14ac:dyDescent="0.25">
      <c r="O9156" s="42"/>
      <c r="R9156" s="42"/>
      <c r="AC9156" s="42"/>
    </row>
    <row r="9157" spans="15:29" x14ac:dyDescent="0.25">
      <c r="O9157" s="42"/>
      <c r="R9157" s="42"/>
      <c r="AC9157" s="42"/>
    </row>
    <row r="9158" spans="15:29" x14ac:dyDescent="0.25">
      <c r="O9158" s="42"/>
      <c r="R9158" s="42"/>
      <c r="AC9158" s="42"/>
    </row>
    <row r="9159" spans="15:29" x14ac:dyDescent="0.25">
      <c r="O9159" s="42"/>
      <c r="R9159" s="42"/>
      <c r="AC9159" s="42"/>
    </row>
    <row r="9160" spans="15:29" x14ac:dyDescent="0.25">
      <c r="O9160" s="42"/>
      <c r="R9160" s="42"/>
      <c r="AC9160" s="42"/>
    </row>
    <row r="9161" spans="15:29" x14ac:dyDescent="0.25">
      <c r="O9161" s="42"/>
      <c r="R9161" s="42"/>
      <c r="AC9161" s="42"/>
    </row>
    <row r="9162" spans="15:29" x14ac:dyDescent="0.25">
      <c r="O9162" s="42"/>
      <c r="R9162" s="42"/>
      <c r="AC9162" s="42"/>
    </row>
    <row r="9163" spans="15:29" x14ac:dyDescent="0.25">
      <c r="O9163" s="42"/>
      <c r="R9163" s="42"/>
      <c r="AC9163" s="42"/>
    </row>
    <row r="9164" spans="15:29" x14ac:dyDescent="0.25">
      <c r="O9164" s="42"/>
      <c r="R9164" s="42"/>
      <c r="AC9164" s="42"/>
    </row>
    <row r="9165" spans="15:29" x14ac:dyDescent="0.25">
      <c r="O9165" s="42"/>
      <c r="R9165" s="42"/>
      <c r="AC9165" s="42"/>
    </row>
    <row r="9166" spans="15:29" x14ac:dyDescent="0.25">
      <c r="O9166" s="42"/>
      <c r="R9166" s="42"/>
      <c r="AC9166" s="42"/>
    </row>
    <row r="9167" spans="15:29" x14ac:dyDescent="0.25">
      <c r="O9167" s="42"/>
      <c r="R9167" s="42"/>
      <c r="AC9167" s="42"/>
    </row>
    <row r="9168" spans="15:29" x14ac:dyDescent="0.25">
      <c r="O9168" s="42"/>
      <c r="R9168" s="42"/>
      <c r="AC9168" s="42"/>
    </row>
    <row r="9169" spans="15:29" x14ac:dyDescent="0.25">
      <c r="O9169" s="42"/>
      <c r="R9169" s="42"/>
      <c r="AC9169" s="42"/>
    </row>
    <row r="9170" spans="15:29" x14ac:dyDescent="0.25">
      <c r="O9170" s="42"/>
      <c r="R9170" s="42"/>
      <c r="AC9170" s="42"/>
    </row>
    <row r="9171" spans="15:29" x14ac:dyDescent="0.25">
      <c r="O9171" s="42"/>
      <c r="R9171" s="42"/>
      <c r="AC9171" s="42"/>
    </row>
    <row r="9172" spans="15:29" x14ac:dyDescent="0.25">
      <c r="O9172" s="42"/>
      <c r="R9172" s="42"/>
      <c r="AC9172" s="42"/>
    </row>
    <row r="9173" spans="15:29" x14ac:dyDescent="0.25">
      <c r="O9173" s="42"/>
      <c r="R9173" s="42"/>
      <c r="AC9173" s="42"/>
    </row>
    <row r="9174" spans="15:29" x14ac:dyDescent="0.25">
      <c r="O9174" s="42"/>
      <c r="R9174" s="42"/>
      <c r="AC9174" s="42"/>
    </row>
    <row r="9175" spans="15:29" x14ac:dyDescent="0.25">
      <c r="O9175" s="42"/>
      <c r="R9175" s="42"/>
      <c r="AC9175" s="42"/>
    </row>
    <row r="9176" spans="15:29" x14ac:dyDescent="0.25">
      <c r="O9176" s="42"/>
      <c r="R9176" s="42"/>
      <c r="AC9176" s="42"/>
    </row>
    <row r="9177" spans="15:29" x14ac:dyDescent="0.25">
      <c r="O9177" s="42"/>
      <c r="R9177" s="42"/>
      <c r="AC9177" s="42"/>
    </row>
    <row r="9178" spans="15:29" x14ac:dyDescent="0.25">
      <c r="O9178" s="42"/>
      <c r="R9178" s="42"/>
      <c r="AC9178" s="42"/>
    </row>
    <row r="9179" spans="15:29" x14ac:dyDescent="0.25">
      <c r="O9179" s="42"/>
      <c r="R9179" s="42"/>
      <c r="AC9179" s="42"/>
    </row>
    <row r="9180" spans="15:29" x14ac:dyDescent="0.25">
      <c r="O9180" s="42"/>
      <c r="R9180" s="42"/>
      <c r="AC9180" s="42"/>
    </row>
    <row r="9181" spans="15:29" x14ac:dyDescent="0.25">
      <c r="O9181" s="42"/>
      <c r="R9181" s="42"/>
      <c r="AC9181" s="42"/>
    </row>
    <row r="9182" spans="15:29" x14ac:dyDescent="0.25">
      <c r="O9182" s="42"/>
      <c r="R9182" s="42"/>
      <c r="AC9182" s="42"/>
    </row>
    <row r="9183" spans="15:29" x14ac:dyDescent="0.25">
      <c r="O9183" s="42"/>
      <c r="R9183" s="42"/>
      <c r="AC9183" s="42"/>
    </row>
    <row r="9184" spans="15:29" x14ac:dyDescent="0.25">
      <c r="O9184" s="42"/>
      <c r="R9184" s="42"/>
      <c r="AC9184" s="42"/>
    </row>
    <row r="9185" spans="15:29" x14ac:dyDescent="0.25">
      <c r="O9185" s="42"/>
      <c r="R9185" s="42"/>
      <c r="AC9185" s="42"/>
    </row>
    <row r="9186" spans="15:29" x14ac:dyDescent="0.25">
      <c r="O9186" s="42"/>
      <c r="R9186" s="42"/>
      <c r="AC9186" s="42"/>
    </row>
    <row r="9187" spans="15:29" x14ac:dyDescent="0.25">
      <c r="O9187" s="42"/>
      <c r="R9187" s="42"/>
      <c r="AC9187" s="42"/>
    </row>
    <row r="9188" spans="15:29" x14ac:dyDescent="0.25">
      <c r="O9188" s="42"/>
      <c r="R9188" s="42"/>
      <c r="AC9188" s="42"/>
    </row>
    <row r="9189" spans="15:29" x14ac:dyDescent="0.25">
      <c r="O9189" s="42"/>
      <c r="R9189" s="42"/>
      <c r="AC9189" s="42"/>
    </row>
    <row r="9190" spans="15:29" x14ac:dyDescent="0.25">
      <c r="O9190" s="42"/>
      <c r="R9190" s="42"/>
      <c r="AC9190" s="42"/>
    </row>
    <row r="9191" spans="15:29" x14ac:dyDescent="0.25">
      <c r="O9191" s="42"/>
      <c r="R9191" s="42"/>
      <c r="AC9191" s="42"/>
    </row>
    <row r="9192" spans="15:29" x14ac:dyDescent="0.25">
      <c r="O9192" s="42"/>
      <c r="R9192" s="42"/>
      <c r="AC9192" s="42"/>
    </row>
    <row r="9193" spans="15:29" x14ac:dyDescent="0.25">
      <c r="O9193" s="42"/>
      <c r="R9193" s="42"/>
      <c r="AC9193" s="42"/>
    </row>
    <row r="9194" spans="15:29" x14ac:dyDescent="0.25">
      <c r="O9194" s="42"/>
      <c r="R9194" s="42"/>
      <c r="AC9194" s="42"/>
    </row>
    <row r="9195" spans="15:29" x14ac:dyDescent="0.25">
      <c r="O9195" s="42"/>
      <c r="R9195" s="42"/>
      <c r="AC9195" s="42"/>
    </row>
    <row r="9196" spans="15:29" x14ac:dyDescent="0.25">
      <c r="O9196" s="42"/>
      <c r="R9196" s="42"/>
      <c r="AC9196" s="42"/>
    </row>
    <row r="9197" spans="15:29" x14ac:dyDescent="0.25">
      <c r="O9197" s="42"/>
      <c r="R9197" s="42"/>
      <c r="AC9197" s="42"/>
    </row>
    <row r="9198" spans="15:29" x14ac:dyDescent="0.25">
      <c r="O9198" s="42"/>
      <c r="R9198" s="42"/>
      <c r="AC9198" s="42"/>
    </row>
    <row r="9199" spans="15:29" x14ac:dyDescent="0.25">
      <c r="O9199" s="42"/>
      <c r="R9199" s="42"/>
      <c r="AC9199" s="42"/>
    </row>
    <row r="9200" spans="15:29" x14ac:dyDescent="0.25">
      <c r="O9200" s="42"/>
      <c r="R9200" s="42"/>
      <c r="AC9200" s="42"/>
    </row>
    <row r="9201" spans="15:29" x14ac:dyDescent="0.25">
      <c r="O9201" s="42"/>
      <c r="R9201" s="42"/>
      <c r="AC9201" s="42"/>
    </row>
    <row r="9202" spans="15:29" x14ac:dyDescent="0.25">
      <c r="O9202" s="42"/>
      <c r="R9202" s="42"/>
      <c r="AC9202" s="42"/>
    </row>
    <row r="9203" spans="15:29" x14ac:dyDescent="0.25">
      <c r="O9203" s="42"/>
      <c r="R9203" s="42"/>
      <c r="AC9203" s="42"/>
    </row>
    <row r="9204" spans="15:29" x14ac:dyDescent="0.25">
      <c r="O9204" s="42"/>
      <c r="R9204" s="42"/>
      <c r="AC9204" s="42"/>
    </row>
    <row r="9205" spans="15:29" x14ac:dyDescent="0.25">
      <c r="O9205" s="42"/>
      <c r="R9205" s="42"/>
      <c r="AC9205" s="42"/>
    </row>
    <row r="9206" spans="15:29" x14ac:dyDescent="0.25">
      <c r="O9206" s="42"/>
      <c r="R9206" s="42"/>
      <c r="AC9206" s="42"/>
    </row>
    <row r="9207" spans="15:29" x14ac:dyDescent="0.25">
      <c r="O9207" s="42"/>
      <c r="R9207" s="42"/>
      <c r="AC9207" s="42"/>
    </row>
    <row r="9208" spans="15:29" x14ac:dyDescent="0.25">
      <c r="O9208" s="42"/>
      <c r="R9208" s="42"/>
      <c r="AC9208" s="42"/>
    </row>
    <row r="9209" spans="15:29" x14ac:dyDescent="0.25">
      <c r="O9209" s="42"/>
      <c r="R9209" s="42"/>
      <c r="AC9209" s="42"/>
    </row>
    <row r="9210" spans="15:29" x14ac:dyDescent="0.25">
      <c r="O9210" s="42"/>
      <c r="R9210" s="42"/>
      <c r="AC9210" s="42"/>
    </row>
    <row r="9211" spans="15:29" x14ac:dyDescent="0.25">
      <c r="O9211" s="42"/>
      <c r="R9211" s="42"/>
      <c r="AC9211" s="42"/>
    </row>
    <row r="9212" spans="15:29" x14ac:dyDescent="0.25">
      <c r="O9212" s="42"/>
      <c r="R9212" s="42"/>
      <c r="AC9212" s="42"/>
    </row>
    <row r="9213" spans="15:29" x14ac:dyDescent="0.25">
      <c r="O9213" s="42"/>
      <c r="R9213" s="42"/>
      <c r="AC9213" s="42"/>
    </row>
    <row r="9214" spans="15:29" x14ac:dyDescent="0.25">
      <c r="O9214" s="42"/>
      <c r="R9214" s="42"/>
      <c r="AC9214" s="42"/>
    </row>
    <row r="9215" spans="15:29" x14ac:dyDescent="0.25">
      <c r="O9215" s="42"/>
      <c r="R9215" s="42"/>
      <c r="AC9215" s="42"/>
    </row>
    <row r="9216" spans="15:29" x14ac:dyDescent="0.25">
      <c r="O9216" s="42"/>
      <c r="R9216" s="42"/>
      <c r="AC9216" s="42"/>
    </row>
    <row r="9217" spans="15:29" x14ac:dyDescent="0.25">
      <c r="O9217" s="42"/>
      <c r="R9217" s="42"/>
      <c r="AC9217" s="42"/>
    </row>
    <row r="9218" spans="15:29" x14ac:dyDescent="0.25">
      <c r="O9218" s="42"/>
      <c r="R9218" s="42"/>
      <c r="AC9218" s="42"/>
    </row>
    <row r="9219" spans="15:29" x14ac:dyDescent="0.25">
      <c r="O9219" s="42"/>
      <c r="R9219" s="42"/>
      <c r="AC9219" s="42"/>
    </row>
    <row r="9220" spans="15:29" x14ac:dyDescent="0.25">
      <c r="O9220" s="42"/>
      <c r="R9220" s="42"/>
      <c r="AC9220" s="42"/>
    </row>
    <row r="9221" spans="15:29" x14ac:dyDescent="0.25">
      <c r="O9221" s="42"/>
      <c r="R9221" s="42"/>
      <c r="AC9221" s="42"/>
    </row>
    <row r="9222" spans="15:29" x14ac:dyDescent="0.25">
      <c r="O9222" s="42"/>
      <c r="R9222" s="42"/>
      <c r="AC9222" s="42"/>
    </row>
    <row r="9223" spans="15:29" x14ac:dyDescent="0.25">
      <c r="O9223" s="42"/>
      <c r="R9223" s="42"/>
      <c r="AC9223" s="42"/>
    </row>
    <row r="9224" spans="15:29" x14ac:dyDescent="0.25">
      <c r="O9224" s="42"/>
      <c r="R9224" s="42"/>
      <c r="AC9224" s="42"/>
    </row>
    <row r="9225" spans="15:29" x14ac:dyDescent="0.25">
      <c r="O9225" s="42"/>
      <c r="R9225" s="42"/>
      <c r="AC9225" s="42"/>
    </row>
    <row r="9226" spans="15:29" x14ac:dyDescent="0.25">
      <c r="O9226" s="42"/>
      <c r="R9226" s="42"/>
      <c r="AC9226" s="42"/>
    </row>
    <row r="9227" spans="15:29" x14ac:dyDescent="0.25">
      <c r="O9227" s="42"/>
      <c r="R9227" s="42"/>
      <c r="AC9227" s="42"/>
    </row>
    <row r="9228" spans="15:29" x14ac:dyDescent="0.25">
      <c r="O9228" s="42"/>
      <c r="R9228" s="42"/>
      <c r="AC9228" s="42"/>
    </row>
    <row r="9229" spans="15:29" x14ac:dyDescent="0.25">
      <c r="O9229" s="42"/>
      <c r="R9229" s="42"/>
      <c r="AC9229" s="42"/>
    </row>
    <row r="9230" spans="15:29" x14ac:dyDescent="0.25">
      <c r="O9230" s="42"/>
      <c r="R9230" s="42"/>
      <c r="AC9230" s="42"/>
    </row>
    <row r="9231" spans="15:29" x14ac:dyDescent="0.25">
      <c r="O9231" s="42"/>
      <c r="R9231" s="42"/>
      <c r="AC9231" s="42"/>
    </row>
    <row r="9232" spans="15:29" x14ac:dyDescent="0.25">
      <c r="O9232" s="42"/>
      <c r="R9232" s="42"/>
      <c r="AC9232" s="42"/>
    </row>
    <row r="9233" spans="15:29" x14ac:dyDescent="0.25">
      <c r="O9233" s="42"/>
      <c r="R9233" s="42"/>
      <c r="AC9233" s="42"/>
    </row>
    <row r="9234" spans="15:29" x14ac:dyDescent="0.25">
      <c r="O9234" s="42"/>
      <c r="R9234" s="42"/>
      <c r="AC9234" s="42"/>
    </row>
    <row r="9235" spans="15:29" x14ac:dyDescent="0.25">
      <c r="O9235" s="42"/>
      <c r="R9235" s="42"/>
      <c r="AC9235" s="42"/>
    </row>
    <row r="9236" spans="15:29" x14ac:dyDescent="0.25">
      <c r="O9236" s="42"/>
      <c r="R9236" s="42"/>
      <c r="AC9236" s="42"/>
    </row>
    <row r="9237" spans="15:29" x14ac:dyDescent="0.25">
      <c r="O9237" s="42"/>
      <c r="R9237" s="42"/>
      <c r="AC9237" s="42"/>
    </row>
    <row r="9238" spans="15:29" x14ac:dyDescent="0.25">
      <c r="O9238" s="42"/>
      <c r="R9238" s="42"/>
      <c r="AC9238" s="42"/>
    </row>
    <row r="9239" spans="15:29" x14ac:dyDescent="0.25">
      <c r="O9239" s="42"/>
      <c r="R9239" s="42"/>
      <c r="AC9239" s="42"/>
    </row>
    <row r="9240" spans="15:29" x14ac:dyDescent="0.25">
      <c r="O9240" s="42"/>
      <c r="R9240" s="42"/>
      <c r="AC9240" s="42"/>
    </row>
    <row r="9241" spans="15:29" x14ac:dyDescent="0.25">
      <c r="O9241" s="42"/>
      <c r="R9241" s="42"/>
      <c r="AC9241" s="42"/>
    </row>
    <row r="9242" spans="15:29" x14ac:dyDescent="0.25">
      <c r="O9242" s="42"/>
      <c r="R9242" s="42"/>
      <c r="AC9242" s="42"/>
    </row>
    <row r="9243" spans="15:29" x14ac:dyDescent="0.25">
      <c r="O9243" s="42"/>
      <c r="R9243" s="42"/>
      <c r="AC9243" s="42"/>
    </row>
    <row r="9244" spans="15:29" x14ac:dyDescent="0.25">
      <c r="O9244" s="42"/>
      <c r="R9244" s="42"/>
      <c r="AC9244" s="42"/>
    </row>
    <row r="9245" spans="15:29" x14ac:dyDescent="0.25">
      <c r="O9245" s="42"/>
      <c r="R9245" s="42"/>
      <c r="AC9245" s="42"/>
    </row>
    <row r="9246" spans="15:29" x14ac:dyDescent="0.25">
      <c r="O9246" s="42"/>
      <c r="R9246" s="42"/>
      <c r="AC9246" s="42"/>
    </row>
    <row r="9247" spans="15:29" x14ac:dyDescent="0.25">
      <c r="O9247" s="42"/>
      <c r="R9247" s="42"/>
      <c r="AC9247" s="42"/>
    </row>
    <row r="9248" spans="15:29" x14ac:dyDescent="0.25">
      <c r="O9248" s="42"/>
      <c r="R9248" s="42"/>
      <c r="AC9248" s="42"/>
    </row>
    <row r="9249" spans="15:29" x14ac:dyDescent="0.25">
      <c r="O9249" s="42"/>
      <c r="R9249" s="42"/>
      <c r="AC9249" s="42"/>
    </row>
    <row r="9250" spans="15:29" x14ac:dyDescent="0.25">
      <c r="O9250" s="42"/>
      <c r="R9250" s="42"/>
      <c r="AC9250" s="42"/>
    </row>
    <row r="9251" spans="15:29" x14ac:dyDescent="0.25">
      <c r="O9251" s="42"/>
      <c r="R9251" s="42"/>
      <c r="AC9251" s="42"/>
    </row>
    <row r="9252" spans="15:29" x14ac:dyDescent="0.25">
      <c r="O9252" s="42"/>
      <c r="R9252" s="42"/>
      <c r="AC9252" s="42"/>
    </row>
    <row r="9253" spans="15:29" x14ac:dyDescent="0.25">
      <c r="O9253" s="42"/>
      <c r="R9253" s="42"/>
      <c r="AC9253" s="42"/>
    </row>
    <row r="9254" spans="15:29" x14ac:dyDescent="0.25">
      <c r="O9254" s="42"/>
      <c r="R9254" s="42"/>
      <c r="AC9254" s="42"/>
    </row>
    <row r="9255" spans="15:29" x14ac:dyDescent="0.25">
      <c r="O9255" s="42"/>
      <c r="R9255" s="42"/>
      <c r="AC9255" s="42"/>
    </row>
    <row r="9256" spans="15:29" x14ac:dyDescent="0.25">
      <c r="O9256" s="42"/>
      <c r="R9256" s="42"/>
      <c r="AC9256" s="42"/>
    </row>
    <row r="9257" spans="15:29" x14ac:dyDescent="0.25">
      <c r="O9257" s="42"/>
      <c r="R9257" s="42"/>
      <c r="AC9257" s="42"/>
    </row>
    <row r="9258" spans="15:29" x14ac:dyDescent="0.25">
      <c r="O9258" s="42"/>
      <c r="R9258" s="42"/>
      <c r="AC9258" s="42"/>
    </row>
    <row r="9259" spans="15:29" x14ac:dyDescent="0.25">
      <c r="O9259" s="42"/>
      <c r="R9259" s="42"/>
      <c r="AC9259" s="42"/>
    </row>
    <row r="9260" spans="15:29" x14ac:dyDescent="0.25">
      <c r="O9260" s="42"/>
      <c r="R9260" s="42"/>
      <c r="AC9260" s="42"/>
    </row>
    <row r="9261" spans="15:29" x14ac:dyDescent="0.25">
      <c r="O9261" s="42"/>
      <c r="R9261" s="42"/>
      <c r="AC9261" s="42"/>
    </row>
    <row r="9262" spans="15:29" x14ac:dyDescent="0.25">
      <c r="O9262" s="42"/>
      <c r="R9262" s="42"/>
      <c r="AC9262" s="42"/>
    </row>
    <row r="9263" spans="15:29" x14ac:dyDescent="0.25">
      <c r="O9263" s="42"/>
      <c r="R9263" s="42"/>
      <c r="AC9263" s="42"/>
    </row>
    <row r="9264" spans="15:29" x14ac:dyDescent="0.25">
      <c r="O9264" s="42"/>
      <c r="R9264" s="42"/>
      <c r="AC9264" s="42"/>
    </row>
    <row r="9265" spans="15:29" x14ac:dyDescent="0.25">
      <c r="O9265" s="42"/>
      <c r="R9265" s="42"/>
      <c r="AC9265" s="42"/>
    </row>
    <row r="9266" spans="15:29" x14ac:dyDescent="0.25">
      <c r="O9266" s="42"/>
      <c r="R9266" s="42"/>
      <c r="AC9266" s="42"/>
    </row>
    <row r="9267" spans="15:29" x14ac:dyDescent="0.25">
      <c r="O9267" s="42"/>
      <c r="R9267" s="42"/>
      <c r="AC9267" s="42"/>
    </row>
    <row r="9268" spans="15:29" x14ac:dyDescent="0.25">
      <c r="O9268" s="42"/>
      <c r="R9268" s="42"/>
      <c r="AC9268" s="42"/>
    </row>
    <row r="9269" spans="15:29" x14ac:dyDescent="0.25">
      <c r="O9269" s="42"/>
      <c r="R9269" s="42"/>
      <c r="AC9269" s="42"/>
    </row>
    <row r="9270" spans="15:29" x14ac:dyDescent="0.25">
      <c r="O9270" s="42"/>
      <c r="R9270" s="42"/>
      <c r="AC9270" s="42"/>
    </row>
    <row r="9271" spans="15:29" x14ac:dyDescent="0.25">
      <c r="O9271" s="42"/>
      <c r="R9271" s="42"/>
      <c r="AC9271" s="42"/>
    </row>
    <row r="9272" spans="15:29" x14ac:dyDescent="0.25">
      <c r="O9272" s="42"/>
      <c r="R9272" s="42"/>
      <c r="AC9272" s="42"/>
    </row>
    <row r="9273" spans="15:29" x14ac:dyDescent="0.25">
      <c r="O9273" s="42"/>
      <c r="R9273" s="42"/>
      <c r="AC9273" s="42"/>
    </row>
    <row r="9274" spans="15:29" x14ac:dyDescent="0.25">
      <c r="O9274" s="42"/>
      <c r="R9274" s="42"/>
      <c r="AC9274" s="42"/>
    </row>
    <row r="9275" spans="15:29" x14ac:dyDescent="0.25">
      <c r="O9275" s="42"/>
      <c r="R9275" s="42"/>
      <c r="AC9275" s="42"/>
    </row>
    <row r="9276" spans="15:29" x14ac:dyDescent="0.25">
      <c r="O9276" s="42"/>
      <c r="R9276" s="42"/>
      <c r="AC9276" s="42"/>
    </row>
    <row r="9277" spans="15:29" x14ac:dyDescent="0.25">
      <c r="O9277" s="42"/>
      <c r="R9277" s="42"/>
      <c r="AC9277" s="42"/>
    </row>
    <row r="9278" spans="15:29" x14ac:dyDescent="0.25">
      <c r="O9278" s="42"/>
      <c r="R9278" s="42"/>
      <c r="AC9278" s="42"/>
    </row>
    <row r="9279" spans="15:29" x14ac:dyDescent="0.25">
      <c r="O9279" s="42"/>
      <c r="R9279" s="42"/>
      <c r="AC9279" s="42"/>
    </row>
    <row r="9280" spans="15:29" x14ac:dyDescent="0.25">
      <c r="O9280" s="42"/>
      <c r="R9280" s="42"/>
      <c r="AC9280" s="42"/>
    </row>
    <row r="9281" spans="15:29" x14ac:dyDescent="0.25">
      <c r="O9281" s="42"/>
      <c r="R9281" s="42"/>
      <c r="AC9281" s="42"/>
    </row>
    <row r="9282" spans="15:29" x14ac:dyDescent="0.25">
      <c r="O9282" s="42"/>
      <c r="R9282" s="42"/>
      <c r="AC9282" s="42"/>
    </row>
    <row r="9283" spans="15:29" x14ac:dyDescent="0.25">
      <c r="O9283" s="42"/>
      <c r="R9283" s="42"/>
      <c r="AC9283" s="42"/>
    </row>
    <row r="9284" spans="15:29" x14ac:dyDescent="0.25">
      <c r="O9284" s="42"/>
      <c r="R9284" s="42"/>
      <c r="AC9284" s="42"/>
    </row>
    <row r="9285" spans="15:29" x14ac:dyDescent="0.25">
      <c r="O9285" s="42"/>
      <c r="R9285" s="42"/>
      <c r="AC9285" s="42"/>
    </row>
    <row r="9286" spans="15:29" x14ac:dyDescent="0.25">
      <c r="O9286" s="42"/>
      <c r="R9286" s="42"/>
      <c r="AC9286" s="42"/>
    </row>
    <row r="9287" spans="15:29" x14ac:dyDescent="0.25">
      <c r="O9287" s="42"/>
      <c r="R9287" s="42"/>
      <c r="AC9287" s="42"/>
    </row>
    <row r="9288" spans="15:29" x14ac:dyDescent="0.25">
      <c r="O9288" s="42"/>
      <c r="R9288" s="42"/>
      <c r="AC9288" s="42"/>
    </row>
    <row r="9289" spans="15:29" x14ac:dyDescent="0.25">
      <c r="O9289" s="42"/>
      <c r="R9289" s="42"/>
      <c r="AC9289" s="42"/>
    </row>
    <row r="9290" spans="15:29" x14ac:dyDescent="0.25">
      <c r="O9290" s="42"/>
      <c r="R9290" s="42"/>
      <c r="AC9290" s="42"/>
    </row>
    <row r="9291" spans="15:29" x14ac:dyDescent="0.25">
      <c r="O9291" s="42"/>
      <c r="R9291" s="42"/>
      <c r="AC9291" s="42"/>
    </row>
    <row r="9292" spans="15:29" x14ac:dyDescent="0.25">
      <c r="O9292" s="42"/>
      <c r="R9292" s="42"/>
      <c r="AC9292" s="42"/>
    </row>
    <row r="9293" spans="15:29" x14ac:dyDescent="0.25">
      <c r="O9293" s="42"/>
      <c r="R9293" s="42"/>
      <c r="AC9293" s="42"/>
    </row>
    <row r="9294" spans="15:29" x14ac:dyDescent="0.25">
      <c r="O9294" s="42"/>
      <c r="R9294" s="42"/>
      <c r="AC9294" s="42"/>
    </row>
    <row r="9295" spans="15:29" x14ac:dyDescent="0.25">
      <c r="O9295" s="42"/>
      <c r="R9295" s="42"/>
      <c r="AC9295" s="42"/>
    </row>
    <row r="9296" spans="15:29" x14ac:dyDescent="0.25">
      <c r="O9296" s="42"/>
      <c r="R9296" s="42"/>
      <c r="AC9296" s="42"/>
    </row>
    <row r="9297" spans="15:29" x14ac:dyDescent="0.25">
      <c r="O9297" s="42"/>
      <c r="R9297" s="42"/>
      <c r="AC9297" s="42"/>
    </row>
    <row r="9298" spans="15:29" x14ac:dyDescent="0.25">
      <c r="O9298" s="42"/>
      <c r="R9298" s="42"/>
      <c r="AC9298" s="42"/>
    </row>
    <row r="9299" spans="15:29" x14ac:dyDescent="0.25">
      <c r="O9299" s="42"/>
      <c r="R9299" s="42"/>
      <c r="AC9299" s="42"/>
    </row>
    <row r="9300" spans="15:29" x14ac:dyDescent="0.25">
      <c r="O9300" s="42"/>
      <c r="R9300" s="42"/>
      <c r="AC9300" s="42"/>
    </row>
    <row r="9301" spans="15:29" x14ac:dyDescent="0.25">
      <c r="O9301" s="42"/>
      <c r="R9301" s="42"/>
      <c r="AC9301" s="42"/>
    </row>
    <row r="9302" spans="15:29" x14ac:dyDescent="0.25">
      <c r="O9302" s="42"/>
      <c r="R9302" s="42"/>
      <c r="AC9302" s="42"/>
    </row>
    <row r="9303" spans="15:29" x14ac:dyDescent="0.25">
      <c r="O9303" s="42"/>
      <c r="R9303" s="42"/>
      <c r="AC9303" s="42"/>
    </row>
    <row r="9304" spans="15:29" x14ac:dyDescent="0.25">
      <c r="O9304" s="42"/>
      <c r="R9304" s="42"/>
      <c r="AC9304" s="42"/>
    </row>
    <row r="9305" spans="15:29" x14ac:dyDescent="0.25">
      <c r="O9305" s="42"/>
      <c r="R9305" s="42"/>
      <c r="AC9305" s="42"/>
    </row>
    <row r="9306" spans="15:29" x14ac:dyDescent="0.25">
      <c r="O9306" s="42"/>
      <c r="R9306" s="42"/>
      <c r="AC9306" s="42"/>
    </row>
    <row r="9307" spans="15:29" x14ac:dyDescent="0.25">
      <c r="O9307" s="42"/>
      <c r="R9307" s="42"/>
      <c r="AC9307" s="42"/>
    </row>
    <row r="9308" spans="15:29" x14ac:dyDescent="0.25">
      <c r="O9308" s="42"/>
      <c r="R9308" s="42"/>
      <c r="AC9308" s="42"/>
    </row>
    <row r="9309" spans="15:29" x14ac:dyDescent="0.25">
      <c r="O9309" s="42"/>
      <c r="R9309" s="42"/>
      <c r="AC9309" s="42"/>
    </row>
    <row r="9310" spans="15:29" x14ac:dyDescent="0.25">
      <c r="O9310" s="42"/>
      <c r="R9310" s="42"/>
      <c r="AC9310" s="42"/>
    </row>
    <row r="9311" spans="15:29" x14ac:dyDescent="0.25">
      <c r="O9311" s="42"/>
      <c r="R9311" s="42"/>
      <c r="AC9311" s="42"/>
    </row>
    <row r="9312" spans="15:29" x14ac:dyDescent="0.25">
      <c r="O9312" s="42"/>
      <c r="R9312" s="42"/>
      <c r="AC9312" s="42"/>
    </row>
    <row r="9313" spans="15:29" x14ac:dyDescent="0.25">
      <c r="O9313" s="42"/>
      <c r="R9313" s="42"/>
      <c r="AC9313" s="42"/>
    </row>
    <row r="9314" spans="15:29" x14ac:dyDescent="0.25">
      <c r="O9314" s="42"/>
      <c r="R9314" s="42"/>
      <c r="AC9314" s="42"/>
    </row>
    <row r="9315" spans="15:29" x14ac:dyDescent="0.25">
      <c r="O9315" s="42"/>
      <c r="R9315" s="42"/>
      <c r="AC9315" s="42"/>
    </row>
    <row r="9316" spans="15:29" x14ac:dyDescent="0.25">
      <c r="O9316" s="42"/>
      <c r="R9316" s="42"/>
      <c r="AC9316" s="42"/>
    </row>
    <row r="9317" spans="15:29" x14ac:dyDescent="0.25">
      <c r="O9317" s="42"/>
      <c r="R9317" s="42"/>
      <c r="AC9317" s="42"/>
    </row>
    <row r="9318" spans="15:29" x14ac:dyDescent="0.25">
      <c r="O9318" s="42"/>
      <c r="R9318" s="42"/>
      <c r="AC9318" s="42"/>
    </row>
    <row r="9319" spans="15:29" x14ac:dyDescent="0.25">
      <c r="O9319" s="42"/>
      <c r="R9319" s="42"/>
      <c r="AC9319" s="42"/>
    </row>
    <row r="9320" spans="15:29" x14ac:dyDescent="0.25">
      <c r="O9320" s="42"/>
      <c r="R9320" s="42"/>
      <c r="AC9320" s="42"/>
    </row>
    <row r="9321" spans="15:29" x14ac:dyDescent="0.25">
      <c r="O9321" s="42"/>
      <c r="R9321" s="42"/>
      <c r="AC9321" s="42"/>
    </row>
    <row r="9322" spans="15:29" x14ac:dyDescent="0.25">
      <c r="O9322" s="42"/>
      <c r="R9322" s="42"/>
      <c r="AC9322" s="42"/>
    </row>
    <row r="9323" spans="15:29" x14ac:dyDescent="0.25">
      <c r="O9323" s="42"/>
      <c r="R9323" s="42"/>
      <c r="AC9323" s="42"/>
    </row>
    <row r="9324" spans="15:29" x14ac:dyDescent="0.25">
      <c r="O9324" s="42"/>
      <c r="R9324" s="42"/>
      <c r="AC9324" s="42"/>
    </row>
    <row r="9325" spans="15:29" x14ac:dyDescent="0.25">
      <c r="O9325" s="42"/>
      <c r="R9325" s="42"/>
      <c r="AC9325" s="42"/>
    </row>
    <row r="9326" spans="15:29" x14ac:dyDescent="0.25">
      <c r="O9326" s="42"/>
      <c r="R9326" s="42"/>
      <c r="AC9326" s="42"/>
    </row>
    <row r="9327" spans="15:29" x14ac:dyDescent="0.25">
      <c r="O9327" s="42"/>
      <c r="R9327" s="42"/>
      <c r="AC9327" s="42"/>
    </row>
    <row r="9328" spans="15:29" x14ac:dyDescent="0.25">
      <c r="O9328" s="42"/>
      <c r="R9328" s="42"/>
      <c r="AC9328" s="42"/>
    </row>
    <row r="9329" spans="15:29" x14ac:dyDescent="0.25">
      <c r="O9329" s="42"/>
      <c r="R9329" s="42"/>
      <c r="AC9329" s="42"/>
    </row>
    <row r="9330" spans="15:29" x14ac:dyDescent="0.25">
      <c r="O9330" s="42"/>
      <c r="R9330" s="42"/>
      <c r="AC9330" s="42"/>
    </row>
    <row r="9331" spans="15:29" x14ac:dyDescent="0.25">
      <c r="O9331" s="42"/>
      <c r="R9331" s="42"/>
      <c r="AC9331" s="42"/>
    </row>
    <row r="9332" spans="15:29" x14ac:dyDescent="0.25">
      <c r="O9332" s="42"/>
      <c r="R9332" s="42"/>
      <c r="AC9332" s="42"/>
    </row>
    <row r="9333" spans="15:29" x14ac:dyDescent="0.25">
      <c r="O9333" s="42"/>
      <c r="R9333" s="42"/>
      <c r="AC9333" s="42"/>
    </row>
    <row r="9334" spans="15:29" x14ac:dyDescent="0.25">
      <c r="O9334" s="42"/>
      <c r="R9334" s="42"/>
      <c r="AC9334" s="42"/>
    </row>
    <row r="9335" spans="15:29" x14ac:dyDescent="0.25">
      <c r="O9335" s="42"/>
      <c r="R9335" s="42"/>
      <c r="AC9335" s="42"/>
    </row>
    <row r="9336" spans="15:29" x14ac:dyDescent="0.25">
      <c r="O9336" s="42"/>
      <c r="R9336" s="42"/>
      <c r="AC9336" s="42"/>
    </row>
    <row r="9337" spans="15:29" x14ac:dyDescent="0.25">
      <c r="O9337" s="42"/>
      <c r="R9337" s="42"/>
      <c r="AC9337" s="42"/>
    </row>
    <row r="9338" spans="15:29" x14ac:dyDescent="0.25">
      <c r="O9338" s="42"/>
      <c r="R9338" s="42"/>
      <c r="AC9338" s="42"/>
    </row>
    <row r="9339" spans="15:29" x14ac:dyDescent="0.25">
      <c r="O9339" s="42"/>
      <c r="R9339" s="42"/>
      <c r="AC9339" s="42"/>
    </row>
    <row r="9340" spans="15:29" x14ac:dyDescent="0.25">
      <c r="O9340" s="42"/>
      <c r="R9340" s="42"/>
      <c r="AC9340" s="42"/>
    </row>
    <row r="9341" spans="15:29" x14ac:dyDescent="0.25">
      <c r="O9341" s="42"/>
      <c r="R9341" s="42"/>
      <c r="AC9341" s="42"/>
    </row>
    <row r="9342" spans="15:29" x14ac:dyDescent="0.25">
      <c r="O9342" s="42"/>
      <c r="R9342" s="42"/>
      <c r="AC9342" s="42"/>
    </row>
    <row r="9343" spans="15:29" x14ac:dyDescent="0.25">
      <c r="O9343" s="42"/>
      <c r="R9343" s="42"/>
      <c r="AC9343" s="42"/>
    </row>
    <row r="9344" spans="15:29" x14ac:dyDescent="0.25">
      <c r="O9344" s="42"/>
      <c r="R9344" s="42"/>
      <c r="AC9344" s="42"/>
    </row>
    <row r="9345" spans="15:29" x14ac:dyDescent="0.25">
      <c r="O9345" s="42"/>
      <c r="R9345" s="42"/>
      <c r="AC9345" s="42"/>
    </row>
    <row r="9346" spans="15:29" x14ac:dyDescent="0.25">
      <c r="O9346" s="42"/>
      <c r="R9346" s="42"/>
      <c r="AC9346" s="42"/>
    </row>
    <row r="9347" spans="15:29" x14ac:dyDescent="0.25">
      <c r="O9347" s="42"/>
      <c r="R9347" s="42"/>
      <c r="AC9347" s="42"/>
    </row>
    <row r="9348" spans="15:29" x14ac:dyDescent="0.25">
      <c r="O9348" s="42"/>
      <c r="R9348" s="42"/>
      <c r="AC9348" s="42"/>
    </row>
    <row r="9349" spans="15:29" x14ac:dyDescent="0.25">
      <c r="O9349" s="42"/>
      <c r="R9349" s="42"/>
      <c r="AC9349" s="42"/>
    </row>
    <row r="9350" spans="15:29" x14ac:dyDescent="0.25">
      <c r="O9350" s="42"/>
      <c r="R9350" s="42"/>
      <c r="AC9350" s="42"/>
    </row>
    <row r="9351" spans="15:29" x14ac:dyDescent="0.25">
      <c r="O9351" s="42"/>
      <c r="R9351" s="42"/>
      <c r="AC9351" s="42"/>
    </row>
    <row r="9352" spans="15:29" x14ac:dyDescent="0.25">
      <c r="O9352" s="42"/>
      <c r="R9352" s="42"/>
      <c r="AC9352" s="42"/>
    </row>
    <row r="9353" spans="15:29" x14ac:dyDescent="0.25">
      <c r="O9353" s="42"/>
      <c r="R9353" s="42"/>
      <c r="AC9353" s="42"/>
    </row>
    <row r="9354" spans="15:29" x14ac:dyDescent="0.25">
      <c r="O9354" s="42"/>
      <c r="R9354" s="42"/>
      <c r="AC9354" s="42"/>
    </row>
    <row r="9355" spans="15:29" x14ac:dyDescent="0.25">
      <c r="O9355" s="42"/>
      <c r="R9355" s="42"/>
      <c r="AC9355" s="42"/>
    </row>
    <row r="9356" spans="15:29" x14ac:dyDescent="0.25">
      <c r="O9356" s="42"/>
      <c r="R9356" s="42"/>
      <c r="AC9356" s="42"/>
    </row>
    <row r="9357" spans="15:29" x14ac:dyDescent="0.25">
      <c r="O9357" s="42"/>
      <c r="R9357" s="42"/>
      <c r="AC9357" s="42"/>
    </row>
    <row r="9358" spans="15:29" x14ac:dyDescent="0.25">
      <c r="O9358" s="42"/>
      <c r="R9358" s="42"/>
      <c r="AC9358" s="42"/>
    </row>
    <row r="9359" spans="15:29" x14ac:dyDescent="0.25">
      <c r="O9359" s="42"/>
      <c r="R9359" s="42"/>
      <c r="AC9359" s="42"/>
    </row>
    <row r="9360" spans="15:29" x14ac:dyDescent="0.25">
      <c r="O9360" s="42"/>
      <c r="R9360" s="42"/>
      <c r="AC9360" s="42"/>
    </row>
    <row r="9361" spans="15:29" x14ac:dyDescent="0.25">
      <c r="O9361" s="42"/>
      <c r="R9361" s="42"/>
      <c r="AC9361" s="42"/>
    </row>
    <row r="9362" spans="15:29" x14ac:dyDescent="0.25">
      <c r="O9362" s="42"/>
      <c r="R9362" s="42"/>
      <c r="AC9362" s="42"/>
    </row>
    <row r="9363" spans="15:29" x14ac:dyDescent="0.25">
      <c r="O9363" s="42"/>
      <c r="R9363" s="42"/>
      <c r="AC9363" s="42"/>
    </row>
    <row r="9364" spans="15:29" x14ac:dyDescent="0.25">
      <c r="O9364" s="42"/>
      <c r="R9364" s="42"/>
      <c r="AC9364" s="42"/>
    </row>
    <row r="9365" spans="15:29" x14ac:dyDescent="0.25">
      <c r="O9365" s="42"/>
      <c r="R9365" s="42"/>
      <c r="AC9365" s="42"/>
    </row>
    <row r="9366" spans="15:29" x14ac:dyDescent="0.25">
      <c r="O9366" s="42"/>
      <c r="R9366" s="42"/>
      <c r="AC9366" s="42"/>
    </row>
    <row r="9367" spans="15:29" x14ac:dyDescent="0.25">
      <c r="O9367" s="42"/>
      <c r="R9367" s="42"/>
      <c r="AC9367" s="42"/>
    </row>
    <row r="9368" spans="15:29" x14ac:dyDescent="0.25">
      <c r="O9368" s="42"/>
      <c r="R9368" s="42"/>
      <c r="AC9368" s="42"/>
    </row>
    <row r="9369" spans="15:29" x14ac:dyDescent="0.25">
      <c r="O9369" s="42"/>
      <c r="R9369" s="42"/>
      <c r="AC9369" s="42"/>
    </row>
    <row r="9370" spans="15:29" x14ac:dyDescent="0.25">
      <c r="O9370" s="42"/>
      <c r="R9370" s="42"/>
      <c r="AC9370" s="42"/>
    </row>
    <row r="9371" spans="15:29" x14ac:dyDescent="0.25">
      <c r="O9371" s="42"/>
      <c r="R9371" s="42"/>
      <c r="AC9371" s="42"/>
    </row>
    <row r="9372" spans="15:29" x14ac:dyDescent="0.25">
      <c r="O9372" s="42"/>
      <c r="R9372" s="42"/>
      <c r="AC9372" s="42"/>
    </row>
    <row r="9373" spans="15:29" x14ac:dyDescent="0.25">
      <c r="O9373" s="42"/>
      <c r="R9373" s="42"/>
      <c r="AC9373" s="42"/>
    </row>
    <row r="9374" spans="15:29" x14ac:dyDescent="0.25">
      <c r="O9374" s="42"/>
      <c r="R9374" s="42"/>
      <c r="AC9374" s="42"/>
    </row>
    <row r="9375" spans="15:29" x14ac:dyDescent="0.25">
      <c r="O9375" s="42"/>
      <c r="R9375" s="42"/>
      <c r="AC9375" s="42"/>
    </row>
    <row r="9376" spans="15:29" x14ac:dyDescent="0.25">
      <c r="O9376" s="42"/>
      <c r="R9376" s="42"/>
      <c r="AC9376" s="42"/>
    </row>
    <row r="9377" spans="15:29" x14ac:dyDescent="0.25">
      <c r="O9377" s="42"/>
      <c r="R9377" s="42"/>
      <c r="AC9377" s="42"/>
    </row>
    <row r="9378" spans="15:29" x14ac:dyDescent="0.25">
      <c r="O9378" s="42"/>
      <c r="R9378" s="42"/>
      <c r="AC9378" s="42"/>
    </row>
    <row r="9379" spans="15:29" x14ac:dyDescent="0.25">
      <c r="O9379" s="42"/>
      <c r="R9379" s="42"/>
      <c r="AC9379" s="42"/>
    </row>
    <row r="9380" spans="15:29" x14ac:dyDescent="0.25">
      <c r="O9380" s="42"/>
      <c r="R9380" s="42"/>
      <c r="AC9380" s="42"/>
    </row>
    <row r="9381" spans="15:29" x14ac:dyDescent="0.25">
      <c r="O9381" s="42"/>
      <c r="R9381" s="42"/>
      <c r="AC9381" s="42"/>
    </row>
    <row r="9382" spans="15:29" x14ac:dyDescent="0.25">
      <c r="O9382" s="42"/>
      <c r="R9382" s="42"/>
      <c r="AC9382" s="42"/>
    </row>
    <row r="9383" spans="15:29" x14ac:dyDescent="0.25">
      <c r="O9383" s="42"/>
      <c r="R9383" s="42"/>
      <c r="AC9383" s="42"/>
    </row>
    <row r="9384" spans="15:29" x14ac:dyDescent="0.25">
      <c r="O9384" s="42"/>
      <c r="R9384" s="42"/>
      <c r="AC9384" s="42"/>
    </row>
    <row r="9385" spans="15:29" x14ac:dyDescent="0.25">
      <c r="O9385" s="42"/>
      <c r="R9385" s="42"/>
      <c r="AC9385" s="42"/>
    </row>
    <row r="9386" spans="15:29" x14ac:dyDescent="0.25">
      <c r="O9386" s="42"/>
      <c r="R9386" s="42"/>
      <c r="AC9386" s="42"/>
    </row>
    <row r="9387" spans="15:29" x14ac:dyDescent="0.25">
      <c r="O9387" s="42"/>
      <c r="R9387" s="42"/>
      <c r="AC9387" s="42"/>
    </row>
    <row r="9388" spans="15:29" x14ac:dyDescent="0.25">
      <c r="O9388" s="42"/>
      <c r="R9388" s="42"/>
      <c r="AC9388" s="42"/>
    </row>
    <row r="9389" spans="15:29" x14ac:dyDescent="0.25">
      <c r="O9389" s="42"/>
      <c r="R9389" s="42"/>
      <c r="AC9389" s="42"/>
    </row>
    <row r="9390" spans="15:29" x14ac:dyDescent="0.25">
      <c r="O9390" s="42"/>
      <c r="R9390" s="42"/>
      <c r="AC9390" s="42"/>
    </row>
    <row r="9391" spans="15:29" x14ac:dyDescent="0.25">
      <c r="O9391" s="42"/>
      <c r="R9391" s="42"/>
      <c r="AC9391" s="42"/>
    </row>
    <row r="9392" spans="15:29" x14ac:dyDescent="0.25">
      <c r="O9392" s="42"/>
      <c r="R9392" s="42"/>
      <c r="AC9392" s="42"/>
    </row>
    <row r="9393" spans="15:29" x14ac:dyDescent="0.25">
      <c r="O9393" s="42"/>
      <c r="R9393" s="42"/>
      <c r="AC9393" s="42"/>
    </row>
    <row r="9394" spans="15:29" x14ac:dyDescent="0.25">
      <c r="O9394" s="42"/>
      <c r="R9394" s="42"/>
      <c r="AC9394" s="42"/>
    </row>
    <row r="9395" spans="15:29" x14ac:dyDescent="0.25">
      <c r="O9395" s="42"/>
      <c r="R9395" s="42"/>
      <c r="AC9395" s="42"/>
    </row>
    <row r="9396" spans="15:29" x14ac:dyDescent="0.25">
      <c r="O9396" s="42"/>
      <c r="R9396" s="42"/>
      <c r="AC9396" s="42"/>
    </row>
    <row r="9397" spans="15:29" x14ac:dyDescent="0.25">
      <c r="O9397" s="42"/>
      <c r="R9397" s="42"/>
      <c r="AC9397" s="42"/>
    </row>
    <row r="9398" spans="15:29" x14ac:dyDescent="0.25">
      <c r="O9398" s="42"/>
      <c r="R9398" s="42"/>
      <c r="AC9398" s="42"/>
    </row>
    <row r="9399" spans="15:29" x14ac:dyDescent="0.25">
      <c r="O9399" s="42"/>
      <c r="R9399" s="42"/>
      <c r="AC9399" s="42"/>
    </row>
    <row r="9400" spans="15:29" x14ac:dyDescent="0.25">
      <c r="O9400" s="42"/>
      <c r="R9400" s="42"/>
      <c r="AC9400" s="42"/>
    </row>
    <row r="9401" spans="15:29" x14ac:dyDescent="0.25">
      <c r="O9401" s="42"/>
      <c r="R9401" s="42"/>
      <c r="AC9401" s="42"/>
    </row>
    <row r="9402" spans="15:29" x14ac:dyDescent="0.25">
      <c r="O9402" s="42"/>
      <c r="R9402" s="42"/>
      <c r="AC9402" s="42"/>
    </row>
    <row r="9403" spans="15:29" x14ac:dyDescent="0.25">
      <c r="O9403" s="42"/>
      <c r="R9403" s="42"/>
      <c r="AC9403" s="42"/>
    </row>
    <row r="9404" spans="15:29" x14ac:dyDescent="0.25">
      <c r="O9404" s="42"/>
      <c r="R9404" s="42"/>
      <c r="AC9404" s="42"/>
    </row>
    <row r="9405" spans="15:29" x14ac:dyDescent="0.25">
      <c r="O9405" s="42"/>
      <c r="R9405" s="42"/>
      <c r="AC9405" s="42"/>
    </row>
    <row r="9406" spans="15:29" x14ac:dyDescent="0.25">
      <c r="O9406" s="42"/>
      <c r="R9406" s="42"/>
      <c r="AC9406" s="42"/>
    </row>
    <row r="9407" spans="15:29" x14ac:dyDescent="0.25">
      <c r="O9407" s="42"/>
      <c r="R9407" s="42"/>
      <c r="AC9407" s="42"/>
    </row>
    <row r="9408" spans="15:29" x14ac:dyDescent="0.25">
      <c r="O9408" s="42"/>
      <c r="R9408" s="42"/>
      <c r="AC9408" s="42"/>
    </row>
    <row r="9409" spans="15:29" x14ac:dyDescent="0.25">
      <c r="O9409" s="42"/>
      <c r="R9409" s="42"/>
      <c r="AC9409" s="42"/>
    </row>
    <row r="9410" spans="15:29" x14ac:dyDescent="0.25">
      <c r="O9410" s="42"/>
      <c r="R9410" s="42"/>
      <c r="AC9410" s="42"/>
    </row>
    <row r="9411" spans="15:29" x14ac:dyDescent="0.25">
      <c r="O9411" s="42"/>
      <c r="R9411" s="42"/>
      <c r="AC9411" s="42"/>
    </row>
    <row r="9412" spans="15:29" x14ac:dyDescent="0.25">
      <c r="O9412" s="42"/>
      <c r="R9412" s="42"/>
      <c r="AC9412" s="42"/>
    </row>
    <row r="9413" spans="15:29" x14ac:dyDescent="0.25">
      <c r="O9413" s="42"/>
      <c r="R9413" s="42"/>
      <c r="AC9413" s="42"/>
    </row>
    <row r="9414" spans="15:29" x14ac:dyDescent="0.25">
      <c r="O9414" s="42"/>
      <c r="R9414" s="42"/>
      <c r="AC9414" s="42"/>
    </row>
    <row r="9415" spans="15:29" x14ac:dyDescent="0.25">
      <c r="O9415" s="42"/>
      <c r="R9415" s="42"/>
      <c r="AC9415" s="42"/>
    </row>
    <row r="9416" spans="15:29" x14ac:dyDescent="0.25">
      <c r="O9416" s="42"/>
      <c r="R9416" s="42"/>
      <c r="AC9416" s="42"/>
    </row>
    <row r="9417" spans="15:29" x14ac:dyDescent="0.25">
      <c r="O9417" s="42"/>
      <c r="R9417" s="42"/>
      <c r="AC9417" s="42"/>
    </row>
    <row r="9418" spans="15:29" x14ac:dyDescent="0.25">
      <c r="O9418" s="42"/>
      <c r="R9418" s="42"/>
      <c r="AC9418" s="42"/>
    </row>
    <row r="9419" spans="15:29" x14ac:dyDescent="0.25">
      <c r="O9419" s="42"/>
      <c r="R9419" s="42"/>
      <c r="AC9419" s="42"/>
    </row>
    <row r="9420" spans="15:29" x14ac:dyDescent="0.25">
      <c r="O9420" s="42"/>
      <c r="R9420" s="42"/>
      <c r="AC9420" s="42"/>
    </row>
    <row r="9421" spans="15:29" x14ac:dyDescent="0.25">
      <c r="O9421" s="42"/>
      <c r="R9421" s="42"/>
      <c r="AC9421" s="42"/>
    </row>
    <row r="9422" spans="15:29" x14ac:dyDescent="0.25">
      <c r="O9422" s="42"/>
      <c r="R9422" s="42"/>
      <c r="AC9422" s="42"/>
    </row>
    <row r="9423" spans="15:29" x14ac:dyDescent="0.25">
      <c r="O9423" s="42"/>
      <c r="R9423" s="42"/>
      <c r="AC9423" s="42"/>
    </row>
    <row r="9424" spans="15:29" x14ac:dyDescent="0.25">
      <c r="O9424" s="42"/>
      <c r="R9424" s="42"/>
      <c r="AC9424" s="42"/>
    </row>
    <row r="9425" spans="15:29" x14ac:dyDescent="0.25">
      <c r="O9425" s="42"/>
      <c r="R9425" s="42"/>
      <c r="AC9425" s="42"/>
    </row>
    <row r="9426" spans="15:29" x14ac:dyDescent="0.25">
      <c r="O9426" s="42"/>
      <c r="R9426" s="42"/>
      <c r="AC9426" s="42"/>
    </row>
    <row r="9427" spans="15:29" x14ac:dyDescent="0.25">
      <c r="O9427" s="42"/>
      <c r="R9427" s="42"/>
      <c r="AC9427" s="42"/>
    </row>
    <row r="9428" spans="15:29" x14ac:dyDescent="0.25">
      <c r="O9428" s="42"/>
      <c r="R9428" s="42"/>
      <c r="AC9428" s="42"/>
    </row>
    <row r="9429" spans="15:29" x14ac:dyDescent="0.25">
      <c r="O9429" s="42"/>
      <c r="R9429" s="42"/>
      <c r="AC9429" s="42"/>
    </row>
    <row r="9430" spans="15:29" x14ac:dyDescent="0.25">
      <c r="O9430" s="42"/>
      <c r="R9430" s="42"/>
      <c r="AC9430" s="42"/>
    </row>
    <row r="9431" spans="15:29" x14ac:dyDescent="0.25">
      <c r="O9431" s="42"/>
      <c r="R9431" s="42"/>
      <c r="AC9431" s="42"/>
    </row>
    <row r="9432" spans="15:29" x14ac:dyDescent="0.25">
      <c r="O9432" s="42"/>
      <c r="R9432" s="42"/>
      <c r="AC9432" s="42"/>
    </row>
    <row r="9433" spans="15:29" x14ac:dyDescent="0.25">
      <c r="O9433" s="42"/>
      <c r="R9433" s="42"/>
      <c r="AC9433" s="42"/>
    </row>
    <row r="9434" spans="15:29" x14ac:dyDescent="0.25">
      <c r="O9434" s="42"/>
      <c r="R9434" s="42"/>
      <c r="AC9434" s="42"/>
    </row>
    <row r="9435" spans="15:29" x14ac:dyDescent="0.25">
      <c r="O9435" s="42"/>
      <c r="R9435" s="42"/>
      <c r="AC9435" s="42"/>
    </row>
    <row r="9436" spans="15:29" x14ac:dyDescent="0.25">
      <c r="O9436" s="42"/>
      <c r="R9436" s="42"/>
      <c r="AC9436" s="42"/>
    </row>
    <row r="9437" spans="15:29" x14ac:dyDescent="0.25">
      <c r="O9437" s="42"/>
      <c r="R9437" s="42"/>
      <c r="AC9437" s="42"/>
    </row>
    <row r="9438" spans="15:29" x14ac:dyDescent="0.25">
      <c r="O9438" s="42"/>
      <c r="R9438" s="42"/>
      <c r="AC9438" s="42"/>
    </row>
    <row r="9439" spans="15:29" x14ac:dyDescent="0.25">
      <c r="O9439" s="42"/>
      <c r="R9439" s="42"/>
      <c r="AC9439" s="42"/>
    </row>
    <row r="9440" spans="15:29" x14ac:dyDescent="0.25">
      <c r="O9440" s="42"/>
      <c r="R9440" s="42"/>
      <c r="AC9440" s="42"/>
    </row>
    <row r="9441" spans="15:29" x14ac:dyDescent="0.25">
      <c r="O9441" s="42"/>
      <c r="R9441" s="42"/>
      <c r="AC9441" s="42"/>
    </row>
    <row r="9442" spans="15:29" x14ac:dyDescent="0.25">
      <c r="O9442" s="42"/>
      <c r="R9442" s="42"/>
      <c r="AC9442" s="42"/>
    </row>
    <row r="9443" spans="15:29" x14ac:dyDescent="0.25">
      <c r="O9443" s="42"/>
      <c r="R9443" s="42"/>
      <c r="AC9443" s="42"/>
    </row>
    <row r="9444" spans="15:29" x14ac:dyDescent="0.25">
      <c r="O9444" s="42"/>
      <c r="R9444" s="42"/>
      <c r="AC9444" s="42"/>
    </row>
    <row r="9445" spans="15:29" x14ac:dyDescent="0.25">
      <c r="O9445" s="42"/>
      <c r="R9445" s="42"/>
      <c r="AC9445" s="42"/>
    </row>
    <row r="9446" spans="15:29" x14ac:dyDescent="0.25">
      <c r="O9446" s="42"/>
      <c r="R9446" s="42"/>
      <c r="AC9446" s="42"/>
    </row>
    <row r="9447" spans="15:29" x14ac:dyDescent="0.25">
      <c r="O9447" s="42"/>
      <c r="R9447" s="42"/>
      <c r="AC9447" s="42"/>
    </row>
    <row r="9448" spans="15:29" x14ac:dyDescent="0.25">
      <c r="O9448" s="42"/>
      <c r="R9448" s="42"/>
      <c r="AC9448" s="42"/>
    </row>
    <row r="9449" spans="15:29" x14ac:dyDescent="0.25">
      <c r="O9449" s="42"/>
      <c r="R9449" s="42"/>
      <c r="AC9449" s="42"/>
    </row>
    <row r="9450" spans="15:29" x14ac:dyDescent="0.25">
      <c r="O9450" s="42"/>
      <c r="R9450" s="42"/>
      <c r="AC9450" s="42"/>
    </row>
    <row r="9451" spans="15:29" x14ac:dyDescent="0.25">
      <c r="O9451" s="42"/>
      <c r="R9451" s="42"/>
      <c r="AC9451" s="42"/>
    </row>
    <row r="9452" spans="15:29" x14ac:dyDescent="0.25">
      <c r="O9452" s="42"/>
      <c r="R9452" s="42"/>
      <c r="AC9452" s="42"/>
    </row>
    <row r="9453" spans="15:29" x14ac:dyDescent="0.25">
      <c r="O9453" s="42"/>
      <c r="R9453" s="42"/>
      <c r="AC9453" s="42"/>
    </row>
    <row r="9454" spans="15:29" x14ac:dyDescent="0.25">
      <c r="O9454" s="42"/>
      <c r="R9454" s="42"/>
      <c r="AC9454" s="42"/>
    </row>
    <row r="9455" spans="15:29" x14ac:dyDescent="0.25">
      <c r="O9455" s="42"/>
      <c r="R9455" s="42"/>
      <c r="AC9455" s="42"/>
    </row>
    <row r="9456" spans="15:29" x14ac:dyDescent="0.25">
      <c r="O9456" s="42"/>
      <c r="R9456" s="42"/>
      <c r="AC9456" s="42"/>
    </row>
    <row r="9457" spans="15:29" x14ac:dyDescent="0.25">
      <c r="O9457" s="42"/>
      <c r="R9457" s="42"/>
      <c r="AC9457" s="42"/>
    </row>
    <row r="9458" spans="15:29" x14ac:dyDescent="0.25">
      <c r="O9458" s="42"/>
      <c r="R9458" s="42"/>
      <c r="AC9458" s="42"/>
    </row>
    <row r="9459" spans="15:29" x14ac:dyDescent="0.25">
      <c r="O9459" s="42"/>
      <c r="R9459" s="42"/>
      <c r="AC9459" s="42"/>
    </row>
    <row r="9460" spans="15:29" x14ac:dyDescent="0.25">
      <c r="O9460" s="42"/>
      <c r="R9460" s="42"/>
      <c r="AC9460" s="42"/>
    </row>
    <row r="9461" spans="15:29" x14ac:dyDescent="0.25">
      <c r="O9461" s="42"/>
      <c r="R9461" s="42"/>
      <c r="AC9461" s="42"/>
    </row>
    <row r="9462" spans="15:29" x14ac:dyDescent="0.25">
      <c r="O9462" s="42"/>
      <c r="R9462" s="42"/>
      <c r="AC9462" s="42"/>
    </row>
    <row r="9463" spans="15:29" x14ac:dyDescent="0.25">
      <c r="O9463" s="42"/>
      <c r="R9463" s="42"/>
      <c r="AC9463" s="42"/>
    </row>
    <row r="9464" spans="15:29" x14ac:dyDescent="0.25">
      <c r="O9464" s="42"/>
      <c r="R9464" s="42"/>
      <c r="AC9464" s="42"/>
    </row>
    <row r="9465" spans="15:29" x14ac:dyDescent="0.25">
      <c r="O9465" s="42"/>
      <c r="R9465" s="42"/>
      <c r="AC9465" s="42"/>
    </row>
    <row r="9466" spans="15:29" x14ac:dyDescent="0.25">
      <c r="O9466" s="42"/>
      <c r="R9466" s="42"/>
      <c r="AC9466" s="42"/>
    </row>
    <row r="9467" spans="15:29" x14ac:dyDescent="0.25">
      <c r="O9467" s="42"/>
      <c r="R9467" s="42"/>
      <c r="AC9467" s="42"/>
    </row>
    <row r="9468" spans="15:29" x14ac:dyDescent="0.25">
      <c r="O9468" s="42"/>
      <c r="R9468" s="42"/>
      <c r="AC9468" s="42"/>
    </row>
    <row r="9469" spans="15:29" x14ac:dyDescent="0.25">
      <c r="O9469" s="42"/>
      <c r="R9469" s="42"/>
      <c r="AC9469" s="42"/>
    </row>
    <row r="9470" spans="15:29" x14ac:dyDescent="0.25">
      <c r="O9470" s="42"/>
      <c r="R9470" s="42"/>
      <c r="AC9470" s="42"/>
    </row>
    <row r="9471" spans="15:29" x14ac:dyDescent="0.25">
      <c r="O9471" s="42"/>
      <c r="R9471" s="42"/>
      <c r="AC9471" s="42"/>
    </row>
    <row r="9472" spans="15:29" x14ac:dyDescent="0.25">
      <c r="O9472" s="42"/>
      <c r="R9472" s="42"/>
      <c r="AC9472" s="42"/>
    </row>
    <row r="9473" spans="15:29" x14ac:dyDescent="0.25">
      <c r="O9473" s="42"/>
      <c r="R9473" s="42"/>
      <c r="AC9473" s="42"/>
    </row>
    <row r="9474" spans="15:29" x14ac:dyDescent="0.25">
      <c r="O9474" s="42"/>
      <c r="R9474" s="42"/>
      <c r="AC9474" s="42"/>
    </row>
    <row r="9475" spans="15:29" x14ac:dyDescent="0.25">
      <c r="O9475" s="42"/>
      <c r="R9475" s="42"/>
      <c r="AC9475" s="42"/>
    </row>
    <row r="9476" spans="15:29" x14ac:dyDescent="0.25">
      <c r="O9476" s="42"/>
      <c r="R9476" s="42"/>
      <c r="AC9476" s="42"/>
    </row>
    <row r="9477" spans="15:29" x14ac:dyDescent="0.25">
      <c r="O9477" s="42"/>
      <c r="R9477" s="42"/>
      <c r="AC9477" s="42"/>
    </row>
    <row r="9478" spans="15:29" x14ac:dyDescent="0.25">
      <c r="O9478" s="42"/>
      <c r="R9478" s="42"/>
      <c r="AC9478" s="42"/>
    </row>
    <row r="9479" spans="15:29" x14ac:dyDescent="0.25">
      <c r="O9479" s="42"/>
      <c r="R9479" s="42"/>
      <c r="AC9479" s="42"/>
    </row>
    <row r="9480" spans="15:29" x14ac:dyDescent="0.25">
      <c r="O9480" s="42"/>
      <c r="R9480" s="42"/>
      <c r="AC9480" s="42"/>
    </row>
    <row r="9481" spans="15:29" x14ac:dyDescent="0.25">
      <c r="O9481" s="42"/>
      <c r="R9481" s="42"/>
      <c r="AC9481" s="42"/>
    </row>
    <row r="9482" spans="15:29" x14ac:dyDescent="0.25">
      <c r="O9482" s="42"/>
      <c r="R9482" s="42"/>
      <c r="AC9482" s="42"/>
    </row>
    <row r="9483" spans="15:29" x14ac:dyDescent="0.25">
      <c r="O9483" s="42"/>
      <c r="R9483" s="42"/>
      <c r="AC9483" s="42"/>
    </row>
    <row r="9484" spans="15:29" x14ac:dyDescent="0.25">
      <c r="O9484" s="42"/>
      <c r="R9484" s="42"/>
      <c r="AC9484" s="42"/>
    </row>
    <row r="9485" spans="15:29" x14ac:dyDescent="0.25">
      <c r="O9485" s="42"/>
      <c r="R9485" s="42"/>
      <c r="AC9485" s="42"/>
    </row>
    <row r="9486" spans="15:29" x14ac:dyDescent="0.25">
      <c r="O9486" s="42"/>
      <c r="R9486" s="42"/>
      <c r="AC9486" s="42"/>
    </row>
    <row r="9487" spans="15:29" x14ac:dyDescent="0.25">
      <c r="O9487" s="42"/>
      <c r="R9487" s="42"/>
      <c r="AC9487" s="42"/>
    </row>
    <row r="9488" spans="15:29" x14ac:dyDescent="0.25">
      <c r="O9488" s="42"/>
      <c r="R9488" s="42"/>
      <c r="AC9488" s="42"/>
    </row>
    <row r="9489" spans="15:29" x14ac:dyDescent="0.25">
      <c r="O9489" s="42"/>
      <c r="R9489" s="42"/>
      <c r="AC9489" s="42"/>
    </row>
    <row r="9490" spans="15:29" x14ac:dyDescent="0.25">
      <c r="O9490" s="42"/>
      <c r="R9490" s="42"/>
      <c r="AC9490" s="42"/>
    </row>
    <row r="9491" spans="15:29" x14ac:dyDescent="0.25">
      <c r="O9491" s="42"/>
      <c r="R9491" s="42"/>
      <c r="AC9491" s="42"/>
    </row>
    <row r="9492" spans="15:29" x14ac:dyDescent="0.25">
      <c r="O9492" s="42"/>
      <c r="R9492" s="42"/>
      <c r="AC9492" s="42"/>
    </row>
    <row r="9493" spans="15:29" x14ac:dyDescent="0.25">
      <c r="O9493" s="42"/>
      <c r="R9493" s="42"/>
      <c r="AC9493" s="42"/>
    </row>
    <row r="9494" spans="15:29" x14ac:dyDescent="0.25">
      <c r="O9494" s="42"/>
      <c r="R9494" s="42"/>
      <c r="AC9494" s="42"/>
    </row>
    <row r="9495" spans="15:29" x14ac:dyDescent="0.25">
      <c r="O9495" s="42"/>
      <c r="R9495" s="42"/>
      <c r="AC9495" s="42"/>
    </row>
    <row r="9496" spans="15:29" x14ac:dyDescent="0.25">
      <c r="O9496" s="42"/>
      <c r="R9496" s="42"/>
      <c r="AC9496" s="42"/>
    </row>
    <row r="9497" spans="15:29" x14ac:dyDescent="0.25">
      <c r="O9497" s="42"/>
      <c r="R9497" s="42"/>
      <c r="AC9497" s="42"/>
    </row>
    <row r="9498" spans="15:29" x14ac:dyDescent="0.25">
      <c r="O9498" s="42"/>
      <c r="R9498" s="42"/>
      <c r="AC9498" s="42"/>
    </row>
    <row r="9499" spans="15:29" x14ac:dyDescent="0.25">
      <c r="O9499" s="42"/>
      <c r="R9499" s="42"/>
      <c r="AC9499" s="42"/>
    </row>
    <row r="9500" spans="15:29" x14ac:dyDescent="0.25">
      <c r="O9500" s="42"/>
      <c r="R9500" s="42"/>
      <c r="AC9500" s="42"/>
    </row>
    <row r="9501" spans="15:29" x14ac:dyDescent="0.25">
      <c r="O9501" s="42"/>
      <c r="R9501" s="42"/>
      <c r="AC9501" s="42"/>
    </row>
    <row r="9502" spans="15:29" x14ac:dyDescent="0.25">
      <c r="O9502" s="42"/>
      <c r="R9502" s="42"/>
      <c r="AC9502" s="42"/>
    </row>
    <row r="9503" spans="15:29" x14ac:dyDescent="0.25">
      <c r="O9503" s="42"/>
      <c r="R9503" s="42"/>
      <c r="AC9503" s="42"/>
    </row>
    <row r="9504" spans="15:29" x14ac:dyDescent="0.25">
      <c r="O9504" s="42"/>
      <c r="R9504" s="42"/>
      <c r="AC9504" s="42"/>
    </row>
    <row r="9505" spans="15:29" x14ac:dyDescent="0.25">
      <c r="O9505" s="42"/>
      <c r="R9505" s="42"/>
      <c r="AC9505" s="42"/>
    </row>
    <row r="9506" spans="15:29" x14ac:dyDescent="0.25">
      <c r="O9506" s="42"/>
      <c r="R9506" s="42"/>
      <c r="AC9506" s="42"/>
    </row>
    <row r="9507" spans="15:29" x14ac:dyDescent="0.25">
      <c r="O9507" s="42"/>
      <c r="R9507" s="42"/>
      <c r="AC9507" s="42"/>
    </row>
    <row r="9508" spans="15:29" x14ac:dyDescent="0.25">
      <c r="O9508" s="42"/>
      <c r="R9508" s="42"/>
      <c r="AC9508" s="42"/>
    </row>
    <row r="9509" spans="15:29" x14ac:dyDescent="0.25">
      <c r="O9509" s="42"/>
      <c r="R9509" s="42"/>
      <c r="AC9509" s="42"/>
    </row>
    <row r="9510" spans="15:29" x14ac:dyDescent="0.25">
      <c r="O9510" s="42"/>
      <c r="R9510" s="42"/>
      <c r="AC9510" s="42"/>
    </row>
    <row r="9511" spans="15:29" x14ac:dyDescent="0.25">
      <c r="O9511" s="42"/>
      <c r="R9511" s="42"/>
      <c r="AC9511" s="42"/>
    </row>
    <row r="9512" spans="15:29" x14ac:dyDescent="0.25">
      <c r="O9512" s="42"/>
      <c r="R9512" s="42"/>
      <c r="AC9512" s="42"/>
    </row>
    <row r="9513" spans="15:29" x14ac:dyDescent="0.25">
      <c r="O9513" s="42"/>
      <c r="R9513" s="42"/>
      <c r="AC9513" s="42"/>
    </row>
    <row r="9514" spans="15:29" x14ac:dyDescent="0.25">
      <c r="O9514" s="42"/>
      <c r="R9514" s="42"/>
      <c r="AC9514" s="42"/>
    </row>
    <row r="9515" spans="15:29" x14ac:dyDescent="0.25">
      <c r="O9515" s="42"/>
      <c r="R9515" s="42"/>
      <c r="AC9515" s="42"/>
    </row>
    <row r="9516" spans="15:29" x14ac:dyDescent="0.25">
      <c r="O9516" s="42"/>
      <c r="R9516" s="42"/>
      <c r="AC9516" s="42"/>
    </row>
    <row r="9517" spans="15:29" x14ac:dyDescent="0.25">
      <c r="O9517" s="42"/>
      <c r="R9517" s="42"/>
      <c r="AC9517" s="42"/>
    </row>
    <row r="9518" spans="15:29" x14ac:dyDescent="0.25">
      <c r="O9518" s="42"/>
      <c r="R9518" s="42"/>
      <c r="AC9518" s="42"/>
    </row>
    <row r="9519" spans="15:29" x14ac:dyDescent="0.25">
      <c r="O9519" s="42"/>
      <c r="R9519" s="42"/>
      <c r="AC9519" s="42"/>
    </row>
    <row r="9520" spans="15:29" x14ac:dyDescent="0.25">
      <c r="O9520" s="42"/>
      <c r="R9520" s="42"/>
      <c r="AC9520" s="42"/>
    </row>
    <row r="9521" spans="15:29" x14ac:dyDescent="0.25">
      <c r="O9521" s="42"/>
      <c r="R9521" s="42"/>
      <c r="AC9521" s="42"/>
    </row>
    <row r="9522" spans="15:29" x14ac:dyDescent="0.25">
      <c r="O9522" s="42"/>
      <c r="R9522" s="42"/>
      <c r="AC9522" s="42"/>
    </row>
    <row r="9523" spans="15:29" x14ac:dyDescent="0.25">
      <c r="O9523" s="42"/>
      <c r="R9523" s="42"/>
      <c r="AC9523" s="42"/>
    </row>
    <row r="9524" spans="15:29" x14ac:dyDescent="0.25">
      <c r="O9524" s="42"/>
      <c r="R9524" s="42"/>
      <c r="AC9524" s="42"/>
    </row>
    <row r="9525" spans="15:29" x14ac:dyDescent="0.25">
      <c r="O9525" s="42"/>
      <c r="R9525" s="42"/>
      <c r="AC9525" s="42"/>
    </row>
    <row r="9526" spans="15:29" x14ac:dyDescent="0.25">
      <c r="O9526" s="42"/>
      <c r="R9526" s="42"/>
      <c r="AC9526" s="42"/>
    </row>
    <row r="9527" spans="15:29" x14ac:dyDescent="0.25">
      <c r="O9527" s="42"/>
      <c r="R9527" s="42"/>
      <c r="AC9527" s="42"/>
    </row>
    <row r="9528" spans="15:29" x14ac:dyDescent="0.25">
      <c r="O9528" s="42"/>
      <c r="R9528" s="42"/>
      <c r="AC9528" s="42"/>
    </row>
    <row r="9529" spans="15:29" x14ac:dyDescent="0.25">
      <c r="O9529" s="42"/>
      <c r="R9529" s="42"/>
      <c r="AC9529" s="42"/>
    </row>
    <row r="9530" spans="15:29" x14ac:dyDescent="0.25">
      <c r="O9530" s="42"/>
      <c r="R9530" s="42"/>
      <c r="AC9530" s="42"/>
    </row>
    <row r="9531" spans="15:29" x14ac:dyDescent="0.25">
      <c r="O9531" s="42"/>
      <c r="R9531" s="42"/>
      <c r="AC9531" s="42"/>
    </row>
    <row r="9532" spans="15:29" x14ac:dyDescent="0.25">
      <c r="O9532" s="42"/>
      <c r="R9532" s="42"/>
      <c r="AC9532" s="42"/>
    </row>
    <row r="9533" spans="15:29" x14ac:dyDescent="0.25">
      <c r="O9533" s="42"/>
      <c r="R9533" s="42"/>
      <c r="AC9533" s="42"/>
    </row>
    <row r="9534" spans="15:29" x14ac:dyDescent="0.25">
      <c r="O9534" s="42"/>
      <c r="R9534" s="42"/>
      <c r="AC9534" s="42"/>
    </row>
    <row r="9535" spans="15:29" x14ac:dyDescent="0.25">
      <c r="O9535" s="42"/>
      <c r="R9535" s="42"/>
      <c r="AC9535" s="42"/>
    </row>
    <row r="9536" spans="15:29" x14ac:dyDescent="0.25">
      <c r="O9536" s="42"/>
      <c r="R9536" s="42"/>
      <c r="AC9536" s="42"/>
    </row>
    <row r="9537" spans="15:29" x14ac:dyDescent="0.25">
      <c r="O9537" s="42"/>
      <c r="R9537" s="42"/>
      <c r="AC9537" s="42"/>
    </row>
    <row r="9538" spans="15:29" x14ac:dyDescent="0.25">
      <c r="O9538" s="42"/>
      <c r="R9538" s="42"/>
      <c r="AC9538" s="42"/>
    </row>
    <row r="9539" spans="15:29" x14ac:dyDescent="0.25">
      <c r="O9539" s="42"/>
      <c r="R9539" s="42"/>
      <c r="AC9539" s="42"/>
    </row>
    <row r="9540" spans="15:29" x14ac:dyDescent="0.25">
      <c r="O9540" s="42"/>
      <c r="R9540" s="42"/>
      <c r="AC9540" s="42"/>
    </row>
    <row r="9541" spans="15:29" x14ac:dyDescent="0.25">
      <c r="O9541" s="42"/>
      <c r="R9541" s="42"/>
      <c r="AC9541" s="42"/>
    </row>
    <row r="9542" spans="15:29" x14ac:dyDescent="0.25">
      <c r="O9542" s="42"/>
      <c r="R9542" s="42"/>
      <c r="AC9542" s="42"/>
    </row>
    <row r="9543" spans="15:29" x14ac:dyDescent="0.25">
      <c r="O9543" s="42"/>
      <c r="R9543" s="42"/>
      <c r="AC9543" s="42"/>
    </row>
    <row r="9544" spans="15:29" x14ac:dyDescent="0.25">
      <c r="O9544" s="42"/>
      <c r="R9544" s="42"/>
      <c r="AC9544" s="42"/>
    </row>
    <row r="9545" spans="15:29" x14ac:dyDescent="0.25">
      <c r="O9545" s="42"/>
      <c r="R9545" s="42"/>
      <c r="AC9545" s="42"/>
    </row>
    <row r="9546" spans="15:29" x14ac:dyDescent="0.25">
      <c r="O9546" s="42"/>
      <c r="R9546" s="42"/>
      <c r="AC9546" s="42"/>
    </row>
    <row r="9547" spans="15:29" x14ac:dyDescent="0.25">
      <c r="O9547" s="42"/>
      <c r="R9547" s="42"/>
      <c r="AC9547" s="42"/>
    </row>
    <row r="9548" spans="15:29" x14ac:dyDescent="0.25">
      <c r="O9548" s="42"/>
      <c r="R9548" s="42"/>
      <c r="AC9548" s="42"/>
    </row>
    <row r="9549" spans="15:29" x14ac:dyDescent="0.25">
      <c r="O9549" s="42"/>
      <c r="R9549" s="42"/>
      <c r="AC9549" s="42"/>
    </row>
    <row r="9550" spans="15:29" x14ac:dyDescent="0.25">
      <c r="O9550" s="42"/>
      <c r="R9550" s="42"/>
      <c r="AC9550" s="42"/>
    </row>
    <row r="9551" spans="15:29" x14ac:dyDescent="0.25">
      <c r="O9551" s="42"/>
      <c r="R9551" s="42"/>
      <c r="AC9551" s="42"/>
    </row>
    <row r="9552" spans="15:29" x14ac:dyDescent="0.25">
      <c r="O9552" s="42"/>
      <c r="R9552" s="42"/>
      <c r="AC9552" s="42"/>
    </row>
    <row r="9553" spans="15:29" x14ac:dyDescent="0.25">
      <c r="O9553" s="42"/>
      <c r="R9553" s="42"/>
      <c r="AC9553" s="42"/>
    </row>
    <row r="9554" spans="15:29" x14ac:dyDescent="0.25">
      <c r="O9554" s="42"/>
      <c r="R9554" s="42"/>
      <c r="AC9554" s="42"/>
    </row>
    <row r="9555" spans="15:29" x14ac:dyDescent="0.25">
      <c r="O9555" s="42"/>
      <c r="R9555" s="42"/>
      <c r="AC9555" s="42"/>
    </row>
    <row r="9556" spans="15:29" x14ac:dyDescent="0.25">
      <c r="O9556" s="42"/>
      <c r="R9556" s="42"/>
      <c r="AC9556" s="42"/>
    </row>
    <row r="9557" spans="15:29" x14ac:dyDescent="0.25">
      <c r="O9557" s="42"/>
      <c r="R9557" s="42"/>
      <c r="AC9557" s="42"/>
    </row>
    <row r="9558" spans="15:29" x14ac:dyDescent="0.25">
      <c r="O9558" s="42"/>
      <c r="R9558" s="42"/>
      <c r="AC9558" s="42"/>
    </row>
    <row r="9559" spans="15:29" x14ac:dyDescent="0.25">
      <c r="O9559" s="42"/>
      <c r="R9559" s="42"/>
      <c r="AC9559" s="42"/>
    </row>
    <row r="9560" spans="15:29" x14ac:dyDescent="0.25">
      <c r="O9560" s="42"/>
      <c r="R9560" s="42"/>
      <c r="AC9560" s="42"/>
    </row>
    <row r="9561" spans="15:29" x14ac:dyDescent="0.25">
      <c r="O9561" s="42"/>
      <c r="R9561" s="42"/>
      <c r="AC9561" s="42"/>
    </row>
    <row r="9562" spans="15:29" x14ac:dyDescent="0.25">
      <c r="O9562" s="42"/>
      <c r="R9562" s="42"/>
      <c r="AC9562" s="42"/>
    </row>
    <row r="9563" spans="15:29" x14ac:dyDescent="0.25">
      <c r="O9563" s="42"/>
      <c r="R9563" s="42"/>
      <c r="AC9563" s="42"/>
    </row>
    <row r="9564" spans="15:29" x14ac:dyDescent="0.25">
      <c r="O9564" s="42"/>
      <c r="R9564" s="42"/>
      <c r="AC9564" s="42"/>
    </row>
    <row r="9565" spans="15:29" x14ac:dyDescent="0.25">
      <c r="O9565" s="42"/>
      <c r="R9565" s="42"/>
      <c r="AC9565" s="42"/>
    </row>
    <row r="9566" spans="15:29" x14ac:dyDescent="0.25">
      <c r="O9566" s="42"/>
      <c r="R9566" s="42"/>
      <c r="AC9566" s="42"/>
    </row>
    <row r="9567" spans="15:29" x14ac:dyDescent="0.25">
      <c r="O9567" s="42"/>
      <c r="R9567" s="42"/>
      <c r="AC9567" s="42"/>
    </row>
    <row r="9568" spans="15:29" x14ac:dyDescent="0.25">
      <c r="O9568" s="42"/>
      <c r="R9568" s="42"/>
      <c r="AC9568" s="42"/>
    </row>
    <row r="9569" spans="15:29" x14ac:dyDescent="0.25">
      <c r="O9569" s="42"/>
      <c r="R9569" s="42"/>
      <c r="AC9569" s="42"/>
    </row>
    <row r="9570" spans="15:29" x14ac:dyDescent="0.25">
      <c r="O9570" s="42"/>
      <c r="R9570" s="42"/>
      <c r="AC9570" s="42"/>
    </row>
    <row r="9571" spans="15:29" x14ac:dyDescent="0.25">
      <c r="O9571" s="42"/>
      <c r="R9571" s="42"/>
      <c r="AC9571" s="42"/>
    </row>
    <row r="9572" spans="15:29" x14ac:dyDescent="0.25">
      <c r="O9572" s="42"/>
      <c r="R9572" s="42"/>
      <c r="AC9572" s="42"/>
    </row>
    <row r="9573" spans="15:29" x14ac:dyDescent="0.25">
      <c r="O9573" s="42"/>
      <c r="R9573" s="42"/>
      <c r="AC9573" s="42"/>
    </row>
    <row r="9574" spans="15:29" x14ac:dyDescent="0.25">
      <c r="O9574" s="42"/>
      <c r="R9574" s="42"/>
      <c r="AC9574" s="42"/>
    </row>
    <row r="9575" spans="15:29" x14ac:dyDescent="0.25">
      <c r="O9575" s="42"/>
      <c r="R9575" s="42"/>
      <c r="AC9575" s="42"/>
    </row>
    <row r="9576" spans="15:29" x14ac:dyDescent="0.25">
      <c r="O9576" s="42"/>
      <c r="R9576" s="42"/>
      <c r="AC9576" s="42"/>
    </row>
    <row r="9577" spans="15:29" x14ac:dyDescent="0.25">
      <c r="O9577" s="42"/>
      <c r="R9577" s="42"/>
      <c r="AC9577" s="42"/>
    </row>
    <row r="9578" spans="15:29" x14ac:dyDescent="0.25">
      <c r="O9578" s="42"/>
      <c r="R9578" s="42"/>
      <c r="AC9578" s="42"/>
    </row>
    <row r="9579" spans="15:29" x14ac:dyDescent="0.25">
      <c r="O9579" s="42"/>
      <c r="R9579" s="42"/>
      <c r="AC9579" s="42"/>
    </row>
    <row r="9580" spans="15:29" x14ac:dyDescent="0.25">
      <c r="O9580" s="42"/>
      <c r="R9580" s="42"/>
      <c r="AC9580" s="42"/>
    </row>
    <row r="9581" spans="15:29" x14ac:dyDescent="0.25">
      <c r="O9581" s="42"/>
      <c r="R9581" s="42"/>
      <c r="AC9581" s="42"/>
    </row>
    <row r="9582" spans="15:29" x14ac:dyDescent="0.25">
      <c r="O9582" s="42"/>
      <c r="R9582" s="42"/>
      <c r="AC9582" s="42"/>
    </row>
    <row r="9583" spans="15:29" x14ac:dyDescent="0.25">
      <c r="O9583" s="42"/>
      <c r="R9583" s="42"/>
      <c r="AC9583" s="42"/>
    </row>
    <row r="9584" spans="15:29" x14ac:dyDescent="0.25">
      <c r="O9584" s="42"/>
      <c r="R9584" s="42"/>
      <c r="AC9584" s="42"/>
    </row>
    <row r="9585" spans="15:29" x14ac:dyDescent="0.25">
      <c r="O9585" s="42"/>
      <c r="R9585" s="42"/>
      <c r="AC9585" s="42"/>
    </row>
    <row r="9586" spans="15:29" x14ac:dyDescent="0.25">
      <c r="O9586" s="42"/>
      <c r="R9586" s="42"/>
      <c r="AC9586" s="42"/>
    </row>
    <row r="9587" spans="15:29" x14ac:dyDescent="0.25">
      <c r="O9587" s="42"/>
      <c r="R9587" s="42"/>
      <c r="AC9587" s="42"/>
    </row>
    <row r="9588" spans="15:29" x14ac:dyDescent="0.25">
      <c r="O9588" s="42"/>
      <c r="R9588" s="42"/>
      <c r="AC9588" s="42"/>
    </row>
    <row r="9589" spans="15:29" x14ac:dyDescent="0.25">
      <c r="O9589" s="42"/>
      <c r="R9589" s="42"/>
      <c r="AC9589" s="42"/>
    </row>
    <row r="9590" spans="15:29" x14ac:dyDescent="0.25">
      <c r="O9590" s="42"/>
      <c r="R9590" s="42"/>
      <c r="AC9590" s="42"/>
    </row>
    <row r="9591" spans="15:29" x14ac:dyDescent="0.25">
      <c r="O9591" s="42"/>
      <c r="R9591" s="42"/>
      <c r="AC9591" s="42"/>
    </row>
    <row r="9592" spans="15:29" x14ac:dyDescent="0.25">
      <c r="O9592" s="42"/>
      <c r="R9592" s="42"/>
      <c r="AC9592" s="42"/>
    </row>
    <row r="9593" spans="15:29" x14ac:dyDescent="0.25">
      <c r="O9593" s="42"/>
      <c r="R9593" s="42"/>
      <c r="AC9593" s="42"/>
    </row>
    <row r="9594" spans="15:29" x14ac:dyDescent="0.25">
      <c r="O9594" s="42"/>
      <c r="R9594" s="42"/>
      <c r="AC9594" s="42"/>
    </row>
    <row r="9595" spans="15:29" x14ac:dyDescent="0.25">
      <c r="O9595" s="42"/>
      <c r="R9595" s="42"/>
      <c r="AC9595" s="42"/>
    </row>
    <row r="9596" spans="15:29" x14ac:dyDescent="0.25">
      <c r="O9596" s="42"/>
      <c r="R9596" s="42"/>
      <c r="AC9596" s="42"/>
    </row>
    <row r="9597" spans="15:29" x14ac:dyDescent="0.25">
      <c r="O9597" s="42"/>
      <c r="R9597" s="42"/>
      <c r="AC9597" s="42"/>
    </row>
    <row r="9598" spans="15:29" x14ac:dyDescent="0.25">
      <c r="O9598" s="42"/>
      <c r="R9598" s="42"/>
      <c r="AC9598" s="42"/>
    </row>
    <row r="9599" spans="15:29" x14ac:dyDescent="0.25">
      <c r="O9599" s="42"/>
      <c r="R9599" s="42"/>
      <c r="AC9599" s="42"/>
    </row>
    <row r="9600" spans="15:29" x14ac:dyDescent="0.25">
      <c r="O9600" s="42"/>
      <c r="R9600" s="42"/>
      <c r="AC9600" s="42"/>
    </row>
    <row r="9601" spans="15:29" x14ac:dyDescent="0.25">
      <c r="O9601" s="42"/>
      <c r="R9601" s="42"/>
      <c r="AC9601" s="42"/>
    </row>
    <row r="9602" spans="15:29" x14ac:dyDescent="0.25">
      <c r="O9602" s="42"/>
      <c r="R9602" s="42"/>
      <c r="AC9602" s="42"/>
    </row>
    <row r="9603" spans="15:29" x14ac:dyDescent="0.25">
      <c r="O9603" s="42"/>
      <c r="R9603" s="42"/>
      <c r="AC9603" s="42"/>
    </row>
    <row r="9604" spans="15:29" x14ac:dyDescent="0.25">
      <c r="O9604" s="42"/>
      <c r="R9604" s="42"/>
      <c r="AC9604" s="42"/>
    </row>
    <row r="9605" spans="15:29" x14ac:dyDescent="0.25">
      <c r="O9605" s="42"/>
      <c r="R9605" s="42"/>
      <c r="AC9605" s="42"/>
    </row>
    <row r="9606" spans="15:29" x14ac:dyDescent="0.25">
      <c r="O9606" s="42"/>
      <c r="R9606" s="42"/>
      <c r="AC9606" s="42"/>
    </row>
    <row r="9607" spans="15:29" x14ac:dyDescent="0.25">
      <c r="O9607" s="42"/>
      <c r="R9607" s="42"/>
      <c r="AC9607" s="42"/>
    </row>
    <row r="9608" spans="15:29" x14ac:dyDescent="0.25">
      <c r="O9608" s="42"/>
      <c r="R9608" s="42"/>
      <c r="AC9608" s="42"/>
    </row>
    <row r="9609" spans="15:29" x14ac:dyDescent="0.25">
      <c r="O9609" s="42"/>
      <c r="R9609" s="42"/>
      <c r="AC9609" s="42"/>
    </row>
    <row r="9610" spans="15:29" x14ac:dyDescent="0.25">
      <c r="O9610" s="42"/>
      <c r="R9610" s="42"/>
      <c r="AC9610" s="42"/>
    </row>
    <row r="9611" spans="15:29" x14ac:dyDescent="0.25">
      <c r="O9611" s="42"/>
      <c r="R9611" s="42"/>
      <c r="AC9611" s="42"/>
    </row>
    <row r="9612" spans="15:29" x14ac:dyDescent="0.25">
      <c r="O9612" s="42"/>
      <c r="R9612" s="42"/>
      <c r="AC9612" s="42"/>
    </row>
    <row r="9613" spans="15:29" x14ac:dyDescent="0.25">
      <c r="O9613" s="42"/>
      <c r="R9613" s="42"/>
      <c r="AC9613" s="42"/>
    </row>
    <row r="9614" spans="15:29" x14ac:dyDescent="0.25">
      <c r="O9614" s="42"/>
      <c r="R9614" s="42"/>
      <c r="AC9614" s="42"/>
    </row>
    <row r="9615" spans="15:29" x14ac:dyDescent="0.25">
      <c r="O9615" s="42"/>
      <c r="R9615" s="42"/>
      <c r="AC9615" s="42"/>
    </row>
    <row r="9616" spans="15:29" x14ac:dyDescent="0.25">
      <c r="O9616" s="42"/>
      <c r="R9616" s="42"/>
      <c r="AC9616" s="42"/>
    </row>
    <row r="9617" spans="15:29" x14ac:dyDescent="0.25">
      <c r="O9617" s="42"/>
      <c r="R9617" s="42"/>
      <c r="AC9617" s="42"/>
    </row>
    <row r="9618" spans="15:29" x14ac:dyDescent="0.25">
      <c r="O9618" s="42"/>
      <c r="R9618" s="42"/>
      <c r="AC9618" s="42"/>
    </row>
    <row r="9619" spans="15:29" x14ac:dyDescent="0.25">
      <c r="O9619" s="42"/>
      <c r="R9619" s="42"/>
      <c r="AC9619" s="42"/>
    </row>
    <row r="9620" spans="15:29" x14ac:dyDescent="0.25">
      <c r="O9620" s="42"/>
      <c r="R9620" s="42"/>
      <c r="AC9620" s="42"/>
    </row>
    <row r="9621" spans="15:29" x14ac:dyDescent="0.25">
      <c r="O9621" s="42"/>
      <c r="R9621" s="42"/>
      <c r="AC9621" s="42"/>
    </row>
    <row r="9622" spans="15:29" x14ac:dyDescent="0.25">
      <c r="O9622" s="42"/>
      <c r="R9622" s="42"/>
      <c r="AC9622" s="42"/>
    </row>
    <row r="9623" spans="15:29" x14ac:dyDescent="0.25">
      <c r="O9623" s="42"/>
      <c r="R9623" s="42"/>
      <c r="AC9623" s="42"/>
    </row>
    <row r="9624" spans="15:29" x14ac:dyDescent="0.25">
      <c r="O9624" s="42"/>
      <c r="R9624" s="42"/>
      <c r="AC9624" s="42"/>
    </row>
    <row r="9625" spans="15:29" x14ac:dyDescent="0.25">
      <c r="O9625" s="42"/>
      <c r="R9625" s="42"/>
      <c r="AC9625" s="42"/>
    </row>
    <row r="9626" spans="15:29" x14ac:dyDescent="0.25">
      <c r="O9626" s="42"/>
      <c r="R9626" s="42"/>
      <c r="AC9626" s="42"/>
    </row>
    <row r="9627" spans="15:29" x14ac:dyDescent="0.25">
      <c r="O9627" s="42"/>
      <c r="R9627" s="42"/>
      <c r="AC9627" s="42"/>
    </row>
    <row r="9628" spans="15:29" x14ac:dyDescent="0.25">
      <c r="O9628" s="42"/>
      <c r="R9628" s="42"/>
      <c r="AC9628" s="42"/>
    </row>
    <row r="9629" spans="15:29" x14ac:dyDescent="0.25">
      <c r="O9629" s="42"/>
      <c r="R9629" s="42"/>
      <c r="AC9629" s="42"/>
    </row>
    <row r="9630" spans="15:29" x14ac:dyDescent="0.25">
      <c r="O9630" s="42"/>
      <c r="R9630" s="42"/>
      <c r="AC9630" s="42"/>
    </row>
    <row r="9631" spans="15:29" x14ac:dyDescent="0.25">
      <c r="O9631" s="42"/>
      <c r="R9631" s="42"/>
      <c r="AC9631" s="42"/>
    </row>
    <row r="9632" spans="15:29" x14ac:dyDescent="0.25">
      <c r="O9632" s="42"/>
      <c r="R9632" s="42"/>
      <c r="AC9632" s="42"/>
    </row>
    <row r="9633" spans="15:29" x14ac:dyDescent="0.25">
      <c r="O9633" s="42"/>
      <c r="R9633" s="42"/>
      <c r="AC9633" s="42"/>
    </row>
    <row r="9634" spans="15:29" x14ac:dyDescent="0.25">
      <c r="O9634" s="42"/>
      <c r="R9634" s="42"/>
      <c r="AC9634" s="42"/>
    </row>
    <row r="9635" spans="15:29" x14ac:dyDescent="0.25">
      <c r="O9635" s="42"/>
      <c r="R9635" s="42"/>
      <c r="AC9635" s="42"/>
    </row>
    <row r="9636" spans="15:29" x14ac:dyDescent="0.25">
      <c r="O9636" s="42"/>
      <c r="R9636" s="42"/>
      <c r="AC9636" s="42"/>
    </row>
    <row r="9637" spans="15:29" x14ac:dyDescent="0.25">
      <c r="O9637" s="42"/>
      <c r="R9637" s="42"/>
      <c r="AC9637" s="42"/>
    </row>
    <row r="9638" spans="15:29" x14ac:dyDescent="0.25">
      <c r="O9638" s="42"/>
      <c r="R9638" s="42"/>
      <c r="AC9638" s="42"/>
    </row>
    <row r="9639" spans="15:29" x14ac:dyDescent="0.25">
      <c r="O9639" s="42"/>
      <c r="R9639" s="42"/>
      <c r="AC9639" s="42"/>
    </row>
    <row r="9640" spans="15:29" x14ac:dyDescent="0.25">
      <c r="O9640" s="42"/>
      <c r="R9640" s="42"/>
      <c r="AC9640" s="42"/>
    </row>
    <row r="9641" spans="15:29" x14ac:dyDescent="0.25">
      <c r="O9641" s="42"/>
      <c r="R9641" s="42"/>
      <c r="AC9641" s="42"/>
    </row>
    <row r="9642" spans="15:29" x14ac:dyDescent="0.25">
      <c r="O9642" s="42"/>
      <c r="R9642" s="42"/>
      <c r="AC9642" s="42"/>
    </row>
    <row r="9643" spans="15:29" x14ac:dyDescent="0.25">
      <c r="O9643" s="42"/>
      <c r="R9643" s="42"/>
      <c r="AC9643" s="42"/>
    </row>
    <row r="9644" spans="15:29" x14ac:dyDescent="0.25">
      <c r="O9644" s="42"/>
      <c r="R9644" s="42"/>
      <c r="AC9644" s="42"/>
    </row>
    <row r="9645" spans="15:29" x14ac:dyDescent="0.25">
      <c r="O9645" s="42"/>
      <c r="R9645" s="42"/>
      <c r="AC9645" s="42"/>
    </row>
    <row r="9646" spans="15:29" x14ac:dyDescent="0.25">
      <c r="O9646" s="42"/>
      <c r="R9646" s="42"/>
      <c r="AC9646" s="42"/>
    </row>
    <row r="9647" spans="15:29" x14ac:dyDescent="0.25">
      <c r="O9647" s="42"/>
      <c r="R9647" s="42"/>
      <c r="AC9647" s="42"/>
    </row>
    <row r="9648" spans="15:29" x14ac:dyDescent="0.25">
      <c r="O9648" s="42"/>
      <c r="R9648" s="42"/>
      <c r="AC9648" s="42"/>
    </row>
    <row r="9649" spans="15:29" x14ac:dyDescent="0.25">
      <c r="O9649" s="42"/>
      <c r="R9649" s="42"/>
      <c r="AC9649" s="42"/>
    </row>
    <row r="9650" spans="15:29" x14ac:dyDescent="0.25">
      <c r="O9650" s="42"/>
      <c r="R9650" s="42"/>
      <c r="AC9650" s="42"/>
    </row>
    <row r="9651" spans="15:29" x14ac:dyDescent="0.25">
      <c r="O9651" s="42"/>
      <c r="R9651" s="42"/>
      <c r="AC9651" s="42"/>
    </row>
    <row r="9652" spans="15:29" x14ac:dyDescent="0.25">
      <c r="O9652" s="42"/>
      <c r="R9652" s="42"/>
      <c r="AC9652" s="42"/>
    </row>
    <row r="9653" spans="15:29" x14ac:dyDescent="0.25">
      <c r="O9653" s="42"/>
      <c r="R9653" s="42"/>
      <c r="AC9653" s="42"/>
    </row>
    <row r="9654" spans="15:29" x14ac:dyDescent="0.25">
      <c r="O9654" s="42"/>
      <c r="R9654" s="42"/>
      <c r="AC9654" s="42"/>
    </row>
    <row r="9655" spans="15:29" x14ac:dyDescent="0.25">
      <c r="O9655" s="42"/>
      <c r="R9655" s="42"/>
      <c r="AC9655" s="42"/>
    </row>
    <row r="9656" spans="15:29" x14ac:dyDescent="0.25">
      <c r="O9656" s="42"/>
      <c r="R9656" s="42"/>
      <c r="AC9656" s="42"/>
    </row>
    <row r="9657" spans="15:29" x14ac:dyDescent="0.25">
      <c r="O9657" s="42"/>
      <c r="R9657" s="42"/>
      <c r="AC9657" s="42"/>
    </row>
    <row r="9658" spans="15:29" x14ac:dyDescent="0.25">
      <c r="O9658" s="42"/>
      <c r="R9658" s="42"/>
      <c r="AC9658" s="42"/>
    </row>
    <row r="9659" spans="15:29" x14ac:dyDescent="0.25">
      <c r="O9659" s="42"/>
      <c r="R9659" s="42"/>
      <c r="AC9659" s="42"/>
    </row>
    <row r="9660" spans="15:29" x14ac:dyDescent="0.25">
      <c r="O9660" s="42"/>
      <c r="R9660" s="42"/>
      <c r="AC9660" s="42"/>
    </row>
    <row r="9661" spans="15:29" x14ac:dyDescent="0.25">
      <c r="O9661" s="42"/>
      <c r="R9661" s="42"/>
      <c r="AC9661" s="42"/>
    </row>
    <row r="9662" spans="15:29" x14ac:dyDescent="0.25">
      <c r="O9662" s="42"/>
      <c r="R9662" s="42"/>
      <c r="AC9662" s="42"/>
    </row>
    <row r="9663" spans="15:29" x14ac:dyDescent="0.25">
      <c r="O9663" s="42"/>
      <c r="R9663" s="42"/>
      <c r="AC9663" s="42"/>
    </row>
    <row r="9664" spans="15:29" x14ac:dyDescent="0.25">
      <c r="O9664" s="42"/>
      <c r="R9664" s="42"/>
      <c r="AC9664" s="42"/>
    </row>
    <row r="9665" spans="15:29" x14ac:dyDescent="0.25">
      <c r="O9665" s="42"/>
      <c r="R9665" s="42"/>
      <c r="AC9665" s="42"/>
    </row>
    <row r="9666" spans="15:29" x14ac:dyDescent="0.25">
      <c r="O9666" s="42"/>
      <c r="R9666" s="42"/>
      <c r="AC9666" s="42"/>
    </row>
    <row r="9667" spans="15:29" x14ac:dyDescent="0.25">
      <c r="O9667" s="42"/>
      <c r="R9667" s="42"/>
      <c r="AC9667" s="42"/>
    </row>
    <row r="9668" spans="15:29" x14ac:dyDescent="0.25">
      <c r="O9668" s="42"/>
      <c r="R9668" s="42"/>
      <c r="AC9668" s="42"/>
    </row>
    <row r="9669" spans="15:29" x14ac:dyDescent="0.25">
      <c r="O9669" s="42"/>
      <c r="R9669" s="42"/>
      <c r="AC9669" s="42"/>
    </row>
    <row r="9670" spans="15:29" x14ac:dyDescent="0.25">
      <c r="O9670" s="42"/>
      <c r="R9670" s="42"/>
      <c r="AC9670" s="42"/>
    </row>
    <row r="9671" spans="15:29" x14ac:dyDescent="0.25">
      <c r="O9671" s="42"/>
      <c r="R9671" s="42"/>
      <c r="AC9671" s="42"/>
    </row>
    <row r="9672" spans="15:29" x14ac:dyDescent="0.25">
      <c r="O9672" s="42"/>
      <c r="R9672" s="42"/>
      <c r="AC9672" s="42"/>
    </row>
    <row r="9673" spans="15:29" x14ac:dyDescent="0.25">
      <c r="O9673" s="42"/>
      <c r="R9673" s="42"/>
      <c r="AC9673" s="42"/>
    </row>
    <row r="9674" spans="15:29" x14ac:dyDescent="0.25">
      <c r="O9674" s="42"/>
      <c r="R9674" s="42"/>
      <c r="AC9674" s="42"/>
    </row>
    <row r="9675" spans="15:29" x14ac:dyDescent="0.25">
      <c r="O9675" s="42"/>
      <c r="R9675" s="42"/>
      <c r="AC9675" s="42"/>
    </row>
    <row r="9676" spans="15:29" x14ac:dyDescent="0.25">
      <c r="O9676" s="42"/>
      <c r="R9676" s="42"/>
      <c r="AC9676" s="42"/>
    </row>
    <row r="9677" spans="15:29" x14ac:dyDescent="0.25">
      <c r="O9677" s="42"/>
      <c r="R9677" s="42"/>
      <c r="AC9677" s="42"/>
    </row>
    <row r="9678" spans="15:29" x14ac:dyDescent="0.25">
      <c r="O9678" s="42"/>
      <c r="R9678" s="42"/>
      <c r="AC9678" s="42"/>
    </row>
    <row r="9679" spans="15:29" x14ac:dyDescent="0.25">
      <c r="O9679" s="42"/>
      <c r="R9679" s="42"/>
      <c r="AC9679" s="42"/>
    </row>
    <row r="9680" spans="15:29" x14ac:dyDescent="0.25">
      <c r="O9680" s="42"/>
      <c r="R9680" s="42"/>
      <c r="AC9680" s="42"/>
    </row>
    <row r="9681" spans="15:29" x14ac:dyDescent="0.25">
      <c r="O9681" s="42"/>
      <c r="R9681" s="42"/>
      <c r="AC9681" s="42"/>
    </row>
    <row r="9682" spans="15:29" x14ac:dyDescent="0.25">
      <c r="O9682" s="42"/>
      <c r="R9682" s="42"/>
      <c r="AC9682" s="42"/>
    </row>
    <row r="9683" spans="15:29" x14ac:dyDescent="0.25">
      <c r="O9683" s="42"/>
      <c r="R9683" s="42"/>
      <c r="AC9683" s="42"/>
    </row>
    <row r="9684" spans="15:29" x14ac:dyDescent="0.25">
      <c r="O9684" s="42"/>
      <c r="R9684" s="42"/>
      <c r="AC9684" s="42"/>
    </row>
    <row r="9685" spans="15:29" x14ac:dyDescent="0.25">
      <c r="O9685" s="42"/>
      <c r="R9685" s="42"/>
      <c r="AC9685" s="42"/>
    </row>
    <row r="9686" spans="15:29" x14ac:dyDescent="0.25">
      <c r="O9686" s="42"/>
      <c r="R9686" s="42"/>
      <c r="AC9686" s="42"/>
    </row>
    <row r="9687" spans="15:29" x14ac:dyDescent="0.25">
      <c r="O9687" s="42"/>
      <c r="R9687" s="42"/>
      <c r="AC9687" s="42"/>
    </row>
    <row r="9688" spans="15:29" x14ac:dyDescent="0.25">
      <c r="O9688" s="42"/>
      <c r="R9688" s="42"/>
      <c r="AC9688" s="42"/>
    </row>
    <row r="9689" spans="15:29" x14ac:dyDescent="0.25">
      <c r="O9689" s="42"/>
      <c r="R9689" s="42"/>
      <c r="AC9689" s="42"/>
    </row>
    <row r="9690" spans="15:29" x14ac:dyDescent="0.25">
      <c r="O9690" s="42"/>
      <c r="R9690" s="42"/>
      <c r="AC9690" s="42"/>
    </row>
    <row r="9691" spans="15:29" x14ac:dyDescent="0.25">
      <c r="O9691" s="42"/>
      <c r="R9691" s="42"/>
      <c r="AC9691" s="42"/>
    </row>
    <row r="9692" spans="15:29" x14ac:dyDescent="0.25">
      <c r="O9692" s="42"/>
      <c r="R9692" s="42"/>
      <c r="AC9692" s="42"/>
    </row>
    <row r="9693" spans="15:29" x14ac:dyDescent="0.25">
      <c r="O9693" s="42"/>
      <c r="R9693" s="42"/>
      <c r="AC9693" s="42"/>
    </row>
    <row r="9694" spans="15:29" x14ac:dyDescent="0.25">
      <c r="O9694" s="42"/>
      <c r="R9694" s="42"/>
      <c r="AC9694" s="42"/>
    </row>
    <row r="9695" spans="15:29" x14ac:dyDescent="0.25">
      <c r="O9695" s="42"/>
      <c r="R9695" s="42"/>
      <c r="AC9695" s="42"/>
    </row>
    <row r="9696" spans="15:29" x14ac:dyDescent="0.25">
      <c r="O9696" s="42"/>
      <c r="R9696" s="42"/>
      <c r="AC9696" s="42"/>
    </row>
    <row r="9697" spans="15:29" x14ac:dyDescent="0.25">
      <c r="O9697" s="42"/>
      <c r="R9697" s="42"/>
      <c r="AC9697" s="42"/>
    </row>
    <row r="9698" spans="15:29" x14ac:dyDescent="0.25">
      <c r="O9698" s="42"/>
      <c r="R9698" s="42"/>
      <c r="AC9698" s="42"/>
    </row>
    <row r="9699" spans="15:29" x14ac:dyDescent="0.25">
      <c r="O9699" s="42"/>
      <c r="R9699" s="42"/>
      <c r="AC9699" s="42"/>
    </row>
    <row r="9700" spans="15:29" x14ac:dyDescent="0.25">
      <c r="O9700" s="42"/>
      <c r="R9700" s="42"/>
      <c r="AC9700" s="42"/>
    </row>
    <row r="9701" spans="15:29" x14ac:dyDescent="0.25">
      <c r="O9701" s="42"/>
      <c r="R9701" s="42"/>
      <c r="AC9701" s="42"/>
    </row>
    <row r="9702" spans="15:29" x14ac:dyDescent="0.25">
      <c r="O9702" s="42"/>
      <c r="R9702" s="42"/>
      <c r="AC9702" s="42"/>
    </row>
    <row r="9703" spans="15:29" x14ac:dyDescent="0.25">
      <c r="O9703" s="42"/>
      <c r="R9703" s="42"/>
      <c r="AC9703" s="42"/>
    </row>
    <row r="9704" spans="15:29" x14ac:dyDescent="0.25">
      <c r="O9704" s="42"/>
      <c r="R9704" s="42"/>
      <c r="AC9704" s="42"/>
    </row>
    <row r="9705" spans="15:29" x14ac:dyDescent="0.25">
      <c r="O9705" s="42"/>
      <c r="R9705" s="42"/>
      <c r="AC9705" s="42"/>
    </row>
    <row r="9706" spans="15:29" x14ac:dyDescent="0.25">
      <c r="O9706" s="42"/>
      <c r="R9706" s="42"/>
      <c r="AC9706" s="42"/>
    </row>
    <row r="9707" spans="15:29" x14ac:dyDescent="0.25">
      <c r="O9707" s="42"/>
      <c r="R9707" s="42"/>
      <c r="AC9707" s="42"/>
    </row>
    <row r="9708" spans="15:29" x14ac:dyDescent="0.25">
      <c r="O9708" s="42"/>
      <c r="R9708" s="42"/>
      <c r="AC9708" s="42"/>
    </row>
    <row r="9709" spans="15:29" x14ac:dyDescent="0.25">
      <c r="O9709" s="42"/>
      <c r="R9709" s="42"/>
      <c r="AC9709" s="42"/>
    </row>
    <row r="9710" spans="15:29" x14ac:dyDescent="0.25">
      <c r="O9710" s="42"/>
      <c r="R9710" s="42"/>
      <c r="AC9710" s="42"/>
    </row>
    <row r="9711" spans="15:29" x14ac:dyDescent="0.25">
      <c r="O9711" s="42"/>
      <c r="R9711" s="42"/>
      <c r="AC9711" s="42"/>
    </row>
    <row r="9712" spans="15:29" x14ac:dyDescent="0.25">
      <c r="O9712" s="42"/>
      <c r="R9712" s="42"/>
      <c r="AC9712" s="42"/>
    </row>
    <row r="9713" spans="15:29" x14ac:dyDescent="0.25">
      <c r="O9713" s="42"/>
      <c r="R9713" s="42"/>
      <c r="AC9713" s="42"/>
    </row>
    <row r="9714" spans="15:29" x14ac:dyDescent="0.25">
      <c r="O9714" s="42"/>
      <c r="R9714" s="42"/>
      <c r="AC9714" s="42"/>
    </row>
    <row r="9715" spans="15:29" x14ac:dyDescent="0.25">
      <c r="O9715" s="42"/>
      <c r="R9715" s="42"/>
      <c r="AC9715" s="42"/>
    </row>
    <row r="9716" spans="15:29" x14ac:dyDescent="0.25">
      <c r="O9716" s="42"/>
      <c r="R9716" s="42"/>
      <c r="AC9716" s="42"/>
    </row>
    <row r="9717" spans="15:29" x14ac:dyDescent="0.25">
      <c r="O9717" s="42"/>
      <c r="R9717" s="42"/>
      <c r="AC9717" s="42"/>
    </row>
    <row r="9718" spans="15:29" x14ac:dyDescent="0.25">
      <c r="O9718" s="42"/>
      <c r="R9718" s="42"/>
      <c r="AC9718" s="42"/>
    </row>
    <row r="9719" spans="15:29" x14ac:dyDescent="0.25">
      <c r="O9719" s="42"/>
      <c r="R9719" s="42"/>
      <c r="AC9719" s="42"/>
    </row>
    <row r="9720" spans="15:29" x14ac:dyDescent="0.25">
      <c r="O9720" s="42"/>
      <c r="R9720" s="42"/>
      <c r="AC9720" s="42"/>
    </row>
    <row r="9721" spans="15:29" x14ac:dyDescent="0.25">
      <c r="O9721" s="42"/>
      <c r="R9721" s="42"/>
      <c r="AC9721" s="42"/>
    </row>
    <row r="9722" spans="15:29" x14ac:dyDescent="0.25">
      <c r="O9722" s="42"/>
      <c r="R9722" s="42"/>
      <c r="AC9722" s="42"/>
    </row>
    <row r="9723" spans="15:29" x14ac:dyDescent="0.25">
      <c r="O9723" s="42"/>
      <c r="R9723" s="42"/>
      <c r="AC9723" s="42"/>
    </row>
    <row r="9724" spans="15:29" x14ac:dyDescent="0.25">
      <c r="O9724" s="42"/>
      <c r="R9724" s="42"/>
      <c r="AC9724" s="42"/>
    </row>
    <row r="9725" spans="15:29" x14ac:dyDescent="0.25">
      <c r="O9725" s="42"/>
      <c r="R9725" s="42"/>
      <c r="AC9725" s="42"/>
    </row>
    <row r="9726" spans="15:29" x14ac:dyDescent="0.25">
      <c r="O9726" s="42"/>
      <c r="R9726" s="42"/>
      <c r="AC9726" s="42"/>
    </row>
    <row r="9727" spans="15:29" x14ac:dyDescent="0.25">
      <c r="O9727" s="42"/>
      <c r="R9727" s="42"/>
      <c r="AC9727" s="42"/>
    </row>
    <row r="9728" spans="15:29" x14ac:dyDescent="0.25">
      <c r="O9728" s="42"/>
      <c r="R9728" s="42"/>
      <c r="AC9728" s="42"/>
    </row>
    <row r="9729" spans="15:29" x14ac:dyDescent="0.25">
      <c r="O9729" s="42"/>
      <c r="R9729" s="42"/>
      <c r="AC9729" s="42"/>
    </row>
    <row r="9730" spans="15:29" x14ac:dyDescent="0.25">
      <c r="O9730" s="42"/>
      <c r="R9730" s="42"/>
      <c r="AC9730" s="42"/>
    </row>
    <row r="9731" spans="15:29" x14ac:dyDescent="0.25">
      <c r="O9731" s="42"/>
      <c r="R9731" s="42"/>
      <c r="AC9731" s="42"/>
    </row>
    <row r="9732" spans="15:29" x14ac:dyDescent="0.25">
      <c r="O9732" s="42"/>
      <c r="R9732" s="42"/>
      <c r="AC9732" s="42"/>
    </row>
    <row r="9733" spans="15:29" x14ac:dyDescent="0.25">
      <c r="O9733" s="42"/>
      <c r="R9733" s="42"/>
      <c r="AC9733" s="42"/>
    </row>
    <row r="9734" spans="15:29" x14ac:dyDescent="0.25">
      <c r="O9734" s="42"/>
      <c r="R9734" s="42"/>
      <c r="AC9734" s="42"/>
    </row>
    <row r="9735" spans="15:29" x14ac:dyDescent="0.25">
      <c r="O9735" s="42"/>
      <c r="R9735" s="42"/>
      <c r="AC9735" s="42"/>
    </row>
    <row r="9736" spans="15:29" x14ac:dyDescent="0.25">
      <c r="O9736" s="42"/>
      <c r="R9736" s="42"/>
      <c r="AC9736" s="42"/>
    </row>
    <row r="9737" spans="15:29" x14ac:dyDescent="0.25">
      <c r="O9737" s="42"/>
      <c r="R9737" s="42"/>
      <c r="AC9737" s="42"/>
    </row>
    <row r="9738" spans="15:29" x14ac:dyDescent="0.25">
      <c r="O9738" s="42"/>
      <c r="R9738" s="42"/>
      <c r="AC9738" s="42"/>
    </row>
    <row r="9739" spans="15:29" x14ac:dyDescent="0.25">
      <c r="O9739" s="42"/>
      <c r="R9739" s="42"/>
      <c r="AC9739" s="42"/>
    </row>
    <row r="9740" spans="15:29" x14ac:dyDescent="0.25">
      <c r="O9740" s="42"/>
      <c r="R9740" s="42"/>
      <c r="AC9740" s="42"/>
    </row>
    <row r="9741" spans="15:29" x14ac:dyDescent="0.25">
      <c r="O9741" s="42"/>
      <c r="R9741" s="42"/>
      <c r="AC9741" s="42"/>
    </row>
    <row r="9742" spans="15:29" x14ac:dyDescent="0.25">
      <c r="O9742" s="42"/>
      <c r="R9742" s="42"/>
      <c r="AC9742" s="42"/>
    </row>
    <row r="9743" spans="15:29" x14ac:dyDescent="0.25">
      <c r="O9743" s="42"/>
      <c r="R9743" s="42"/>
      <c r="AC9743" s="42"/>
    </row>
    <row r="9744" spans="15:29" x14ac:dyDescent="0.25">
      <c r="O9744" s="42"/>
      <c r="R9744" s="42"/>
      <c r="AC9744" s="42"/>
    </row>
    <row r="9745" spans="15:29" x14ac:dyDescent="0.25">
      <c r="O9745" s="42"/>
      <c r="R9745" s="42"/>
      <c r="AC9745" s="42"/>
    </row>
    <row r="9746" spans="15:29" x14ac:dyDescent="0.25">
      <c r="O9746" s="42"/>
      <c r="R9746" s="42"/>
      <c r="AC9746" s="42"/>
    </row>
    <row r="9747" spans="15:29" x14ac:dyDescent="0.25">
      <c r="O9747" s="42"/>
      <c r="R9747" s="42"/>
      <c r="AC9747" s="42"/>
    </row>
    <row r="9748" spans="15:29" x14ac:dyDescent="0.25">
      <c r="O9748" s="42"/>
      <c r="R9748" s="42"/>
      <c r="AC9748" s="42"/>
    </row>
    <row r="9749" spans="15:29" x14ac:dyDescent="0.25">
      <c r="O9749" s="42"/>
      <c r="R9749" s="42"/>
      <c r="AC9749" s="42"/>
    </row>
    <row r="9750" spans="15:29" x14ac:dyDescent="0.25">
      <c r="O9750" s="42"/>
      <c r="R9750" s="42"/>
      <c r="AC9750" s="42"/>
    </row>
    <row r="9751" spans="15:29" x14ac:dyDescent="0.25">
      <c r="O9751" s="42"/>
      <c r="R9751" s="42"/>
      <c r="AC9751" s="42"/>
    </row>
    <row r="9752" spans="15:29" x14ac:dyDescent="0.25">
      <c r="O9752" s="42"/>
      <c r="R9752" s="42"/>
      <c r="AC9752" s="42"/>
    </row>
    <row r="9753" spans="15:29" x14ac:dyDescent="0.25">
      <c r="O9753" s="42"/>
      <c r="R9753" s="42"/>
      <c r="AC9753" s="42"/>
    </row>
    <row r="9754" spans="15:29" x14ac:dyDescent="0.25">
      <c r="O9754" s="42"/>
      <c r="R9754" s="42"/>
      <c r="AC9754" s="42"/>
    </row>
    <row r="9755" spans="15:29" x14ac:dyDescent="0.25">
      <c r="O9755" s="42"/>
      <c r="R9755" s="42"/>
      <c r="AC9755" s="42"/>
    </row>
    <row r="9756" spans="15:29" x14ac:dyDescent="0.25">
      <c r="O9756" s="42"/>
      <c r="R9756" s="42"/>
      <c r="AC9756" s="42"/>
    </row>
    <row r="9757" spans="15:29" x14ac:dyDescent="0.25">
      <c r="O9757" s="42"/>
      <c r="R9757" s="42"/>
      <c r="AC9757" s="42"/>
    </row>
    <row r="9758" spans="15:29" x14ac:dyDescent="0.25">
      <c r="O9758" s="42"/>
      <c r="R9758" s="42"/>
      <c r="AC9758" s="42"/>
    </row>
    <row r="9759" spans="15:29" x14ac:dyDescent="0.25">
      <c r="O9759" s="42"/>
      <c r="R9759" s="42"/>
      <c r="AC9759" s="42"/>
    </row>
    <row r="9760" spans="15:29" x14ac:dyDescent="0.25">
      <c r="O9760" s="42"/>
      <c r="R9760" s="42"/>
      <c r="AC9760" s="42"/>
    </row>
    <row r="9761" spans="15:29" x14ac:dyDescent="0.25">
      <c r="O9761" s="42"/>
      <c r="R9761" s="42"/>
      <c r="AC9761" s="42"/>
    </row>
    <row r="9762" spans="15:29" x14ac:dyDescent="0.25">
      <c r="O9762" s="42"/>
      <c r="R9762" s="42"/>
      <c r="AC9762" s="42"/>
    </row>
    <row r="9763" spans="15:29" x14ac:dyDescent="0.25">
      <c r="O9763" s="42"/>
      <c r="R9763" s="42"/>
      <c r="AC9763" s="42"/>
    </row>
    <row r="9764" spans="15:29" x14ac:dyDescent="0.25">
      <c r="O9764" s="42"/>
      <c r="R9764" s="42"/>
      <c r="AC9764" s="42"/>
    </row>
    <row r="9765" spans="15:29" x14ac:dyDescent="0.25">
      <c r="O9765" s="42"/>
      <c r="R9765" s="42"/>
      <c r="AC9765" s="42"/>
    </row>
    <row r="9766" spans="15:29" x14ac:dyDescent="0.25">
      <c r="O9766" s="42"/>
      <c r="R9766" s="42"/>
      <c r="AC9766" s="42"/>
    </row>
    <row r="9767" spans="15:29" x14ac:dyDescent="0.25">
      <c r="O9767" s="42"/>
      <c r="R9767" s="42"/>
      <c r="AC9767" s="42"/>
    </row>
    <row r="9768" spans="15:29" x14ac:dyDescent="0.25">
      <c r="O9768" s="42"/>
      <c r="R9768" s="42"/>
      <c r="AC9768" s="42"/>
    </row>
    <row r="9769" spans="15:29" x14ac:dyDescent="0.25">
      <c r="O9769" s="42"/>
      <c r="R9769" s="42"/>
      <c r="AC9769" s="42"/>
    </row>
    <row r="9770" spans="15:29" x14ac:dyDescent="0.25">
      <c r="O9770" s="42"/>
      <c r="R9770" s="42"/>
      <c r="AC9770" s="42"/>
    </row>
    <row r="9771" spans="15:29" x14ac:dyDescent="0.25">
      <c r="O9771" s="42"/>
      <c r="R9771" s="42"/>
      <c r="AC9771" s="42"/>
    </row>
    <row r="9772" spans="15:29" x14ac:dyDescent="0.25">
      <c r="O9772" s="42"/>
      <c r="R9772" s="42"/>
      <c r="AC9772" s="42"/>
    </row>
    <row r="9773" spans="15:29" x14ac:dyDescent="0.25">
      <c r="O9773" s="42"/>
      <c r="R9773" s="42"/>
      <c r="AC9773" s="42"/>
    </row>
    <row r="9774" spans="15:29" x14ac:dyDescent="0.25">
      <c r="O9774" s="42"/>
      <c r="R9774" s="42"/>
      <c r="AC9774" s="42"/>
    </row>
    <row r="9775" spans="15:29" x14ac:dyDescent="0.25">
      <c r="O9775" s="42"/>
      <c r="R9775" s="42"/>
      <c r="AC9775" s="42"/>
    </row>
    <row r="9776" spans="15:29" x14ac:dyDescent="0.25">
      <c r="O9776" s="42"/>
      <c r="R9776" s="42"/>
      <c r="AC9776" s="42"/>
    </row>
    <row r="9777" spans="15:29" x14ac:dyDescent="0.25">
      <c r="O9777" s="42"/>
      <c r="R9777" s="42"/>
      <c r="AC9777" s="42"/>
    </row>
    <row r="9778" spans="15:29" x14ac:dyDescent="0.25">
      <c r="O9778" s="42"/>
      <c r="R9778" s="42"/>
      <c r="AC9778" s="42"/>
    </row>
    <row r="9779" spans="15:29" x14ac:dyDescent="0.25">
      <c r="O9779" s="42"/>
      <c r="R9779" s="42"/>
      <c r="AC9779" s="42"/>
    </row>
    <row r="9780" spans="15:29" x14ac:dyDescent="0.25">
      <c r="O9780" s="42"/>
      <c r="R9780" s="42"/>
      <c r="AC9780" s="42"/>
    </row>
    <row r="9781" spans="15:29" x14ac:dyDescent="0.25">
      <c r="O9781" s="42"/>
      <c r="R9781" s="42"/>
      <c r="AC9781" s="42"/>
    </row>
    <row r="9782" spans="15:29" x14ac:dyDescent="0.25">
      <c r="O9782" s="42"/>
      <c r="R9782" s="42"/>
      <c r="AC9782" s="42"/>
    </row>
    <row r="9783" spans="15:29" x14ac:dyDescent="0.25">
      <c r="O9783" s="42"/>
      <c r="R9783" s="42"/>
      <c r="AC9783" s="42"/>
    </row>
    <row r="9784" spans="15:29" x14ac:dyDescent="0.25">
      <c r="O9784" s="42"/>
      <c r="R9784" s="42"/>
      <c r="AC9784" s="42"/>
    </row>
    <row r="9785" spans="15:29" x14ac:dyDescent="0.25">
      <c r="O9785" s="42"/>
      <c r="R9785" s="42"/>
      <c r="AC9785" s="42"/>
    </row>
    <row r="9786" spans="15:29" x14ac:dyDescent="0.25">
      <c r="O9786" s="42"/>
      <c r="R9786" s="42"/>
      <c r="AC9786" s="42"/>
    </row>
    <row r="9787" spans="15:29" x14ac:dyDescent="0.25">
      <c r="O9787" s="42"/>
      <c r="R9787" s="42"/>
      <c r="AC9787" s="42"/>
    </row>
    <row r="9788" spans="15:29" x14ac:dyDescent="0.25">
      <c r="O9788" s="42"/>
      <c r="R9788" s="42"/>
      <c r="AC9788" s="42"/>
    </row>
    <row r="9789" spans="15:29" x14ac:dyDescent="0.25">
      <c r="O9789" s="42"/>
      <c r="R9789" s="42"/>
      <c r="AC9789" s="42"/>
    </row>
    <row r="9790" spans="15:29" x14ac:dyDescent="0.25">
      <c r="O9790" s="42"/>
      <c r="R9790" s="42"/>
      <c r="AC9790" s="42"/>
    </row>
    <row r="9791" spans="15:29" x14ac:dyDescent="0.25">
      <c r="O9791" s="42"/>
      <c r="R9791" s="42"/>
      <c r="AC9791" s="42"/>
    </row>
    <row r="9792" spans="15:29" x14ac:dyDescent="0.25">
      <c r="O9792" s="42"/>
      <c r="R9792" s="42"/>
      <c r="AC9792" s="42"/>
    </row>
    <row r="9793" spans="15:29" x14ac:dyDescent="0.25">
      <c r="O9793" s="42"/>
      <c r="R9793" s="42"/>
      <c r="AC9793" s="42"/>
    </row>
    <row r="9794" spans="15:29" x14ac:dyDescent="0.25">
      <c r="O9794" s="42"/>
      <c r="R9794" s="42"/>
      <c r="AC9794" s="42"/>
    </row>
    <row r="9795" spans="15:29" x14ac:dyDescent="0.25">
      <c r="O9795" s="42"/>
      <c r="R9795" s="42"/>
      <c r="AC9795" s="42"/>
    </row>
    <row r="9796" spans="15:29" x14ac:dyDescent="0.25">
      <c r="O9796" s="42"/>
      <c r="R9796" s="42"/>
      <c r="AC9796" s="42"/>
    </row>
    <row r="9797" spans="15:29" x14ac:dyDescent="0.25">
      <c r="O9797" s="42"/>
      <c r="R9797" s="42"/>
      <c r="AC9797" s="42"/>
    </row>
    <row r="9798" spans="15:29" x14ac:dyDescent="0.25">
      <c r="O9798" s="42"/>
      <c r="R9798" s="42"/>
      <c r="AC9798" s="42"/>
    </row>
    <row r="9799" spans="15:29" x14ac:dyDescent="0.25">
      <c r="O9799" s="42"/>
      <c r="R9799" s="42"/>
      <c r="AC9799" s="42"/>
    </row>
    <row r="9800" spans="15:29" x14ac:dyDescent="0.25">
      <c r="O9800" s="42"/>
      <c r="R9800" s="42"/>
      <c r="AC9800" s="42"/>
    </row>
    <row r="9801" spans="15:29" x14ac:dyDescent="0.25">
      <c r="O9801" s="42"/>
      <c r="R9801" s="42"/>
      <c r="AC9801" s="42"/>
    </row>
    <row r="9802" spans="15:29" x14ac:dyDescent="0.25">
      <c r="O9802" s="42"/>
      <c r="R9802" s="42"/>
      <c r="AC9802" s="42"/>
    </row>
    <row r="9803" spans="15:29" x14ac:dyDescent="0.25">
      <c r="O9803" s="42"/>
      <c r="R9803" s="42"/>
      <c r="AC9803" s="42"/>
    </row>
    <row r="9804" spans="15:29" x14ac:dyDescent="0.25">
      <c r="O9804" s="42"/>
      <c r="R9804" s="42"/>
      <c r="AC9804" s="42"/>
    </row>
    <row r="9805" spans="15:29" x14ac:dyDescent="0.25">
      <c r="O9805" s="42"/>
      <c r="R9805" s="42"/>
      <c r="AC9805" s="42"/>
    </row>
    <row r="9806" spans="15:29" x14ac:dyDescent="0.25">
      <c r="O9806" s="42"/>
      <c r="R9806" s="42"/>
      <c r="AC9806" s="42"/>
    </row>
    <row r="9807" spans="15:29" x14ac:dyDescent="0.25">
      <c r="O9807" s="42"/>
      <c r="R9807" s="42"/>
      <c r="AC9807" s="42"/>
    </row>
    <row r="9808" spans="15:29" x14ac:dyDescent="0.25">
      <c r="O9808" s="42"/>
      <c r="R9808" s="42"/>
      <c r="AC9808" s="42"/>
    </row>
    <row r="9809" spans="15:29" x14ac:dyDescent="0.25">
      <c r="O9809" s="42"/>
      <c r="R9809" s="42"/>
      <c r="AC9809" s="42"/>
    </row>
    <row r="9810" spans="15:29" x14ac:dyDescent="0.25">
      <c r="O9810" s="42"/>
      <c r="R9810" s="42"/>
      <c r="AC9810" s="42"/>
    </row>
    <row r="9811" spans="15:29" x14ac:dyDescent="0.25">
      <c r="O9811" s="42"/>
      <c r="R9811" s="42"/>
      <c r="AC9811" s="42"/>
    </row>
    <row r="9812" spans="15:29" x14ac:dyDescent="0.25">
      <c r="O9812" s="42"/>
      <c r="R9812" s="42"/>
      <c r="AC9812" s="42"/>
    </row>
    <row r="9813" spans="15:29" x14ac:dyDescent="0.25">
      <c r="O9813" s="42"/>
      <c r="R9813" s="42"/>
      <c r="AC9813" s="42"/>
    </row>
    <row r="9814" spans="15:29" x14ac:dyDescent="0.25">
      <c r="O9814" s="42"/>
      <c r="R9814" s="42"/>
      <c r="AC9814" s="42"/>
    </row>
    <row r="9815" spans="15:29" x14ac:dyDescent="0.25">
      <c r="O9815" s="42"/>
      <c r="R9815" s="42"/>
      <c r="AC9815" s="42"/>
    </row>
    <row r="9816" spans="15:29" x14ac:dyDescent="0.25">
      <c r="O9816" s="42"/>
      <c r="R9816" s="42"/>
      <c r="AC9816" s="42"/>
    </row>
    <row r="9817" spans="15:29" x14ac:dyDescent="0.25">
      <c r="O9817" s="42"/>
      <c r="R9817" s="42"/>
      <c r="AC9817" s="42"/>
    </row>
    <row r="9818" spans="15:29" x14ac:dyDescent="0.25">
      <c r="O9818" s="42"/>
      <c r="R9818" s="42"/>
      <c r="AC9818" s="42"/>
    </row>
    <row r="9819" spans="15:29" x14ac:dyDescent="0.25">
      <c r="O9819" s="42"/>
      <c r="R9819" s="42"/>
      <c r="AC9819" s="42"/>
    </row>
    <row r="9820" spans="15:29" x14ac:dyDescent="0.25">
      <c r="O9820" s="42"/>
      <c r="R9820" s="42"/>
      <c r="AC9820" s="42"/>
    </row>
    <row r="9821" spans="15:29" x14ac:dyDescent="0.25">
      <c r="O9821" s="42"/>
      <c r="R9821" s="42"/>
      <c r="AC9821" s="42"/>
    </row>
    <row r="9822" spans="15:29" x14ac:dyDescent="0.25">
      <c r="O9822" s="42"/>
      <c r="R9822" s="42"/>
      <c r="AC9822" s="42"/>
    </row>
    <row r="9823" spans="15:29" x14ac:dyDescent="0.25">
      <c r="O9823" s="42"/>
      <c r="R9823" s="42"/>
      <c r="AC9823" s="42"/>
    </row>
    <row r="9824" spans="15:29" x14ac:dyDescent="0.25">
      <c r="O9824" s="42"/>
      <c r="R9824" s="42"/>
      <c r="AC9824" s="42"/>
    </row>
    <row r="9825" spans="15:29" x14ac:dyDescent="0.25">
      <c r="O9825" s="42"/>
      <c r="R9825" s="42"/>
      <c r="AC9825" s="42"/>
    </row>
    <row r="9826" spans="15:29" x14ac:dyDescent="0.25">
      <c r="O9826" s="42"/>
      <c r="R9826" s="42"/>
      <c r="AC9826" s="42"/>
    </row>
    <row r="9827" spans="15:29" x14ac:dyDescent="0.25">
      <c r="O9827" s="42"/>
      <c r="R9827" s="42"/>
      <c r="AC9827" s="42"/>
    </row>
    <row r="9828" spans="15:29" x14ac:dyDescent="0.25">
      <c r="O9828" s="42"/>
      <c r="R9828" s="42"/>
      <c r="AC9828" s="42"/>
    </row>
    <row r="9829" spans="15:29" x14ac:dyDescent="0.25">
      <c r="O9829" s="42"/>
      <c r="R9829" s="42"/>
      <c r="AC9829" s="42"/>
    </row>
    <row r="9830" spans="15:29" x14ac:dyDescent="0.25">
      <c r="O9830" s="42"/>
      <c r="R9830" s="42"/>
      <c r="AC9830" s="42"/>
    </row>
    <row r="9831" spans="15:29" x14ac:dyDescent="0.25">
      <c r="O9831" s="42"/>
      <c r="R9831" s="42"/>
      <c r="AC9831" s="42"/>
    </row>
    <row r="9832" spans="15:29" x14ac:dyDescent="0.25">
      <c r="O9832" s="42"/>
      <c r="R9832" s="42"/>
      <c r="AC9832" s="42"/>
    </row>
    <row r="9833" spans="15:29" x14ac:dyDescent="0.25">
      <c r="O9833" s="42"/>
      <c r="R9833" s="42"/>
      <c r="AC9833" s="42"/>
    </row>
    <row r="9834" spans="15:29" x14ac:dyDescent="0.25">
      <c r="O9834" s="42"/>
      <c r="R9834" s="42"/>
      <c r="AC9834" s="42"/>
    </row>
    <row r="9835" spans="15:29" x14ac:dyDescent="0.25">
      <c r="O9835" s="42"/>
      <c r="R9835" s="42"/>
      <c r="AC9835" s="42"/>
    </row>
    <row r="9836" spans="15:29" x14ac:dyDescent="0.25">
      <c r="O9836" s="42"/>
      <c r="R9836" s="42"/>
      <c r="AC9836" s="42"/>
    </row>
    <row r="9837" spans="15:29" x14ac:dyDescent="0.25">
      <c r="O9837" s="42"/>
      <c r="R9837" s="42"/>
      <c r="AC9837" s="42"/>
    </row>
    <row r="9838" spans="15:29" x14ac:dyDescent="0.25">
      <c r="O9838" s="42"/>
      <c r="R9838" s="42"/>
      <c r="AC9838" s="42"/>
    </row>
    <row r="9839" spans="15:29" x14ac:dyDescent="0.25">
      <c r="O9839" s="42"/>
      <c r="R9839" s="42"/>
      <c r="AC9839" s="42"/>
    </row>
    <row r="9840" spans="15:29" x14ac:dyDescent="0.25">
      <c r="O9840" s="42"/>
      <c r="R9840" s="42"/>
      <c r="AC9840" s="42"/>
    </row>
    <row r="9841" spans="15:29" x14ac:dyDescent="0.25">
      <c r="O9841" s="42"/>
      <c r="R9841" s="42"/>
      <c r="AC9841" s="42"/>
    </row>
    <row r="9842" spans="15:29" x14ac:dyDescent="0.25">
      <c r="O9842" s="42"/>
      <c r="R9842" s="42"/>
      <c r="AC9842" s="42"/>
    </row>
    <row r="9843" spans="15:29" x14ac:dyDescent="0.25">
      <c r="O9843" s="42"/>
      <c r="R9843" s="42"/>
      <c r="AC9843" s="42"/>
    </row>
    <row r="9844" spans="15:29" x14ac:dyDescent="0.25">
      <c r="O9844" s="42"/>
      <c r="R9844" s="42"/>
      <c r="AC9844" s="42"/>
    </row>
    <row r="9845" spans="15:29" x14ac:dyDescent="0.25">
      <c r="O9845" s="42"/>
      <c r="R9845" s="42"/>
      <c r="AC9845" s="42"/>
    </row>
    <row r="9846" spans="15:29" x14ac:dyDescent="0.25">
      <c r="O9846" s="42"/>
      <c r="R9846" s="42"/>
      <c r="AC9846" s="42"/>
    </row>
    <row r="9847" spans="15:29" x14ac:dyDescent="0.25">
      <c r="O9847" s="42"/>
      <c r="R9847" s="42"/>
      <c r="AC9847" s="42"/>
    </row>
    <row r="9848" spans="15:29" x14ac:dyDescent="0.25">
      <c r="O9848" s="42"/>
      <c r="R9848" s="42"/>
      <c r="AC9848" s="42"/>
    </row>
    <row r="9849" spans="15:29" x14ac:dyDescent="0.25">
      <c r="O9849" s="42"/>
      <c r="R9849" s="42"/>
      <c r="AC9849" s="42"/>
    </row>
    <row r="9850" spans="15:29" x14ac:dyDescent="0.25">
      <c r="O9850" s="42"/>
      <c r="R9850" s="42"/>
      <c r="AC9850" s="42"/>
    </row>
    <row r="9851" spans="15:29" x14ac:dyDescent="0.25">
      <c r="O9851" s="42"/>
      <c r="R9851" s="42"/>
      <c r="AC9851" s="42"/>
    </row>
    <row r="9852" spans="15:29" x14ac:dyDescent="0.25">
      <c r="O9852" s="42"/>
      <c r="R9852" s="42"/>
      <c r="AC9852" s="42"/>
    </row>
    <row r="9853" spans="15:29" x14ac:dyDescent="0.25">
      <c r="O9853" s="42"/>
      <c r="R9853" s="42"/>
      <c r="AC9853" s="42"/>
    </row>
    <row r="9854" spans="15:29" x14ac:dyDescent="0.25">
      <c r="O9854" s="42"/>
      <c r="R9854" s="42"/>
      <c r="AC9854" s="42"/>
    </row>
    <row r="9855" spans="15:29" x14ac:dyDescent="0.25">
      <c r="O9855" s="42"/>
      <c r="R9855" s="42"/>
      <c r="AC9855" s="42"/>
    </row>
    <row r="9856" spans="15:29" x14ac:dyDescent="0.25">
      <c r="O9856" s="42"/>
      <c r="R9856" s="42"/>
      <c r="AC9856" s="42"/>
    </row>
    <row r="9857" spans="15:29" x14ac:dyDescent="0.25">
      <c r="O9857" s="42"/>
      <c r="R9857" s="42"/>
      <c r="AC9857" s="42"/>
    </row>
    <row r="9858" spans="15:29" x14ac:dyDescent="0.25">
      <c r="O9858" s="42"/>
      <c r="R9858" s="42"/>
      <c r="AC9858" s="42"/>
    </row>
    <row r="9859" spans="15:29" x14ac:dyDescent="0.25">
      <c r="O9859" s="42"/>
      <c r="R9859" s="42"/>
      <c r="AC9859" s="42"/>
    </row>
    <row r="9860" spans="15:29" x14ac:dyDescent="0.25">
      <c r="O9860" s="42"/>
      <c r="R9860" s="42"/>
      <c r="AC9860" s="42"/>
    </row>
    <row r="9861" spans="15:29" x14ac:dyDescent="0.25">
      <c r="O9861" s="42"/>
      <c r="R9861" s="42"/>
      <c r="AC9861" s="42"/>
    </row>
    <row r="9862" spans="15:29" x14ac:dyDescent="0.25">
      <c r="O9862" s="42"/>
      <c r="R9862" s="42"/>
      <c r="AC9862" s="42"/>
    </row>
    <row r="9863" spans="15:29" x14ac:dyDescent="0.25">
      <c r="O9863" s="42"/>
      <c r="R9863" s="42"/>
      <c r="AC9863" s="42"/>
    </row>
    <row r="9864" spans="15:29" x14ac:dyDescent="0.25">
      <c r="O9864" s="42"/>
      <c r="R9864" s="42"/>
      <c r="AC9864" s="42"/>
    </row>
    <row r="9865" spans="15:29" x14ac:dyDescent="0.25">
      <c r="O9865" s="42"/>
      <c r="R9865" s="42"/>
      <c r="AC9865" s="42"/>
    </row>
    <row r="9866" spans="15:29" x14ac:dyDescent="0.25">
      <c r="O9866" s="42"/>
      <c r="R9866" s="42"/>
      <c r="AC9866" s="42"/>
    </row>
    <row r="9867" spans="15:29" x14ac:dyDescent="0.25">
      <c r="O9867" s="42"/>
      <c r="R9867" s="42"/>
      <c r="AC9867" s="42"/>
    </row>
    <row r="9868" spans="15:29" x14ac:dyDescent="0.25">
      <c r="O9868" s="42"/>
      <c r="R9868" s="42"/>
      <c r="AC9868" s="42"/>
    </row>
    <row r="9869" spans="15:29" x14ac:dyDescent="0.25">
      <c r="O9869" s="42"/>
      <c r="R9869" s="42"/>
      <c r="AC9869" s="42"/>
    </row>
    <row r="9870" spans="15:29" x14ac:dyDescent="0.25">
      <c r="O9870" s="42"/>
      <c r="R9870" s="42"/>
      <c r="AC9870" s="42"/>
    </row>
    <row r="9871" spans="15:29" x14ac:dyDescent="0.25">
      <c r="O9871" s="42"/>
      <c r="R9871" s="42"/>
      <c r="AC9871" s="42"/>
    </row>
    <row r="9872" spans="15:29" x14ac:dyDescent="0.25">
      <c r="O9872" s="42"/>
      <c r="R9872" s="42"/>
      <c r="AC9872" s="42"/>
    </row>
    <row r="9873" spans="15:29" x14ac:dyDescent="0.25">
      <c r="O9873" s="42"/>
      <c r="R9873" s="42"/>
      <c r="AC9873" s="42"/>
    </row>
    <row r="9874" spans="15:29" x14ac:dyDescent="0.25">
      <c r="O9874" s="42"/>
      <c r="R9874" s="42"/>
      <c r="AC9874" s="42"/>
    </row>
    <row r="9875" spans="15:29" x14ac:dyDescent="0.25">
      <c r="O9875" s="42"/>
      <c r="R9875" s="42"/>
      <c r="AC9875" s="42"/>
    </row>
    <row r="9876" spans="15:29" x14ac:dyDescent="0.25">
      <c r="O9876" s="42"/>
      <c r="R9876" s="42"/>
      <c r="AC9876" s="42"/>
    </row>
    <row r="9877" spans="15:29" x14ac:dyDescent="0.25">
      <c r="O9877" s="42"/>
      <c r="R9877" s="42"/>
      <c r="AC9877" s="42"/>
    </row>
    <row r="9878" spans="15:29" x14ac:dyDescent="0.25">
      <c r="O9878" s="42"/>
      <c r="R9878" s="42"/>
      <c r="AC9878" s="42"/>
    </row>
    <row r="9879" spans="15:29" x14ac:dyDescent="0.25">
      <c r="O9879" s="42"/>
      <c r="R9879" s="42"/>
      <c r="AC9879" s="42"/>
    </row>
    <row r="9880" spans="15:29" x14ac:dyDescent="0.25">
      <c r="O9880" s="42"/>
      <c r="R9880" s="42"/>
      <c r="AC9880" s="42"/>
    </row>
    <row r="9881" spans="15:29" x14ac:dyDescent="0.25">
      <c r="O9881" s="42"/>
      <c r="R9881" s="42"/>
      <c r="AC9881" s="42"/>
    </row>
    <row r="9882" spans="15:29" x14ac:dyDescent="0.25">
      <c r="O9882" s="42"/>
      <c r="R9882" s="42"/>
      <c r="AC9882" s="42"/>
    </row>
    <row r="9883" spans="15:29" x14ac:dyDescent="0.25">
      <c r="O9883" s="42"/>
      <c r="R9883" s="42"/>
      <c r="AC9883" s="42"/>
    </row>
    <row r="9884" spans="15:29" x14ac:dyDescent="0.25">
      <c r="O9884" s="42"/>
      <c r="R9884" s="42"/>
      <c r="AC9884" s="42"/>
    </row>
    <row r="9885" spans="15:29" x14ac:dyDescent="0.25">
      <c r="O9885" s="42"/>
      <c r="R9885" s="42"/>
      <c r="AC9885" s="42"/>
    </row>
    <row r="9886" spans="15:29" x14ac:dyDescent="0.25">
      <c r="O9886" s="42"/>
      <c r="R9886" s="42"/>
      <c r="AC9886" s="42"/>
    </row>
    <row r="9887" spans="15:29" x14ac:dyDescent="0.25">
      <c r="O9887" s="42"/>
      <c r="R9887" s="42"/>
      <c r="AC9887" s="42"/>
    </row>
    <row r="9888" spans="15:29" x14ac:dyDescent="0.25">
      <c r="O9888" s="42"/>
      <c r="R9888" s="42"/>
      <c r="AC9888" s="42"/>
    </row>
    <row r="9889" spans="15:29" x14ac:dyDescent="0.25">
      <c r="O9889" s="42"/>
      <c r="R9889" s="42"/>
      <c r="AC9889" s="42"/>
    </row>
    <row r="9890" spans="15:29" x14ac:dyDescent="0.25">
      <c r="O9890" s="42"/>
      <c r="R9890" s="42"/>
      <c r="AC9890" s="42"/>
    </row>
    <row r="9891" spans="15:29" x14ac:dyDescent="0.25">
      <c r="O9891" s="42"/>
      <c r="R9891" s="42"/>
      <c r="AC9891" s="42"/>
    </row>
    <row r="9892" spans="15:29" x14ac:dyDescent="0.25">
      <c r="O9892" s="42"/>
      <c r="R9892" s="42"/>
      <c r="AC9892" s="42"/>
    </row>
    <row r="9893" spans="15:29" x14ac:dyDescent="0.25">
      <c r="O9893" s="42"/>
      <c r="R9893" s="42"/>
      <c r="AC9893" s="42"/>
    </row>
    <row r="9894" spans="15:29" x14ac:dyDescent="0.25">
      <c r="O9894" s="42"/>
      <c r="R9894" s="42"/>
      <c r="AC9894" s="42"/>
    </row>
    <row r="9895" spans="15:29" x14ac:dyDescent="0.25">
      <c r="O9895" s="42"/>
      <c r="R9895" s="42"/>
      <c r="AC9895" s="42"/>
    </row>
    <row r="9896" spans="15:29" x14ac:dyDescent="0.25">
      <c r="O9896" s="42"/>
      <c r="R9896" s="42"/>
      <c r="AC9896" s="42"/>
    </row>
    <row r="9897" spans="15:29" x14ac:dyDescent="0.25">
      <c r="O9897" s="42"/>
      <c r="R9897" s="42"/>
      <c r="AC9897" s="42"/>
    </row>
    <row r="9898" spans="15:29" x14ac:dyDescent="0.25">
      <c r="O9898" s="42"/>
      <c r="R9898" s="42"/>
      <c r="AC9898" s="42"/>
    </row>
    <row r="9899" spans="15:29" x14ac:dyDescent="0.25">
      <c r="O9899" s="42"/>
      <c r="R9899" s="42"/>
      <c r="AC9899" s="42"/>
    </row>
    <row r="9900" spans="15:29" x14ac:dyDescent="0.25">
      <c r="O9900" s="42"/>
      <c r="R9900" s="42"/>
      <c r="AC9900" s="42"/>
    </row>
    <row r="9901" spans="15:29" x14ac:dyDescent="0.25">
      <c r="O9901" s="42"/>
      <c r="R9901" s="42"/>
      <c r="AC9901" s="42"/>
    </row>
    <row r="9902" spans="15:29" x14ac:dyDescent="0.25">
      <c r="O9902" s="42"/>
      <c r="R9902" s="42"/>
      <c r="AC9902" s="42"/>
    </row>
    <row r="9903" spans="15:29" x14ac:dyDescent="0.25">
      <c r="O9903" s="42"/>
      <c r="R9903" s="42"/>
      <c r="AC9903" s="42"/>
    </row>
    <row r="9904" spans="15:29" x14ac:dyDescent="0.25">
      <c r="O9904" s="42"/>
      <c r="R9904" s="42"/>
      <c r="AC9904" s="42"/>
    </row>
    <row r="9905" spans="15:29" x14ac:dyDescent="0.25">
      <c r="O9905" s="42"/>
      <c r="R9905" s="42"/>
      <c r="AC9905" s="42"/>
    </row>
    <row r="9906" spans="15:29" x14ac:dyDescent="0.25">
      <c r="O9906" s="42"/>
      <c r="R9906" s="42"/>
      <c r="AC9906" s="42"/>
    </row>
    <row r="9907" spans="15:29" x14ac:dyDescent="0.25">
      <c r="O9907" s="42"/>
      <c r="R9907" s="42"/>
      <c r="AC9907" s="42"/>
    </row>
    <row r="9908" spans="15:29" x14ac:dyDescent="0.25">
      <c r="O9908" s="42"/>
      <c r="R9908" s="42"/>
      <c r="AC9908" s="42"/>
    </row>
    <row r="9909" spans="15:29" x14ac:dyDescent="0.25">
      <c r="O9909" s="42"/>
      <c r="R9909" s="42"/>
      <c r="AC9909" s="42"/>
    </row>
    <row r="9910" spans="15:29" x14ac:dyDescent="0.25">
      <c r="O9910" s="42"/>
      <c r="R9910" s="42"/>
      <c r="AC9910" s="42"/>
    </row>
    <row r="9911" spans="15:29" x14ac:dyDescent="0.25">
      <c r="O9911" s="42"/>
      <c r="R9911" s="42"/>
      <c r="AC9911" s="42"/>
    </row>
    <row r="9912" spans="15:29" x14ac:dyDescent="0.25">
      <c r="O9912" s="42"/>
      <c r="R9912" s="42"/>
      <c r="AC9912" s="42"/>
    </row>
    <row r="9913" spans="15:29" x14ac:dyDescent="0.25">
      <c r="O9913" s="42"/>
      <c r="R9913" s="42"/>
      <c r="AC9913" s="42"/>
    </row>
    <row r="9914" spans="15:29" x14ac:dyDescent="0.25">
      <c r="O9914" s="42"/>
      <c r="R9914" s="42"/>
      <c r="AC9914" s="42"/>
    </row>
    <row r="9915" spans="15:29" x14ac:dyDescent="0.25">
      <c r="O9915" s="42"/>
      <c r="R9915" s="42"/>
      <c r="AC9915" s="42"/>
    </row>
    <row r="9916" spans="15:29" x14ac:dyDescent="0.25">
      <c r="O9916" s="42"/>
      <c r="R9916" s="42"/>
      <c r="AC9916" s="42"/>
    </row>
    <row r="9917" spans="15:29" x14ac:dyDescent="0.25">
      <c r="O9917" s="42"/>
      <c r="R9917" s="42"/>
      <c r="AC9917" s="42"/>
    </row>
    <row r="9918" spans="15:29" x14ac:dyDescent="0.25">
      <c r="O9918" s="42"/>
      <c r="R9918" s="42"/>
      <c r="AC9918" s="42"/>
    </row>
    <row r="9919" spans="15:29" x14ac:dyDescent="0.25">
      <c r="O9919" s="42"/>
      <c r="R9919" s="42"/>
      <c r="AC9919" s="42"/>
    </row>
    <row r="9920" spans="15:29" x14ac:dyDescent="0.25">
      <c r="O9920" s="42"/>
      <c r="R9920" s="42"/>
      <c r="AC9920" s="42"/>
    </row>
    <row r="9921" spans="15:29" x14ac:dyDescent="0.25">
      <c r="O9921" s="42"/>
      <c r="R9921" s="42"/>
      <c r="AC9921" s="42"/>
    </row>
    <row r="9922" spans="15:29" x14ac:dyDescent="0.25">
      <c r="O9922" s="42"/>
      <c r="R9922" s="42"/>
      <c r="AC9922" s="42"/>
    </row>
    <row r="9923" spans="15:29" x14ac:dyDescent="0.25">
      <c r="O9923" s="42"/>
      <c r="R9923" s="42"/>
      <c r="AC9923" s="42"/>
    </row>
    <row r="9924" spans="15:29" x14ac:dyDescent="0.25">
      <c r="O9924" s="42"/>
      <c r="R9924" s="42"/>
      <c r="AC9924" s="42"/>
    </row>
    <row r="9925" spans="15:29" x14ac:dyDescent="0.25">
      <c r="O9925" s="42"/>
      <c r="R9925" s="42"/>
      <c r="AC9925" s="42"/>
    </row>
    <row r="9926" spans="15:29" x14ac:dyDescent="0.25">
      <c r="O9926" s="42"/>
      <c r="R9926" s="42"/>
      <c r="AC9926" s="42"/>
    </row>
    <row r="9927" spans="15:29" x14ac:dyDescent="0.25">
      <c r="O9927" s="42"/>
      <c r="R9927" s="42"/>
      <c r="AC9927" s="42"/>
    </row>
    <row r="9928" spans="15:29" x14ac:dyDescent="0.25">
      <c r="O9928" s="42"/>
      <c r="R9928" s="42"/>
      <c r="AC9928" s="42"/>
    </row>
    <row r="9929" spans="15:29" x14ac:dyDescent="0.25">
      <c r="O9929" s="42"/>
      <c r="R9929" s="42"/>
      <c r="AC9929" s="42"/>
    </row>
    <row r="9930" spans="15:29" x14ac:dyDescent="0.25">
      <c r="O9930" s="42"/>
      <c r="R9930" s="42"/>
      <c r="AC9930" s="42"/>
    </row>
    <row r="9931" spans="15:29" x14ac:dyDescent="0.25">
      <c r="O9931" s="42"/>
      <c r="R9931" s="42"/>
      <c r="AC9931" s="42"/>
    </row>
    <row r="9932" spans="15:29" x14ac:dyDescent="0.25">
      <c r="O9932" s="42"/>
      <c r="R9932" s="42"/>
      <c r="AC9932" s="42"/>
    </row>
    <row r="9933" spans="15:29" x14ac:dyDescent="0.25">
      <c r="O9933" s="42"/>
      <c r="R9933" s="42"/>
      <c r="AC9933" s="42"/>
    </row>
    <row r="9934" spans="15:29" x14ac:dyDescent="0.25">
      <c r="O9934" s="42"/>
      <c r="R9934" s="42"/>
      <c r="AC9934" s="42"/>
    </row>
    <row r="9935" spans="15:29" x14ac:dyDescent="0.25">
      <c r="O9935" s="42"/>
      <c r="R9935" s="42"/>
      <c r="AC9935" s="42"/>
    </row>
    <row r="9936" spans="15:29" x14ac:dyDescent="0.25">
      <c r="O9936" s="42"/>
      <c r="R9936" s="42"/>
      <c r="AC9936" s="42"/>
    </row>
    <row r="9937" spans="15:29" x14ac:dyDescent="0.25">
      <c r="O9937" s="42"/>
      <c r="R9937" s="42"/>
      <c r="AC9937" s="42"/>
    </row>
    <row r="9938" spans="15:29" x14ac:dyDescent="0.25">
      <c r="O9938" s="42"/>
      <c r="R9938" s="42"/>
      <c r="AC9938" s="42"/>
    </row>
    <row r="9939" spans="15:29" x14ac:dyDescent="0.25">
      <c r="O9939" s="42"/>
      <c r="R9939" s="42"/>
      <c r="AC9939" s="42"/>
    </row>
    <row r="9940" spans="15:29" x14ac:dyDescent="0.25">
      <c r="O9940" s="42"/>
      <c r="R9940" s="42"/>
      <c r="AC9940" s="42"/>
    </row>
    <row r="9941" spans="15:29" x14ac:dyDescent="0.25">
      <c r="O9941" s="42"/>
      <c r="R9941" s="42"/>
      <c r="AC9941" s="42"/>
    </row>
    <row r="9942" spans="15:29" x14ac:dyDescent="0.25">
      <c r="O9942" s="42"/>
      <c r="R9942" s="42"/>
      <c r="AC9942" s="42"/>
    </row>
    <row r="9943" spans="15:29" x14ac:dyDescent="0.25">
      <c r="O9943" s="42"/>
      <c r="R9943" s="42"/>
      <c r="AC9943" s="42"/>
    </row>
    <row r="9944" spans="15:29" x14ac:dyDescent="0.25">
      <c r="O9944" s="42"/>
      <c r="R9944" s="42"/>
      <c r="AC9944" s="42"/>
    </row>
    <row r="9945" spans="15:29" x14ac:dyDescent="0.25">
      <c r="O9945" s="42"/>
      <c r="R9945" s="42"/>
      <c r="AC9945" s="42"/>
    </row>
    <row r="9946" spans="15:29" x14ac:dyDescent="0.25">
      <c r="O9946" s="42"/>
      <c r="R9946" s="42"/>
      <c r="AC9946" s="42"/>
    </row>
    <row r="9947" spans="15:29" x14ac:dyDescent="0.25">
      <c r="O9947" s="42"/>
      <c r="R9947" s="42"/>
      <c r="AC9947" s="42"/>
    </row>
    <row r="9948" spans="15:29" x14ac:dyDescent="0.25">
      <c r="O9948" s="42"/>
      <c r="R9948" s="42"/>
      <c r="AC9948" s="42"/>
    </row>
    <row r="9949" spans="15:29" x14ac:dyDescent="0.25">
      <c r="O9949" s="42"/>
      <c r="R9949" s="42"/>
      <c r="AC9949" s="42"/>
    </row>
    <row r="9950" spans="15:29" x14ac:dyDescent="0.25">
      <c r="O9950" s="42"/>
      <c r="R9950" s="42"/>
      <c r="AC9950" s="42"/>
    </row>
    <row r="9951" spans="15:29" x14ac:dyDescent="0.25">
      <c r="O9951" s="42"/>
      <c r="R9951" s="42"/>
      <c r="AC9951" s="42"/>
    </row>
    <row r="9952" spans="15:29" x14ac:dyDescent="0.25">
      <c r="O9952" s="42"/>
      <c r="R9952" s="42"/>
      <c r="AC9952" s="42"/>
    </row>
    <row r="9953" spans="15:29" x14ac:dyDescent="0.25">
      <c r="O9953" s="42"/>
      <c r="R9953" s="42"/>
      <c r="AC9953" s="42"/>
    </row>
    <row r="9954" spans="15:29" x14ac:dyDescent="0.25">
      <c r="O9954" s="42"/>
      <c r="R9954" s="42"/>
      <c r="AC9954" s="42"/>
    </row>
    <row r="9955" spans="15:29" x14ac:dyDescent="0.25">
      <c r="O9955" s="42"/>
      <c r="R9955" s="42"/>
      <c r="AC9955" s="42"/>
    </row>
    <row r="9956" spans="15:29" x14ac:dyDescent="0.25">
      <c r="O9956" s="42"/>
      <c r="R9956" s="42"/>
      <c r="AC9956" s="42"/>
    </row>
    <row r="9957" spans="15:29" x14ac:dyDescent="0.25">
      <c r="O9957" s="42"/>
      <c r="R9957" s="42"/>
      <c r="AC9957" s="42"/>
    </row>
    <row r="9958" spans="15:29" x14ac:dyDescent="0.25">
      <c r="O9958" s="42"/>
      <c r="R9958" s="42"/>
      <c r="AC9958" s="42"/>
    </row>
    <row r="9959" spans="15:29" x14ac:dyDescent="0.25">
      <c r="O9959" s="42"/>
      <c r="R9959" s="42"/>
      <c r="AC9959" s="42"/>
    </row>
    <row r="9960" spans="15:29" x14ac:dyDescent="0.25">
      <c r="O9960" s="42"/>
      <c r="R9960" s="42"/>
      <c r="AC9960" s="42"/>
    </row>
    <row r="9961" spans="15:29" x14ac:dyDescent="0.25">
      <c r="O9961" s="42"/>
      <c r="R9961" s="42"/>
      <c r="AC9961" s="42"/>
    </row>
    <row r="9962" spans="15:29" x14ac:dyDescent="0.25">
      <c r="O9962" s="42"/>
      <c r="R9962" s="42"/>
      <c r="AC9962" s="42"/>
    </row>
    <row r="9963" spans="15:29" x14ac:dyDescent="0.25">
      <c r="O9963" s="42"/>
      <c r="R9963" s="42"/>
      <c r="AC9963" s="42"/>
    </row>
    <row r="9964" spans="15:29" x14ac:dyDescent="0.25">
      <c r="O9964" s="42"/>
      <c r="R9964" s="42"/>
      <c r="AC9964" s="42"/>
    </row>
    <row r="9965" spans="15:29" x14ac:dyDescent="0.25">
      <c r="O9965" s="42"/>
      <c r="R9965" s="42"/>
      <c r="AC9965" s="42"/>
    </row>
    <row r="9966" spans="15:29" x14ac:dyDescent="0.25">
      <c r="O9966" s="42"/>
      <c r="R9966" s="42"/>
      <c r="AC9966" s="42"/>
    </row>
    <row r="9967" spans="15:29" x14ac:dyDescent="0.25">
      <c r="O9967" s="42"/>
      <c r="R9967" s="42"/>
      <c r="AC9967" s="42"/>
    </row>
    <row r="9968" spans="15:29" x14ac:dyDescent="0.25">
      <c r="O9968" s="42"/>
      <c r="R9968" s="42"/>
      <c r="AC9968" s="42"/>
    </row>
    <row r="9969" spans="15:29" x14ac:dyDescent="0.25">
      <c r="O9969" s="42"/>
      <c r="R9969" s="42"/>
      <c r="AC9969" s="42"/>
    </row>
    <row r="9970" spans="15:29" x14ac:dyDescent="0.25">
      <c r="O9970" s="42"/>
      <c r="R9970" s="42"/>
      <c r="AC9970" s="42"/>
    </row>
    <row r="9971" spans="15:29" x14ac:dyDescent="0.25">
      <c r="O9971" s="42"/>
      <c r="R9971" s="42"/>
      <c r="AC9971" s="42"/>
    </row>
    <row r="9972" spans="15:29" x14ac:dyDescent="0.25">
      <c r="O9972" s="42"/>
      <c r="R9972" s="42"/>
      <c r="AC9972" s="42"/>
    </row>
    <row r="9973" spans="15:29" x14ac:dyDescent="0.25">
      <c r="O9973" s="42"/>
      <c r="R9973" s="42"/>
      <c r="AC9973" s="42"/>
    </row>
    <row r="9974" spans="15:29" x14ac:dyDescent="0.25">
      <c r="O9974" s="42"/>
      <c r="R9974" s="42"/>
      <c r="AC9974" s="42"/>
    </row>
    <row r="9975" spans="15:29" x14ac:dyDescent="0.25">
      <c r="O9975" s="42"/>
      <c r="R9975" s="42"/>
      <c r="AC9975" s="42"/>
    </row>
    <row r="9976" spans="15:29" x14ac:dyDescent="0.25">
      <c r="O9976" s="42"/>
      <c r="R9976" s="42"/>
      <c r="AC9976" s="42"/>
    </row>
    <row r="9977" spans="15:29" x14ac:dyDescent="0.25">
      <c r="O9977" s="42"/>
      <c r="R9977" s="42"/>
      <c r="AC9977" s="42"/>
    </row>
    <row r="9978" spans="15:29" x14ac:dyDescent="0.25">
      <c r="O9978" s="42"/>
      <c r="R9978" s="42"/>
      <c r="AC9978" s="42"/>
    </row>
    <row r="9979" spans="15:29" x14ac:dyDescent="0.25">
      <c r="O9979" s="42"/>
      <c r="R9979" s="42"/>
      <c r="AC9979" s="42"/>
    </row>
    <row r="9980" spans="15:29" x14ac:dyDescent="0.25">
      <c r="O9980" s="42"/>
      <c r="R9980" s="42"/>
      <c r="AC9980" s="42"/>
    </row>
    <row r="9981" spans="15:29" x14ac:dyDescent="0.25">
      <c r="O9981" s="42"/>
      <c r="R9981" s="42"/>
      <c r="AC9981" s="42"/>
    </row>
    <row r="9982" spans="15:29" x14ac:dyDescent="0.25">
      <c r="O9982" s="42"/>
      <c r="R9982" s="42"/>
      <c r="AC9982" s="42"/>
    </row>
    <row r="9983" spans="15:29" x14ac:dyDescent="0.25">
      <c r="O9983" s="42"/>
      <c r="R9983" s="42"/>
      <c r="AC9983" s="42"/>
    </row>
    <row r="9984" spans="15:29" x14ac:dyDescent="0.25">
      <c r="O9984" s="42"/>
      <c r="R9984" s="42"/>
      <c r="AC9984" s="42"/>
    </row>
    <row r="9985" spans="15:29" x14ac:dyDescent="0.25">
      <c r="O9985" s="42"/>
      <c r="R9985" s="42"/>
      <c r="AC9985" s="42"/>
    </row>
    <row r="9986" spans="15:29" x14ac:dyDescent="0.25">
      <c r="O9986" s="42"/>
      <c r="R9986" s="42"/>
      <c r="AC9986" s="42"/>
    </row>
    <row r="9987" spans="15:29" x14ac:dyDescent="0.25">
      <c r="O9987" s="42"/>
      <c r="R9987" s="42"/>
      <c r="AC9987" s="42"/>
    </row>
    <row r="9988" spans="15:29" x14ac:dyDescent="0.25">
      <c r="O9988" s="42"/>
      <c r="R9988" s="42"/>
      <c r="AC9988" s="42"/>
    </row>
    <row r="9989" spans="15:29" x14ac:dyDescent="0.25">
      <c r="O9989" s="42"/>
      <c r="R9989" s="42"/>
      <c r="AC9989" s="42"/>
    </row>
    <row r="9990" spans="15:29" x14ac:dyDescent="0.25">
      <c r="O9990" s="42"/>
      <c r="R9990" s="42"/>
      <c r="AC9990" s="42"/>
    </row>
    <row r="9991" spans="15:29" x14ac:dyDescent="0.25">
      <c r="O9991" s="42"/>
      <c r="R9991" s="42"/>
      <c r="AC9991" s="42"/>
    </row>
    <row r="9992" spans="15:29" x14ac:dyDescent="0.25">
      <c r="O9992" s="42"/>
      <c r="R9992" s="42"/>
      <c r="AC9992" s="42"/>
    </row>
    <row r="9993" spans="15:29" x14ac:dyDescent="0.25">
      <c r="O9993" s="42"/>
      <c r="R9993" s="42"/>
      <c r="AC9993" s="42"/>
    </row>
    <row r="9994" spans="15:29" x14ac:dyDescent="0.25">
      <c r="O9994" s="42"/>
      <c r="R9994" s="42"/>
      <c r="AC9994" s="42"/>
    </row>
    <row r="9995" spans="15:29" x14ac:dyDescent="0.25">
      <c r="O9995" s="42"/>
      <c r="R9995" s="42"/>
      <c r="AC9995" s="42"/>
    </row>
    <row r="9996" spans="15:29" x14ac:dyDescent="0.25">
      <c r="O9996" s="42"/>
      <c r="R9996" s="42"/>
      <c r="AC9996" s="42"/>
    </row>
    <row r="9997" spans="15:29" x14ac:dyDescent="0.25">
      <c r="O9997" s="42"/>
      <c r="R9997" s="42"/>
      <c r="AC9997" s="42"/>
    </row>
    <row r="9998" spans="15:29" x14ac:dyDescent="0.25">
      <c r="O9998" s="42"/>
      <c r="R9998" s="42"/>
      <c r="AC9998" s="42"/>
    </row>
    <row r="9999" spans="15:29" x14ac:dyDescent="0.25">
      <c r="O9999" s="42"/>
      <c r="R9999" s="42"/>
      <c r="AC9999" s="42"/>
    </row>
    <row r="10000" spans="15:29" x14ac:dyDescent="0.25">
      <c r="O10000" s="42"/>
      <c r="R10000" s="42"/>
      <c r="AC10000" s="42"/>
    </row>
    <row r="10001" spans="15:29" x14ac:dyDescent="0.25">
      <c r="O10001" s="42"/>
      <c r="R10001" s="42"/>
      <c r="AC10001" s="42"/>
    </row>
    <row r="10002" spans="15:29" x14ac:dyDescent="0.25">
      <c r="O10002" s="42"/>
      <c r="R10002" s="42"/>
      <c r="AC10002" s="42"/>
    </row>
    <row r="10003" spans="15:29" x14ac:dyDescent="0.25">
      <c r="O10003" s="42"/>
      <c r="R10003" s="42"/>
      <c r="AC10003" s="42"/>
    </row>
    <row r="10004" spans="15:29" x14ac:dyDescent="0.25">
      <c r="O10004" s="42"/>
      <c r="R10004" s="42"/>
      <c r="AC10004" s="42"/>
    </row>
    <row r="10005" spans="15:29" x14ac:dyDescent="0.25">
      <c r="O10005" s="42"/>
      <c r="R10005" s="42"/>
      <c r="AC10005" s="42"/>
    </row>
    <row r="10006" spans="15:29" x14ac:dyDescent="0.25">
      <c r="O10006" s="42"/>
      <c r="R10006" s="42"/>
      <c r="AC10006" s="42"/>
    </row>
    <row r="10007" spans="15:29" x14ac:dyDescent="0.25">
      <c r="O10007" s="42"/>
      <c r="R10007" s="42"/>
      <c r="AC10007" s="42"/>
    </row>
    <row r="10008" spans="15:29" x14ac:dyDescent="0.25">
      <c r="O10008" s="42"/>
      <c r="R10008" s="42"/>
      <c r="AC10008" s="42"/>
    </row>
    <row r="10009" spans="15:29" x14ac:dyDescent="0.25">
      <c r="O10009" s="42"/>
      <c r="R10009" s="42"/>
      <c r="AC10009" s="42"/>
    </row>
    <row r="10010" spans="15:29" x14ac:dyDescent="0.25">
      <c r="O10010" s="42"/>
      <c r="R10010" s="42"/>
      <c r="AC10010" s="42"/>
    </row>
    <row r="10011" spans="15:29" x14ac:dyDescent="0.25">
      <c r="O10011" s="42"/>
      <c r="R10011" s="42"/>
      <c r="AC10011" s="42"/>
    </row>
    <row r="10012" spans="15:29" x14ac:dyDescent="0.25">
      <c r="O10012" s="42"/>
      <c r="R10012" s="42"/>
      <c r="AC10012" s="42"/>
    </row>
    <row r="10013" spans="15:29" x14ac:dyDescent="0.25">
      <c r="O10013" s="42"/>
      <c r="R10013" s="42"/>
      <c r="AC10013" s="42"/>
    </row>
    <row r="10014" spans="15:29" x14ac:dyDescent="0.25">
      <c r="O10014" s="42"/>
      <c r="R10014" s="42"/>
      <c r="AC10014" s="42"/>
    </row>
    <row r="10015" spans="15:29" x14ac:dyDescent="0.25">
      <c r="O10015" s="42"/>
      <c r="R10015" s="42"/>
      <c r="AC10015" s="42"/>
    </row>
    <row r="10016" spans="15:29" x14ac:dyDescent="0.25">
      <c r="O10016" s="42"/>
      <c r="R10016" s="42"/>
      <c r="AC10016" s="42"/>
    </row>
    <row r="10017" spans="15:29" x14ac:dyDescent="0.25">
      <c r="O10017" s="42"/>
      <c r="R10017" s="42"/>
      <c r="AC10017" s="42"/>
    </row>
    <row r="10018" spans="15:29" x14ac:dyDescent="0.25">
      <c r="O10018" s="42"/>
      <c r="R10018" s="42"/>
      <c r="AC10018" s="42"/>
    </row>
    <row r="10019" spans="15:29" x14ac:dyDescent="0.25">
      <c r="O10019" s="42"/>
      <c r="R10019" s="42"/>
      <c r="AC10019" s="42"/>
    </row>
    <row r="10020" spans="15:29" x14ac:dyDescent="0.25">
      <c r="O10020" s="42"/>
      <c r="R10020" s="42"/>
      <c r="AC10020" s="42"/>
    </row>
    <row r="10021" spans="15:29" x14ac:dyDescent="0.25">
      <c r="O10021" s="42"/>
      <c r="R10021" s="42"/>
      <c r="AC10021" s="42"/>
    </row>
    <row r="10022" spans="15:29" x14ac:dyDescent="0.25">
      <c r="O10022" s="42"/>
      <c r="R10022" s="42"/>
      <c r="AC10022" s="42"/>
    </row>
    <row r="10023" spans="15:29" x14ac:dyDescent="0.25">
      <c r="O10023" s="42"/>
      <c r="R10023" s="42"/>
      <c r="AC10023" s="42"/>
    </row>
    <row r="10024" spans="15:29" x14ac:dyDescent="0.25">
      <c r="O10024" s="42"/>
      <c r="R10024" s="42"/>
      <c r="AC10024" s="42"/>
    </row>
    <row r="10025" spans="15:29" x14ac:dyDescent="0.25">
      <c r="O10025" s="42"/>
      <c r="R10025" s="42"/>
      <c r="AC10025" s="42"/>
    </row>
    <row r="10026" spans="15:29" x14ac:dyDescent="0.25">
      <c r="O10026" s="42"/>
      <c r="R10026" s="42"/>
      <c r="AC10026" s="42"/>
    </row>
    <row r="10027" spans="15:29" x14ac:dyDescent="0.25">
      <c r="O10027" s="42"/>
      <c r="R10027" s="42"/>
      <c r="AC10027" s="42"/>
    </row>
    <row r="10028" spans="15:29" x14ac:dyDescent="0.25">
      <c r="O10028" s="42"/>
      <c r="R10028" s="42"/>
      <c r="AC10028" s="42"/>
    </row>
    <row r="10029" spans="15:29" x14ac:dyDescent="0.25">
      <c r="O10029" s="42"/>
      <c r="R10029" s="42"/>
      <c r="AC10029" s="42"/>
    </row>
    <row r="10030" spans="15:29" x14ac:dyDescent="0.25">
      <c r="O10030" s="42"/>
      <c r="R10030" s="42"/>
      <c r="AC10030" s="42"/>
    </row>
    <row r="10031" spans="15:29" x14ac:dyDescent="0.25">
      <c r="O10031" s="42"/>
      <c r="R10031" s="42"/>
      <c r="AC10031" s="42"/>
    </row>
    <row r="10032" spans="15:29" x14ac:dyDescent="0.25">
      <c r="O10032" s="42"/>
      <c r="R10032" s="42"/>
      <c r="AC10032" s="42"/>
    </row>
    <row r="10033" spans="15:29" x14ac:dyDescent="0.25">
      <c r="O10033" s="42"/>
      <c r="R10033" s="42"/>
      <c r="AC10033" s="42"/>
    </row>
    <row r="10034" spans="15:29" x14ac:dyDescent="0.25">
      <c r="O10034" s="42"/>
      <c r="R10034" s="42"/>
      <c r="AC10034" s="42"/>
    </row>
    <row r="10035" spans="15:29" x14ac:dyDescent="0.25">
      <c r="O10035" s="42"/>
      <c r="R10035" s="42"/>
      <c r="AC10035" s="42"/>
    </row>
    <row r="10036" spans="15:29" x14ac:dyDescent="0.25">
      <c r="O10036" s="42"/>
      <c r="R10036" s="42"/>
      <c r="AC10036" s="42"/>
    </row>
    <row r="10037" spans="15:29" x14ac:dyDescent="0.25">
      <c r="O10037" s="42"/>
      <c r="R10037" s="42"/>
      <c r="AC10037" s="42"/>
    </row>
    <row r="10038" spans="15:29" x14ac:dyDescent="0.25">
      <c r="O10038" s="42"/>
      <c r="R10038" s="42"/>
      <c r="AC10038" s="42"/>
    </row>
    <row r="10039" spans="15:29" x14ac:dyDescent="0.25">
      <c r="O10039" s="42"/>
      <c r="R10039" s="42"/>
      <c r="AC10039" s="42"/>
    </row>
    <row r="10040" spans="15:29" x14ac:dyDescent="0.25">
      <c r="O10040" s="42"/>
      <c r="R10040" s="42"/>
      <c r="AC10040" s="42"/>
    </row>
    <row r="10041" spans="15:29" x14ac:dyDescent="0.25">
      <c r="O10041" s="42"/>
      <c r="R10041" s="42"/>
      <c r="AC10041" s="42"/>
    </row>
    <row r="10042" spans="15:29" x14ac:dyDescent="0.25">
      <c r="O10042" s="42"/>
      <c r="R10042" s="42"/>
      <c r="AC10042" s="42"/>
    </row>
    <row r="10043" spans="15:29" x14ac:dyDescent="0.25">
      <c r="O10043" s="42"/>
      <c r="R10043" s="42"/>
      <c r="AC10043" s="42"/>
    </row>
    <row r="10044" spans="15:29" x14ac:dyDescent="0.25">
      <c r="O10044" s="42"/>
      <c r="R10044" s="42"/>
      <c r="AC10044" s="42"/>
    </row>
    <row r="10045" spans="15:29" x14ac:dyDescent="0.25">
      <c r="O10045" s="42"/>
      <c r="R10045" s="42"/>
      <c r="AC10045" s="42"/>
    </row>
    <row r="10046" spans="15:29" x14ac:dyDescent="0.25">
      <c r="O10046" s="42"/>
      <c r="R10046" s="42"/>
      <c r="AC10046" s="42"/>
    </row>
    <row r="10047" spans="15:29" x14ac:dyDescent="0.25">
      <c r="O10047" s="42"/>
      <c r="R10047" s="42"/>
      <c r="AC10047" s="42"/>
    </row>
    <row r="10048" spans="15:29" x14ac:dyDescent="0.25">
      <c r="O10048" s="42"/>
      <c r="R10048" s="42"/>
      <c r="AC10048" s="42"/>
    </row>
    <row r="10049" spans="15:29" x14ac:dyDescent="0.25">
      <c r="O10049" s="42"/>
      <c r="R10049" s="42"/>
      <c r="AC10049" s="42"/>
    </row>
    <row r="10050" spans="15:29" x14ac:dyDescent="0.25">
      <c r="O10050" s="42"/>
      <c r="R10050" s="42"/>
      <c r="AC10050" s="42"/>
    </row>
    <row r="10051" spans="15:29" x14ac:dyDescent="0.25">
      <c r="O10051" s="42"/>
      <c r="R10051" s="42"/>
      <c r="AC10051" s="42"/>
    </row>
    <row r="10052" spans="15:29" x14ac:dyDescent="0.25">
      <c r="O10052" s="42"/>
      <c r="R10052" s="42"/>
      <c r="AC10052" s="42"/>
    </row>
    <row r="10053" spans="15:29" x14ac:dyDescent="0.25">
      <c r="O10053" s="42"/>
      <c r="R10053" s="42"/>
      <c r="AC10053" s="42"/>
    </row>
    <row r="10054" spans="15:29" x14ac:dyDescent="0.25">
      <c r="O10054" s="42"/>
      <c r="R10054" s="42"/>
      <c r="AC10054" s="42"/>
    </row>
    <row r="10055" spans="15:29" x14ac:dyDescent="0.25">
      <c r="O10055" s="42"/>
      <c r="R10055" s="42"/>
      <c r="AC10055" s="42"/>
    </row>
    <row r="10056" spans="15:29" x14ac:dyDescent="0.25">
      <c r="O10056" s="42"/>
      <c r="R10056" s="42"/>
      <c r="AC10056" s="42"/>
    </row>
    <row r="10057" spans="15:29" x14ac:dyDescent="0.25">
      <c r="O10057" s="42"/>
      <c r="R10057" s="42"/>
      <c r="AC10057" s="42"/>
    </row>
    <row r="10058" spans="15:29" x14ac:dyDescent="0.25">
      <c r="O10058" s="42"/>
      <c r="R10058" s="42"/>
      <c r="AC10058" s="42"/>
    </row>
    <row r="10059" spans="15:29" x14ac:dyDescent="0.25">
      <c r="O10059" s="42"/>
      <c r="R10059" s="42"/>
      <c r="AC10059" s="42"/>
    </row>
    <row r="10060" spans="15:29" x14ac:dyDescent="0.25">
      <c r="O10060" s="42"/>
      <c r="R10060" s="42"/>
      <c r="AC10060" s="42"/>
    </row>
    <row r="10061" spans="15:29" x14ac:dyDescent="0.25">
      <c r="O10061" s="42"/>
      <c r="R10061" s="42"/>
      <c r="AC10061" s="42"/>
    </row>
    <row r="10062" spans="15:29" x14ac:dyDescent="0.25">
      <c r="O10062" s="42"/>
      <c r="R10062" s="42"/>
      <c r="AC10062" s="42"/>
    </row>
    <row r="10063" spans="15:29" x14ac:dyDescent="0.25">
      <c r="O10063" s="42"/>
      <c r="R10063" s="42"/>
      <c r="AC10063" s="42"/>
    </row>
    <row r="10064" spans="15:29" x14ac:dyDescent="0.25">
      <c r="O10064" s="42"/>
      <c r="R10064" s="42"/>
      <c r="AC10064" s="42"/>
    </row>
    <row r="10065" spans="15:29" x14ac:dyDescent="0.25">
      <c r="O10065" s="42"/>
      <c r="R10065" s="42"/>
      <c r="AC10065" s="42"/>
    </row>
    <row r="10066" spans="15:29" x14ac:dyDescent="0.25">
      <c r="O10066" s="42"/>
      <c r="R10066" s="42"/>
      <c r="AC10066" s="42"/>
    </row>
    <row r="10067" spans="15:29" x14ac:dyDescent="0.25">
      <c r="O10067" s="42"/>
      <c r="R10067" s="42"/>
      <c r="AC10067" s="42"/>
    </row>
    <row r="10068" spans="15:29" x14ac:dyDescent="0.25">
      <c r="O10068" s="42"/>
      <c r="R10068" s="42"/>
      <c r="AC10068" s="42"/>
    </row>
    <row r="10069" spans="15:29" x14ac:dyDescent="0.25">
      <c r="O10069" s="42"/>
      <c r="R10069" s="42"/>
      <c r="AC10069" s="42"/>
    </row>
    <row r="10070" spans="15:29" x14ac:dyDescent="0.25">
      <c r="O10070" s="42"/>
      <c r="R10070" s="42"/>
      <c r="AC10070" s="42"/>
    </row>
    <row r="10071" spans="15:29" x14ac:dyDescent="0.25">
      <c r="O10071" s="42"/>
      <c r="R10071" s="42"/>
      <c r="AC10071" s="42"/>
    </row>
    <row r="10072" spans="15:29" x14ac:dyDescent="0.25">
      <c r="O10072" s="42"/>
      <c r="R10072" s="42"/>
      <c r="AC10072" s="42"/>
    </row>
    <row r="10073" spans="15:29" x14ac:dyDescent="0.25">
      <c r="O10073" s="42"/>
      <c r="R10073" s="42"/>
      <c r="AC10073" s="42"/>
    </row>
    <row r="10074" spans="15:29" x14ac:dyDescent="0.25">
      <c r="O10074" s="42"/>
      <c r="R10074" s="42"/>
      <c r="AC10074" s="42"/>
    </row>
    <row r="10075" spans="15:29" x14ac:dyDescent="0.25">
      <c r="O10075" s="42"/>
      <c r="R10075" s="42"/>
      <c r="AC10075" s="42"/>
    </row>
    <row r="10076" spans="15:29" x14ac:dyDescent="0.25">
      <c r="O10076" s="42"/>
      <c r="R10076" s="42"/>
      <c r="AC10076" s="42"/>
    </row>
    <row r="10077" spans="15:29" x14ac:dyDescent="0.25">
      <c r="O10077" s="42"/>
      <c r="R10077" s="42"/>
      <c r="AC10077" s="42"/>
    </row>
    <row r="10078" spans="15:29" x14ac:dyDescent="0.25">
      <c r="O10078" s="42"/>
      <c r="R10078" s="42"/>
      <c r="AC10078" s="42"/>
    </row>
    <row r="10079" spans="15:29" x14ac:dyDescent="0.25">
      <c r="O10079" s="42"/>
      <c r="R10079" s="42"/>
      <c r="AC10079" s="42"/>
    </row>
    <row r="10080" spans="15:29" x14ac:dyDescent="0.25">
      <c r="O10080" s="42"/>
      <c r="R10080" s="42"/>
      <c r="AC10080" s="42"/>
    </row>
    <row r="10081" spans="15:29" x14ac:dyDescent="0.25">
      <c r="O10081" s="42"/>
      <c r="R10081" s="42"/>
      <c r="AC10081" s="42"/>
    </row>
    <row r="10082" spans="15:29" x14ac:dyDescent="0.25">
      <c r="O10082" s="42"/>
      <c r="R10082" s="42"/>
      <c r="AC10082" s="42"/>
    </row>
    <row r="10083" spans="15:29" x14ac:dyDescent="0.25">
      <c r="O10083" s="42"/>
      <c r="R10083" s="42"/>
      <c r="AC10083" s="42"/>
    </row>
    <row r="10084" spans="15:29" x14ac:dyDescent="0.25">
      <c r="O10084" s="42"/>
      <c r="R10084" s="42"/>
      <c r="AC10084" s="42"/>
    </row>
    <row r="10085" spans="15:29" x14ac:dyDescent="0.25">
      <c r="O10085" s="42"/>
      <c r="R10085" s="42"/>
      <c r="AC10085" s="42"/>
    </row>
    <row r="10086" spans="15:29" x14ac:dyDescent="0.25">
      <c r="O10086" s="42"/>
      <c r="R10086" s="42"/>
      <c r="AC10086" s="42"/>
    </row>
    <row r="10087" spans="15:29" x14ac:dyDescent="0.25">
      <c r="O10087" s="42"/>
      <c r="R10087" s="42"/>
      <c r="AC10087" s="42"/>
    </row>
    <row r="10088" spans="15:29" x14ac:dyDescent="0.25">
      <c r="O10088" s="42"/>
      <c r="R10088" s="42"/>
      <c r="AC10088" s="42"/>
    </row>
    <row r="10089" spans="15:29" x14ac:dyDescent="0.25">
      <c r="O10089" s="42"/>
      <c r="R10089" s="42"/>
      <c r="AC10089" s="42"/>
    </row>
    <row r="10090" spans="15:29" x14ac:dyDescent="0.25">
      <c r="O10090" s="42"/>
      <c r="R10090" s="42"/>
      <c r="AC10090" s="42"/>
    </row>
    <row r="10091" spans="15:29" x14ac:dyDescent="0.25">
      <c r="O10091" s="42"/>
      <c r="R10091" s="42"/>
      <c r="AC10091" s="42"/>
    </row>
    <row r="10092" spans="15:29" x14ac:dyDescent="0.25">
      <c r="O10092" s="42"/>
      <c r="R10092" s="42"/>
      <c r="AC10092" s="42"/>
    </row>
    <row r="10093" spans="15:29" x14ac:dyDescent="0.25">
      <c r="O10093" s="42"/>
      <c r="R10093" s="42"/>
      <c r="AC10093" s="42"/>
    </row>
    <row r="10094" spans="15:29" x14ac:dyDescent="0.25">
      <c r="O10094" s="42"/>
      <c r="R10094" s="42"/>
      <c r="AC10094" s="42"/>
    </row>
    <row r="10095" spans="15:29" x14ac:dyDescent="0.25">
      <c r="O10095" s="42"/>
      <c r="R10095" s="42"/>
      <c r="AC10095" s="42"/>
    </row>
    <row r="10096" spans="15:29" x14ac:dyDescent="0.25">
      <c r="O10096" s="42"/>
      <c r="R10096" s="42"/>
      <c r="AC10096" s="42"/>
    </row>
    <row r="10097" spans="15:29" x14ac:dyDescent="0.25">
      <c r="O10097" s="42"/>
      <c r="R10097" s="42"/>
      <c r="AC10097" s="42"/>
    </row>
    <row r="10098" spans="15:29" x14ac:dyDescent="0.25">
      <c r="O10098" s="42"/>
      <c r="R10098" s="42"/>
      <c r="AC10098" s="42"/>
    </row>
    <row r="10099" spans="15:29" x14ac:dyDescent="0.25">
      <c r="O10099" s="42"/>
      <c r="R10099" s="42"/>
      <c r="AC10099" s="42"/>
    </row>
    <row r="10100" spans="15:29" x14ac:dyDescent="0.25">
      <c r="O10100" s="42"/>
      <c r="R10100" s="42"/>
      <c r="AC10100" s="42"/>
    </row>
    <row r="10101" spans="15:29" x14ac:dyDescent="0.25">
      <c r="O10101" s="42"/>
      <c r="R10101" s="42"/>
      <c r="AC10101" s="42"/>
    </row>
    <row r="10102" spans="15:29" x14ac:dyDescent="0.25">
      <c r="O10102" s="42"/>
      <c r="R10102" s="42"/>
      <c r="AC10102" s="42"/>
    </row>
    <row r="10103" spans="15:29" x14ac:dyDescent="0.25">
      <c r="O10103" s="42"/>
      <c r="R10103" s="42"/>
      <c r="AC10103" s="42"/>
    </row>
    <row r="10104" spans="15:29" x14ac:dyDescent="0.25">
      <c r="O10104" s="42"/>
      <c r="R10104" s="42"/>
      <c r="AC10104" s="42"/>
    </row>
    <row r="10105" spans="15:29" x14ac:dyDescent="0.25">
      <c r="O10105" s="42"/>
      <c r="R10105" s="42"/>
      <c r="AC10105" s="42"/>
    </row>
    <row r="10106" spans="15:29" x14ac:dyDescent="0.25">
      <c r="O10106" s="42"/>
      <c r="R10106" s="42"/>
      <c r="AC10106" s="42"/>
    </row>
    <row r="10107" spans="15:29" x14ac:dyDescent="0.25">
      <c r="O10107" s="42"/>
      <c r="R10107" s="42"/>
      <c r="AC10107" s="42"/>
    </row>
    <row r="10108" spans="15:29" x14ac:dyDescent="0.25">
      <c r="O10108" s="42"/>
      <c r="R10108" s="42"/>
      <c r="AC10108" s="42"/>
    </row>
    <row r="10109" spans="15:29" x14ac:dyDescent="0.25">
      <c r="O10109" s="42"/>
      <c r="R10109" s="42"/>
      <c r="AC10109" s="42"/>
    </row>
    <row r="10110" spans="15:29" x14ac:dyDescent="0.25">
      <c r="O10110" s="42"/>
      <c r="R10110" s="42"/>
      <c r="AC10110" s="42"/>
    </row>
    <row r="10111" spans="15:29" x14ac:dyDescent="0.25">
      <c r="O10111" s="42"/>
      <c r="R10111" s="42"/>
      <c r="AC10111" s="42"/>
    </row>
    <row r="10112" spans="15:29" x14ac:dyDescent="0.25">
      <c r="O10112" s="42"/>
      <c r="R10112" s="42"/>
      <c r="AC10112" s="42"/>
    </row>
    <row r="10113" spans="15:29" x14ac:dyDescent="0.25">
      <c r="O10113" s="42"/>
      <c r="R10113" s="42"/>
      <c r="AC10113" s="42"/>
    </row>
    <row r="10114" spans="15:29" x14ac:dyDescent="0.25">
      <c r="O10114" s="42"/>
      <c r="R10114" s="42"/>
      <c r="AC10114" s="42"/>
    </row>
    <row r="10115" spans="15:29" x14ac:dyDescent="0.25">
      <c r="O10115" s="42"/>
      <c r="R10115" s="42"/>
      <c r="AC10115" s="42"/>
    </row>
    <row r="10116" spans="15:29" x14ac:dyDescent="0.25">
      <c r="O10116" s="42"/>
      <c r="R10116" s="42"/>
      <c r="AC10116" s="42"/>
    </row>
    <row r="10117" spans="15:29" x14ac:dyDescent="0.25">
      <c r="O10117" s="42"/>
      <c r="R10117" s="42"/>
      <c r="AC10117" s="42"/>
    </row>
    <row r="10118" spans="15:29" x14ac:dyDescent="0.25">
      <c r="O10118" s="42"/>
      <c r="R10118" s="42"/>
      <c r="AC10118" s="42"/>
    </row>
    <row r="10119" spans="15:29" x14ac:dyDescent="0.25">
      <c r="O10119" s="42"/>
      <c r="R10119" s="42"/>
      <c r="AC10119" s="42"/>
    </row>
    <row r="10120" spans="15:29" x14ac:dyDescent="0.25">
      <c r="O10120" s="42"/>
      <c r="R10120" s="42"/>
      <c r="AC10120" s="42"/>
    </row>
    <row r="10121" spans="15:29" x14ac:dyDescent="0.25">
      <c r="O10121" s="42"/>
      <c r="R10121" s="42"/>
      <c r="AC10121" s="42"/>
    </row>
    <row r="10122" spans="15:29" x14ac:dyDescent="0.25">
      <c r="O10122" s="42"/>
      <c r="R10122" s="42"/>
      <c r="AC10122" s="42"/>
    </row>
    <row r="10123" spans="15:29" x14ac:dyDescent="0.25">
      <c r="O10123" s="42"/>
      <c r="R10123" s="42"/>
      <c r="AC10123" s="42"/>
    </row>
    <row r="10124" spans="15:29" x14ac:dyDescent="0.25">
      <c r="O10124" s="42"/>
      <c r="R10124" s="42"/>
      <c r="AC10124" s="42"/>
    </row>
    <row r="10125" spans="15:29" x14ac:dyDescent="0.25">
      <c r="O10125" s="42"/>
      <c r="R10125" s="42"/>
      <c r="AC10125" s="42"/>
    </row>
    <row r="10126" spans="15:29" x14ac:dyDescent="0.25">
      <c r="O10126" s="42"/>
      <c r="R10126" s="42"/>
      <c r="AC10126" s="42"/>
    </row>
    <row r="10127" spans="15:29" x14ac:dyDescent="0.25">
      <c r="O10127" s="42"/>
      <c r="R10127" s="42"/>
      <c r="AC10127" s="42"/>
    </row>
    <row r="10128" spans="15:29" x14ac:dyDescent="0.25">
      <c r="O10128" s="42"/>
      <c r="R10128" s="42"/>
      <c r="AC10128" s="42"/>
    </row>
    <row r="10129" spans="15:29" x14ac:dyDescent="0.25">
      <c r="O10129" s="42"/>
      <c r="R10129" s="42"/>
      <c r="AC10129" s="42"/>
    </row>
    <row r="10130" spans="15:29" x14ac:dyDescent="0.25">
      <c r="O10130" s="42"/>
      <c r="R10130" s="42"/>
      <c r="AC10130" s="42"/>
    </row>
    <row r="10131" spans="15:29" x14ac:dyDescent="0.25">
      <c r="O10131" s="42"/>
      <c r="R10131" s="42"/>
      <c r="AC10131" s="42"/>
    </row>
    <row r="10132" spans="15:29" x14ac:dyDescent="0.25">
      <c r="O10132" s="42"/>
      <c r="R10132" s="42"/>
      <c r="AC10132" s="42"/>
    </row>
    <row r="10133" spans="15:29" x14ac:dyDescent="0.25">
      <c r="O10133" s="42"/>
      <c r="R10133" s="42"/>
      <c r="AC10133" s="42"/>
    </row>
    <row r="10134" spans="15:29" x14ac:dyDescent="0.25">
      <c r="O10134" s="42"/>
      <c r="R10134" s="42"/>
      <c r="AC10134" s="42"/>
    </row>
    <row r="10135" spans="15:29" x14ac:dyDescent="0.25">
      <c r="O10135" s="42"/>
      <c r="R10135" s="42"/>
      <c r="AC10135" s="42"/>
    </row>
    <row r="10136" spans="15:29" x14ac:dyDescent="0.25">
      <c r="O10136" s="42"/>
      <c r="R10136" s="42"/>
      <c r="AC10136" s="42"/>
    </row>
    <row r="10137" spans="15:29" x14ac:dyDescent="0.25">
      <c r="O10137" s="42"/>
      <c r="R10137" s="42"/>
      <c r="AC10137" s="42"/>
    </row>
    <row r="10138" spans="15:29" x14ac:dyDescent="0.25">
      <c r="O10138" s="42"/>
      <c r="R10138" s="42"/>
      <c r="AC10138" s="42"/>
    </row>
    <row r="10139" spans="15:29" x14ac:dyDescent="0.25">
      <c r="O10139" s="42"/>
      <c r="R10139" s="42"/>
      <c r="AC10139" s="42"/>
    </row>
    <row r="10140" spans="15:29" x14ac:dyDescent="0.25">
      <c r="O10140" s="42"/>
      <c r="R10140" s="42"/>
      <c r="AC10140" s="42"/>
    </row>
    <row r="10141" spans="15:29" x14ac:dyDescent="0.25">
      <c r="O10141" s="42"/>
      <c r="R10141" s="42"/>
      <c r="AC10141" s="42"/>
    </row>
    <row r="10142" spans="15:29" x14ac:dyDescent="0.25">
      <c r="O10142" s="42"/>
      <c r="R10142" s="42"/>
      <c r="AC10142" s="42"/>
    </row>
    <row r="10143" spans="15:29" x14ac:dyDescent="0.25">
      <c r="O10143" s="42"/>
      <c r="R10143" s="42"/>
      <c r="AC10143" s="42"/>
    </row>
    <row r="10144" spans="15:29" x14ac:dyDescent="0.25">
      <c r="O10144" s="42"/>
      <c r="R10144" s="42"/>
      <c r="AC10144" s="42"/>
    </row>
    <row r="10145" spans="15:29" x14ac:dyDescent="0.25">
      <c r="O10145" s="42"/>
      <c r="R10145" s="42"/>
      <c r="AC10145" s="42"/>
    </row>
    <row r="10146" spans="15:29" x14ac:dyDescent="0.25">
      <c r="O10146" s="42"/>
      <c r="R10146" s="42"/>
      <c r="AC10146" s="42"/>
    </row>
    <row r="10147" spans="15:29" x14ac:dyDescent="0.25">
      <c r="O10147" s="42"/>
      <c r="R10147" s="42"/>
      <c r="AC10147" s="42"/>
    </row>
    <row r="10148" spans="15:29" x14ac:dyDescent="0.25">
      <c r="O10148" s="42"/>
      <c r="R10148" s="42"/>
      <c r="AC10148" s="42"/>
    </row>
    <row r="10149" spans="15:29" x14ac:dyDescent="0.25">
      <c r="O10149" s="42"/>
      <c r="R10149" s="42"/>
      <c r="AC10149" s="42"/>
    </row>
    <row r="10150" spans="15:29" x14ac:dyDescent="0.25">
      <c r="O10150" s="42"/>
      <c r="R10150" s="42"/>
      <c r="AC10150" s="42"/>
    </row>
    <row r="10151" spans="15:29" x14ac:dyDescent="0.25">
      <c r="O10151" s="42"/>
      <c r="R10151" s="42"/>
      <c r="AC10151" s="42"/>
    </row>
    <row r="10152" spans="15:29" x14ac:dyDescent="0.25">
      <c r="O10152" s="42"/>
      <c r="R10152" s="42"/>
      <c r="AC10152" s="42"/>
    </row>
    <row r="10153" spans="15:29" x14ac:dyDescent="0.25">
      <c r="O10153" s="42"/>
      <c r="R10153" s="42"/>
      <c r="AC10153" s="42"/>
    </row>
    <row r="10154" spans="15:29" x14ac:dyDescent="0.25">
      <c r="O10154" s="42"/>
      <c r="R10154" s="42"/>
      <c r="AC10154" s="42"/>
    </row>
    <row r="10155" spans="15:29" x14ac:dyDescent="0.25">
      <c r="O10155" s="42"/>
      <c r="R10155" s="42"/>
      <c r="AC10155" s="42"/>
    </row>
    <row r="10156" spans="15:29" x14ac:dyDescent="0.25">
      <c r="O10156" s="42"/>
      <c r="R10156" s="42"/>
      <c r="AC10156" s="42"/>
    </row>
    <row r="10157" spans="15:29" x14ac:dyDescent="0.25">
      <c r="O10157" s="42"/>
      <c r="R10157" s="42"/>
      <c r="AC10157" s="42"/>
    </row>
    <row r="10158" spans="15:29" x14ac:dyDescent="0.25">
      <c r="O10158" s="42"/>
      <c r="R10158" s="42"/>
      <c r="AC10158" s="42"/>
    </row>
    <row r="10159" spans="15:29" x14ac:dyDescent="0.25">
      <c r="O10159" s="42"/>
      <c r="R10159" s="42"/>
      <c r="AC10159" s="42"/>
    </row>
    <row r="10160" spans="15:29" x14ac:dyDescent="0.25">
      <c r="O10160" s="42"/>
      <c r="R10160" s="42"/>
      <c r="AC10160" s="42"/>
    </row>
    <row r="10161" spans="15:29" x14ac:dyDescent="0.25">
      <c r="O10161" s="42"/>
      <c r="R10161" s="42"/>
      <c r="AC10161" s="42"/>
    </row>
    <row r="10162" spans="15:29" x14ac:dyDescent="0.25">
      <c r="O10162" s="42"/>
      <c r="R10162" s="42"/>
      <c r="AC10162" s="42"/>
    </row>
    <row r="10163" spans="15:29" x14ac:dyDescent="0.25">
      <c r="O10163" s="42"/>
      <c r="R10163" s="42"/>
      <c r="AC10163" s="42"/>
    </row>
    <row r="10164" spans="15:29" x14ac:dyDescent="0.25">
      <c r="O10164" s="42"/>
      <c r="R10164" s="42"/>
      <c r="AC10164" s="42"/>
    </row>
    <row r="10165" spans="15:29" x14ac:dyDescent="0.25">
      <c r="O10165" s="42"/>
      <c r="R10165" s="42"/>
      <c r="AC10165" s="42"/>
    </row>
    <row r="10166" spans="15:29" x14ac:dyDescent="0.25">
      <c r="O10166" s="42"/>
      <c r="R10166" s="42"/>
      <c r="AC10166" s="42"/>
    </row>
    <row r="10167" spans="15:29" x14ac:dyDescent="0.25">
      <c r="O10167" s="42"/>
      <c r="R10167" s="42"/>
      <c r="AC10167" s="42"/>
    </row>
    <row r="10168" spans="15:29" x14ac:dyDescent="0.25">
      <c r="O10168" s="42"/>
      <c r="R10168" s="42"/>
      <c r="AC10168" s="42"/>
    </row>
    <row r="10169" spans="15:29" x14ac:dyDescent="0.25">
      <c r="O10169" s="42"/>
      <c r="R10169" s="42"/>
      <c r="AC10169" s="42"/>
    </row>
    <row r="10170" spans="15:29" x14ac:dyDescent="0.25">
      <c r="O10170" s="42"/>
      <c r="R10170" s="42"/>
      <c r="AC10170" s="42"/>
    </row>
    <row r="10171" spans="15:29" x14ac:dyDescent="0.25">
      <c r="O10171" s="42"/>
      <c r="R10171" s="42"/>
      <c r="AC10171" s="42"/>
    </row>
    <row r="10172" spans="15:29" x14ac:dyDescent="0.25">
      <c r="O10172" s="42"/>
      <c r="R10172" s="42"/>
      <c r="AC10172" s="42"/>
    </row>
    <row r="10173" spans="15:29" x14ac:dyDescent="0.25">
      <c r="O10173" s="42"/>
      <c r="R10173" s="42"/>
      <c r="AC10173" s="42"/>
    </row>
    <row r="10174" spans="15:29" x14ac:dyDescent="0.25">
      <c r="O10174" s="42"/>
      <c r="R10174" s="42"/>
      <c r="AC10174" s="42"/>
    </row>
    <row r="10175" spans="15:29" x14ac:dyDescent="0.25">
      <c r="O10175" s="42"/>
      <c r="R10175" s="42"/>
      <c r="AC10175" s="42"/>
    </row>
    <row r="10176" spans="15:29" x14ac:dyDescent="0.25">
      <c r="O10176" s="42"/>
      <c r="R10176" s="42"/>
      <c r="AC10176" s="42"/>
    </row>
    <row r="10177" spans="15:29" x14ac:dyDescent="0.25">
      <c r="O10177" s="42"/>
      <c r="R10177" s="42"/>
      <c r="AC10177" s="42"/>
    </row>
    <row r="10178" spans="15:29" x14ac:dyDescent="0.25">
      <c r="O10178" s="42"/>
      <c r="R10178" s="42"/>
      <c r="AC10178" s="42"/>
    </row>
    <row r="10179" spans="15:29" x14ac:dyDescent="0.25">
      <c r="O10179" s="42"/>
      <c r="R10179" s="42"/>
      <c r="AC10179" s="42"/>
    </row>
    <row r="10180" spans="15:29" x14ac:dyDescent="0.25">
      <c r="O10180" s="42"/>
      <c r="R10180" s="42"/>
      <c r="AC10180" s="42"/>
    </row>
    <row r="10181" spans="15:29" x14ac:dyDescent="0.25">
      <c r="O10181" s="42"/>
      <c r="R10181" s="42"/>
      <c r="AC10181" s="42"/>
    </row>
    <row r="10182" spans="15:29" x14ac:dyDescent="0.25">
      <c r="O10182" s="42"/>
      <c r="R10182" s="42"/>
      <c r="AC10182" s="42"/>
    </row>
    <row r="10183" spans="15:29" x14ac:dyDescent="0.25">
      <c r="O10183" s="42"/>
      <c r="R10183" s="42"/>
      <c r="AC10183" s="42"/>
    </row>
    <row r="10184" spans="15:29" x14ac:dyDescent="0.25">
      <c r="O10184" s="42"/>
      <c r="R10184" s="42"/>
      <c r="AC10184" s="42"/>
    </row>
    <row r="10185" spans="15:29" x14ac:dyDescent="0.25">
      <c r="O10185" s="42"/>
      <c r="R10185" s="42"/>
      <c r="AC10185" s="42"/>
    </row>
    <row r="10186" spans="15:29" x14ac:dyDescent="0.25">
      <c r="O10186" s="42"/>
      <c r="R10186" s="42"/>
      <c r="AC10186" s="42"/>
    </row>
    <row r="10187" spans="15:29" x14ac:dyDescent="0.25">
      <c r="O10187" s="42"/>
      <c r="R10187" s="42"/>
      <c r="AC10187" s="42"/>
    </row>
    <row r="10188" spans="15:29" x14ac:dyDescent="0.25">
      <c r="O10188" s="42"/>
      <c r="R10188" s="42"/>
      <c r="AC10188" s="42"/>
    </row>
    <row r="10189" spans="15:29" x14ac:dyDescent="0.25">
      <c r="O10189" s="42"/>
      <c r="R10189" s="42"/>
      <c r="AC10189" s="42"/>
    </row>
    <row r="10190" spans="15:29" x14ac:dyDescent="0.25">
      <c r="O10190" s="42"/>
      <c r="R10190" s="42"/>
      <c r="AC10190" s="42"/>
    </row>
    <row r="10191" spans="15:29" x14ac:dyDescent="0.25">
      <c r="O10191" s="42"/>
      <c r="R10191" s="42"/>
      <c r="AC10191" s="42"/>
    </row>
    <row r="10192" spans="15:29" x14ac:dyDescent="0.25">
      <c r="O10192" s="42"/>
      <c r="R10192" s="42"/>
      <c r="AC10192" s="42"/>
    </row>
    <row r="10193" spans="15:29" x14ac:dyDescent="0.25">
      <c r="O10193" s="42"/>
      <c r="R10193" s="42"/>
      <c r="AC10193" s="42"/>
    </row>
    <row r="10194" spans="15:29" x14ac:dyDescent="0.25">
      <c r="O10194" s="42"/>
      <c r="R10194" s="42"/>
      <c r="AC10194" s="42"/>
    </row>
    <row r="10195" spans="15:29" x14ac:dyDescent="0.25">
      <c r="O10195" s="42"/>
      <c r="R10195" s="42"/>
      <c r="AC10195" s="42"/>
    </row>
    <row r="10196" spans="15:29" x14ac:dyDescent="0.25">
      <c r="O10196" s="42"/>
      <c r="R10196" s="42"/>
      <c r="AC10196" s="42"/>
    </row>
    <row r="10197" spans="15:29" x14ac:dyDescent="0.25">
      <c r="O10197" s="42"/>
      <c r="R10197" s="42"/>
      <c r="AC10197" s="42"/>
    </row>
    <row r="10198" spans="15:29" x14ac:dyDescent="0.25">
      <c r="O10198" s="42"/>
      <c r="R10198" s="42"/>
      <c r="AC10198" s="42"/>
    </row>
    <row r="10199" spans="15:29" x14ac:dyDescent="0.25">
      <c r="O10199" s="42"/>
      <c r="R10199" s="42"/>
      <c r="AC10199" s="42"/>
    </row>
    <row r="10200" spans="15:29" x14ac:dyDescent="0.25">
      <c r="O10200" s="42"/>
      <c r="R10200" s="42"/>
      <c r="AC10200" s="42"/>
    </row>
    <row r="10201" spans="15:29" x14ac:dyDescent="0.25">
      <c r="O10201" s="42"/>
      <c r="R10201" s="42"/>
      <c r="AC10201" s="42"/>
    </row>
    <row r="10202" spans="15:29" x14ac:dyDescent="0.25">
      <c r="O10202" s="42"/>
      <c r="R10202" s="42"/>
      <c r="AC10202" s="42"/>
    </row>
    <row r="10203" spans="15:29" x14ac:dyDescent="0.25">
      <c r="O10203" s="42"/>
      <c r="R10203" s="42"/>
      <c r="AC10203" s="42"/>
    </row>
    <row r="10204" spans="15:29" x14ac:dyDescent="0.25">
      <c r="O10204" s="42"/>
      <c r="R10204" s="42"/>
      <c r="AC10204" s="42"/>
    </row>
    <row r="10205" spans="15:29" x14ac:dyDescent="0.25">
      <c r="O10205" s="42"/>
      <c r="R10205" s="42"/>
      <c r="AC10205" s="42"/>
    </row>
    <row r="10206" spans="15:29" x14ac:dyDescent="0.25">
      <c r="O10206" s="42"/>
      <c r="R10206" s="42"/>
      <c r="AC10206" s="42"/>
    </row>
    <row r="10207" spans="15:29" x14ac:dyDescent="0.25">
      <c r="O10207" s="42"/>
      <c r="R10207" s="42"/>
      <c r="AC10207" s="42"/>
    </row>
    <row r="10208" spans="15:29" x14ac:dyDescent="0.25">
      <c r="O10208" s="42"/>
      <c r="R10208" s="42"/>
      <c r="AC10208" s="42"/>
    </row>
    <row r="10209" spans="15:29" x14ac:dyDescent="0.25">
      <c r="O10209" s="42"/>
      <c r="R10209" s="42"/>
      <c r="AC10209" s="42"/>
    </row>
    <row r="10210" spans="15:29" x14ac:dyDescent="0.25">
      <c r="O10210" s="42"/>
      <c r="R10210" s="42"/>
      <c r="AC10210" s="42"/>
    </row>
    <row r="10211" spans="15:29" x14ac:dyDescent="0.25">
      <c r="O10211" s="42"/>
      <c r="R10211" s="42"/>
      <c r="AC10211" s="42"/>
    </row>
    <row r="10212" spans="15:29" x14ac:dyDescent="0.25">
      <c r="O10212" s="42"/>
      <c r="R10212" s="42"/>
      <c r="AC10212" s="42"/>
    </row>
    <row r="10213" spans="15:29" x14ac:dyDescent="0.25">
      <c r="O10213" s="42"/>
      <c r="R10213" s="42"/>
      <c r="AC10213" s="42"/>
    </row>
    <row r="10214" spans="15:29" x14ac:dyDescent="0.25">
      <c r="O10214" s="42"/>
      <c r="R10214" s="42"/>
      <c r="AC10214" s="42"/>
    </row>
    <row r="10215" spans="15:29" x14ac:dyDescent="0.25">
      <c r="O10215" s="42"/>
      <c r="R10215" s="42"/>
      <c r="AC10215" s="42"/>
    </row>
    <row r="10216" spans="15:29" x14ac:dyDescent="0.25">
      <c r="O10216" s="42"/>
      <c r="R10216" s="42"/>
      <c r="AC10216" s="42"/>
    </row>
    <row r="10217" spans="15:29" x14ac:dyDescent="0.25">
      <c r="O10217" s="42"/>
      <c r="R10217" s="42"/>
      <c r="AC10217" s="42"/>
    </row>
    <row r="10218" spans="15:29" x14ac:dyDescent="0.25">
      <c r="O10218" s="42"/>
      <c r="R10218" s="42"/>
      <c r="AC10218" s="42"/>
    </row>
    <row r="10219" spans="15:29" x14ac:dyDescent="0.25">
      <c r="O10219" s="42"/>
      <c r="R10219" s="42"/>
      <c r="AC10219" s="42"/>
    </row>
    <row r="10220" spans="15:29" x14ac:dyDescent="0.25">
      <c r="O10220" s="42"/>
      <c r="R10220" s="42"/>
      <c r="AC10220" s="42"/>
    </row>
    <row r="10221" spans="15:29" x14ac:dyDescent="0.25">
      <c r="O10221" s="42"/>
      <c r="R10221" s="42"/>
      <c r="AC10221" s="42"/>
    </row>
    <row r="10222" spans="15:29" x14ac:dyDescent="0.25">
      <c r="O10222" s="42"/>
      <c r="R10222" s="42"/>
      <c r="AC10222" s="42"/>
    </row>
    <row r="10223" spans="15:29" x14ac:dyDescent="0.25">
      <c r="O10223" s="42"/>
      <c r="R10223" s="42"/>
      <c r="AC10223" s="42"/>
    </row>
    <row r="10224" spans="15:29" x14ac:dyDescent="0.25">
      <c r="O10224" s="42"/>
      <c r="R10224" s="42"/>
      <c r="AC10224" s="42"/>
    </row>
    <row r="10225" spans="15:29" x14ac:dyDescent="0.25">
      <c r="O10225" s="42"/>
      <c r="R10225" s="42"/>
      <c r="AC10225" s="42"/>
    </row>
    <row r="10226" spans="15:29" x14ac:dyDescent="0.25">
      <c r="O10226" s="42"/>
      <c r="R10226" s="42"/>
      <c r="AC10226" s="42"/>
    </row>
    <row r="10227" spans="15:29" x14ac:dyDescent="0.25">
      <c r="O10227" s="42"/>
      <c r="R10227" s="42"/>
      <c r="AC10227" s="42"/>
    </row>
    <row r="10228" spans="15:29" x14ac:dyDescent="0.25">
      <c r="O10228" s="42"/>
      <c r="R10228" s="42"/>
      <c r="AC10228" s="42"/>
    </row>
    <row r="10229" spans="15:29" x14ac:dyDescent="0.25">
      <c r="O10229" s="42"/>
      <c r="R10229" s="42"/>
      <c r="AC10229" s="42"/>
    </row>
    <row r="10230" spans="15:29" x14ac:dyDescent="0.25">
      <c r="O10230" s="42"/>
      <c r="R10230" s="42"/>
      <c r="AC10230" s="42"/>
    </row>
    <row r="10231" spans="15:29" x14ac:dyDescent="0.25">
      <c r="O10231" s="42"/>
      <c r="R10231" s="42"/>
      <c r="AC10231" s="42"/>
    </row>
    <row r="10232" spans="15:29" x14ac:dyDescent="0.25">
      <c r="O10232" s="42"/>
      <c r="R10232" s="42"/>
      <c r="AC10232" s="42"/>
    </row>
    <row r="10233" spans="15:29" x14ac:dyDescent="0.25">
      <c r="O10233" s="42"/>
      <c r="R10233" s="42"/>
      <c r="AC10233" s="42"/>
    </row>
    <row r="10234" spans="15:29" x14ac:dyDescent="0.25">
      <c r="O10234" s="42"/>
      <c r="R10234" s="42"/>
      <c r="AC10234" s="42"/>
    </row>
    <row r="10235" spans="15:29" x14ac:dyDescent="0.25">
      <c r="O10235" s="42"/>
      <c r="R10235" s="42"/>
      <c r="AC10235" s="42"/>
    </row>
    <row r="10236" spans="15:29" x14ac:dyDescent="0.25">
      <c r="O10236" s="42"/>
      <c r="R10236" s="42"/>
      <c r="AC10236" s="42"/>
    </row>
    <row r="10237" spans="15:29" x14ac:dyDescent="0.25">
      <c r="O10237" s="42"/>
      <c r="R10237" s="42"/>
      <c r="AC10237" s="42"/>
    </row>
    <row r="10238" spans="15:29" x14ac:dyDescent="0.25">
      <c r="O10238" s="42"/>
      <c r="R10238" s="42"/>
      <c r="AC10238" s="42"/>
    </row>
    <row r="10239" spans="15:29" x14ac:dyDescent="0.25">
      <c r="O10239" s="42"/>
      <c r="R10239" s="42"/>
      <c r="AC10239" s="42"/>
    </row>
    <row r="10240" spans="15:29" x14ac:dyDescent="0.25">
      <c r="O10240" s="42"/>
      <c r="R10240" s="42"/>
      <c r="AC10240" s="42"/>
    </row>
    <row r="10241" spans="15:29" x14ac:dyDescent="0.25">
      <c r="O10241" s="42"/>
      <c r="R10241" s="42"/>
      <c r="AC10241" s="42"/>
    </row>
    <row r="10242" spans="15:29" x14ac:dyDescent="0.25">
      <c r="O10242" s="42"/>
      <c r="R10242" s="42"/>
      <c r="AC10242" s="42"/>
    </row>
    <row r="10243" spans="15:29" x14ac:dyDescent="0.25">
      <c r="O10243" s="42"/>
      <c r="R10243" s="42"/>
      <c r="AC10243" s="42"/>
    </row>
    <row r="10244" spans="15:29" x14ac:dyDescent="0.25">
      <c r="O10244" s="42"/>
      <c r="R10244" s="42"/>
      <c r="AC10244" s="42"/>
    </row>
    <row r="10245" spans="15:29" x14ac:dyDescent="0.25">
      <c r="O10245" s="42"/>
      <c r="R10245" s="42"/>
      <c r="AC10245" s="42"/>
    </row>
    <row r="10246" spans="15:29" x14ac:dyDescent="0.25">
      <c r="O10246" s="42"/>
      <c r="R10246" s="42"/>
      <c r="AC10246" s="42"/>
    </row>
    <row r="10247" spans="15:29" x14ac:dyDescent="0.25">
      <c r="O10247" s="42"/>
      <c r="R10247" s="42"/>
      <c r="AC10247" s="42"/>
    </row>
    <row r="10248" spans="15:29" x14ac:dyDescent="0.25">
      <c r="O10248" s="42"/>
      <c r="R10248" s="42"/>
      <c r="AC10248" s="42"/>
    </row>
    <row r="10249" spans="15:29" x14ac:dyDescent="0.25">
      <c r="O10249" s="42"/>
      <c r="R10249" s="42"/>
      <c r="AC10249" s="42"/>
    </row>
    <row r="10250" spans="15:29" x14ac:dyDescent="0.25">
      <c r="O10250" s="42"/>
      <c r="R10250" s="42"/>
      <c r="AC10250" s="42"/>
    </row>
    <row r="10251" spans="15:29" x14ac:dyDescent="0.25">
      <c r="O10251" s="42"/>
      <c r="R10251" s="42"/>
      <c r="AC10251" s="42"/>
    </row>
    <row r="10252" spans="15:29" x14ac:dyDescent="0.25">
      <c r="O10252" s="42"/>
      <c r="R10252" s="42"/>
      <c r="AC10252" s="42"/>
    </row>
    <row r="10253" spans="15:29" x14ac:dyDescent="0.25">
      <c r="O10253" s="42"/>
      <c r="R10253" s="42"/>
      <c r="AC10253" s="42"/>
    </row>
    <row r="10254" spans="15:29" x14ac:dyDescent="0.25">
      <c r="O10254" s="42"/>
      <c r="R10254" s="42"/>
      <c r="AC10254" s="42"/>
    </row>
    <row r="10255" spans="15:29" x14ac:dyDescent="0.25">
      <c r="O10255" s="42"/>
      <c r="R10255" s="42"/>
      <c r="AC10255" s="42"/>
    </row>
    <row r="10256" spans="15:29" x14ac:dyDescent="0.25">
      <c r="O10256" s="42"/>
      <c r="R10256" s="42"/>
      <c r="AC10256" s="42"/>
    </row>
    <row r="10257" spans="15:29" x14ac:dyDescent="0.25">
      <c r="O10257" s="42"/>
      <c r="R10257" s="42"/>
      <c r="AC10257" s="42"/>
    </row>
    <row r="10258" spans="15:29" x14ac:dyDescent="0.25">
      <c r="O10258" s="42"/>
      <c r="R10258" s="42"/>
      <c r="AC10258" s="42"/>
    </row>
    <row r="10259" spans="15:29" x14ac:dyDescent="0.25">
      <c r="O10259" s="42"/>
      <c r="R10259" s="42"/>
      <c r="AC10259" s="42"/>
    </row>
    <row r="10260" spans="15:29" x14ac:dyDescent="0.25">
      <c r="O10260" s="42"/>
      <c r="R10260" s="42"/>
      <c r="AC10260" s="42"/>
    </row>
    <row r="10261" spans="15:29" x14ac:dyDescent="0.25">
      <c r="O10261" s="42"/>
      <c r="R10261" s="42"/>
      <c r="AC10261" s="42"/>
    </row>
    <row r="10262" spans="15:29" x14ac:dyDescent="0.25">
      <c r="O10262" s="42"/>
      <c r="R10262" s="42"/>
      <c r="AC10262" s="42"/>
    </row>
    <row r="10263" spans="15:29" x14ac:dyDescent="0.25">
      <c r="O10263" s="42"/>
      <c r="R10263" s="42"/>
      <c r="AC10263" s="42"/>
    </row>
    <row r="10264" spans="15:29" x14ac:dyDescent="0.25">
      <c r="O10264" s="42"/>
      <c r="R10264" s="42"/>
      <c r="AC10264" s="42"/>
    </row>
    <row r="10265" spans="15:29" x14ac:dyDescent="0.25">
      <c r="O10265" s="42"/>
      <c r="R10265" s="42"/>
      <c r="AC10265" s="42"/>
    </row>
    <row r="10266" spans="15:29" x14ac:dyDescent="0.25">
      <c r="O10266" s="42"/>
      <c r="R10266" s="42"/>
      <c r="AC10266" s="42"/>
    </row>
    <row r="10267" spans="15:29" x14ac:dyDescent="0.25">
      <c r="O10267" s="42"/>
      <c r="R10267" s="42"/>
      <c r="AC10267" s="42"/>
    </row>
    <row r="10268" spans="15:29" x14ac:dyDescent="0.25">
      <c r="O10268" s="42"/>
      <c r="R10268" s="42"/>
      <c r="AC10268" s="42"/>
    </row>
    <row r="10269" spans="15:29" x14ac:dyDescent="0.25">
      <c r="O10269" s="42"/>
      <c r="R10269" s="42"/>
      <c r="AC10269" s="42"/>
    </row>
    <row r="10270" spans="15:29" x14ac:dyDescent="0.25">
      <c r="O10270" s="42"/>
      <c r="R10270" s="42"/>
      <c r="AC10270" s="42"/>
    </row>
    <row r="10271" spans="15:29" x14ac:dyDescent="0.25">
      <c r="O10271" s="42"/>
      <c r="R10271" s="42"/>
      <c r="AC10271" s="42"/>
    </row>
    <row r="10272" spans="15:29" x14ac:dyDescent="0.25">
      <c r="O10272" s="42"/>
      <c r="R10272" s="42"/>
      <c r="AC10272" s="42"/>
    </row>
    <row r="10273" spans="15:29" x14ac:dyDescent="0.25">
      <c r="O10273" s="42"/>
      <c r="R10273" s="42"/>
      <c r="AC10273" s="42"/>
    </row>
    <row r="10274" spans="15:29" x14ac:dyDescent="0.25">
      <c r="O10274" s="42"/>
      <c r="R10274" s="42"/>
      <c r="AC10274" s="42"/>
    </row>
    <row r="10275" spans="15:29" x14ac:dyDescent="0.25">
      <c r="O10275" s="42"/>
      <c r="R10275" s="42"/>
      <c r="AC10275" s="42"/>
    </row>
    <row r="10276" spans="15:29" x14ac:dyDescent="0.25">
      <c r="O10276" s="42"/>
      <c r="R10276" s="42"/>
      <c r="AC10276" s="42"/>
    </row>
    <row r="10277" spans="15:29" x14ac:dyDescent="0.25">
      <c r="O10277" s="42"/>
      <c r="R10277" s="42"/>
      <c r="AC10277" s="42"/>
    </row>
    <row r="10278" spans="15:29" x14ac:dyDescent="0.25">
      <c r="O10278" s="42"/>
      <c r="R10278" s="42"/>
      <c r="AC10278" s="42"/>
    </row>
    <row r="10279" spans="15:29" x14ac:dyDescent="0.25">
      <c r="O10279" s="42"/>
      <c r="R10279" s="42"/>
      <c r="AC10279" s="42"/>
    </row>
    <row r="10280" spans="15:29" x14ac:dyDescent="0.25">
      <c r="O10280" s="42"/>
      <c r="R10280" s="42"/>
      <c r="AC10280" s="42"/>
    </row>
    <row r="10281" spans="15:29" x14ac:dyDescent="0.25">
      <c r="O10281" s="42"/>
      <c r="R10281" s="42"/>
      <c r="AC10281" s="42"/>
    </row>
    <row r="10282" spans="15:29" x14ac:dyDescent="0.25">
      <c r="O10282" s="42"/>
      <c r="R10282" s="42"/>
      <c r="AC10282" s="42"/>
    </row>
    <row r="10283" spans="15:29" x14ac:dyDescent="0.25">
      <c r="O10283" s="42"/>
      <c r="R10283" s="42"/>
      <c r="AC10283" s="42"/>
    </row>
    <row r="10284" spans="15:29" x14ac:dyDescent="0.25">
      <c r="O10284" s="42"/>
      <c r="R10284" s="42"/>
      <c r="AC10284" s="42"/>
    </row>
    <row r="10285" spans="15:29" x14ac:dyDescent="0.25">
      <c r="O10285" s="42"/>
      <c r="R10285" s="42"/>
      <c r="AC10285" s="42"/>
    </row>
    <row r="10286" spans="15:29" x14ac:dyDescent="0.25">
      <c r="O10286" s="42"/>
      <c r="R10286" s="42"/>
      <c r="AC10286" s="42"/>
    </row>
    <row r="10287" spans="15:29" x14ac:dyDescent="0.25">
      <c r="O10287" s="42"/>
      <c r="R10287" s="42"/>
      <c r="AC10287" s="42"/>
    </row>
    <row r="10288" spans="15:29" x14ac:dyDescent="0.25">
      <c r="O10288" s="42"/>
      <c r="R10288" s="42"/>
      <c r="AC10288" s="42"/>
    </row>
    <row r="10289" spans="15:29" x14ac:dyDescent="0.25">
      <c r="O10289" s="42"/>
      <c r="R10289" s="42"/>
      <c r="AC10289" s="42"/>
    </row>
    <row r="10290" spans="15:29" x14ac:dyDescent="0.25">
      <c r="O10290" s="42"/>
      <c r="R10290" s="42"/>
      <c r="AC10290" s="42"/>
    </row>
    <row r="10291" spans="15:29" x14ac:dyDescent="0.25">
      <c r="O10291" s="42"/>
      <c r="R10291" s="42"/>
      <c r="AC10291" s="42"/>
    </row>
    <row r="10292" spans="15:29" x14ac:dyDescent="0.25">
      <c r="O10292" s="42"/>
      <c r="R10292" s="42"/>
      <c r="AC10292" s="42"/>
    </row>
    <row r="10293" spans="15:29" x14ac:dyDescent="0.25">
      <c r="O10293" s="42"/>
      <c r="R10293" s="42"/>
      <c r="AC10293" s="42"/>
    </row>
    <row r="10294" spans="15:29" x14ac:dyDescent="0.25">
      <c r="O10294" s="42"/>
      <c r="R10294" s="42"/>
      <c r="AC10294" s="42"/>
    </row>
    <row r="10295" spans="15:29" x14ac:dyDescent="0.25">
      <c r="O10295" s="42"/>
      <c r="R10295" s="42"/>
      <c r="AC10295" s="42"/>
    </row>
    <row r="10296" spans="15:29" x14ac:dyDescent="0.25">
      <c r="O10296" s="42"/>
      <c r="R10296" s="42"/>
      <c r="AC10296" s="42"/>
    </row>
    <row r="10297" spans="15:29" x14ac:dyDescent="0.25">
      <c r="O10297" s="42"/>
      <c r="R10297" s="42"/>
      <c r="AC10297" s="42"/>
    </row>
    <row r="10298" spans="15:29" x14ac:dyDescent="0.25">
      <c r="O10298" s="42"/>
      <c r="R10298" s="42"/>
      <c r="AC10298" s="42"/>
    </row>
    <row r="10299" spans="15:29" x14ac:dyDescent="0.25">
      <c r="O10299" s="42"/>
      <c r="R10299" s="42"/>
      <c r="AC10299" s="42"/>
    </row>
    <row r="10300" spans="15:29" x14ac:dyDescent="0.25">
      <c r="O10300" s="42"/>
      <c r="R10300" s="42"/>
      <c r="AC10300" s="42"/>
    </row>
    <row r="10301" spans="15:29" x14ac:dyDescent="0.25">
      <c r="O10301" s="42"/>
      <c r="R10301" s="42"/>
      <c r="AC10301" s="42"/>
    </row>
    <row r="10302" spans="15:29" x14ac:dyDescent="0.25">
      <c r="O10302" s="42"/>
      <c r="R10302" s="42"/>
      <c r="AC10302" s="42"/>
    </row>
    <row r="10303" spans="15:29" x14ac:dyDescent="0.25">
      <c r="O10303" s="42"/>
      <c r="R10303" s="42"/>
      <c r="AC10303" s="42"/>
    </row>
    <row r="10304" spans="15:29" x14ac:dyDescent="0.25">
      <c r="O10304" s="42"/>
      <c r="R10304" s="42"/>
      <c r="AC10304" s="42"/>
    </row>
    <row r="10305" spans="15:29" x14ac:dyDescent="0.25">
      <c r="O10305" s="42"/>
      <c r="R10305" s="42"/>
      <c r="AC10305" s="42"/>
    </row>
    <row r="10306" spans="15:29" x14ac:dyDescent="0.25">
      <c r="O10306" s="42"/>
      <c r="R10306" s="42"/>
      <c r="AC10306" s="42"/>
    </row>
    <row r="10307" spans="15:29" x14ac:dyDescent="0.25">
      <c r="O10307" s="42"/>
      <c r="R10307" s="42"/>
      <c r="AC10307" s="42"/>
    </row>
    <row r="10308" spans="15:29" x14ac:dyDescent="0.25">
      <c r="O10308" s="42"/>
      <c r="R10308" s="42"/>
      <c r="AC10308" s="42"/>
    </row>
    <row r="10309" spans="15:29" x14ac:dyDescent="0.25">
      <c r="O10309" s="42"/>
      <c r="R10309" s="42"/>
      <c r="AC10309" s="42"/>
    </row>
    <row r="10310" spans="15:29" x14ac:dyDescent="0.25">
      <c r="O10310" s="42"/>
      <c r="R10310" s="42"/>
      <c r="AC10310" s="42"/>
    </row>
    <row r="10311" spans="15:29" x14ac:dyDescent="0.25">
      <c r="O10311" s="42"/>
      <c r="R10311" s="42"/>
      <c r="AC10311" s="42"/>
    </row>
    <row r="10312" spans="15:29" x14ac:dyDescent="0.25">
      <c r="O10312" s="42"/>
      <c r="R10312" s="42"/>
      <c r="AC10312" s="42"/>
    </row>
    <row r="10313" spans="15:29" x14ac:dyDescent="0.25">
      <c r="O10313" s="42"/>
      <c r="R10313" s="42"/>
      <c r="AC10313" s="42"/>
    </row>
    <row r="10314" spans="15:29" x14ac:dyDescent="0.25">
      <c r="O10314" s="42"/>
      <c r="R10314" s="42"/>
      <c r="AC10314" s="42"/>
    </row>
    <row r="10315" spans="15:29" x14ac:dyDescent="0.25">
      <c r="O10315" s="42"/>
      <c r="R10315" s="42"/>
      <c r="AC10315" s="42"/>
    </row>
    <row r="10316" spans="15:29" x14ac:dyDescent="0.25">
      <c r="O10316" s="42"/>
      <c r="R10316" s="42"/>
      <c r="AC10316" s="42"/>
    </row>
    <row r="10317" spans="15:29" x14ac:dyDescent="0.25">
      <c r="O10317" s="42"/>
      <c r="R10317" s="42"/>
      <c r="AC10317" s="42"/>
    </row>
    <row r="10318" spans="15:29" x14ac:dyDescent="0.25">
      <c r="O10318" s="42"/>
      <c r="R10318" s="42"/>
      <c r="AC10318" s="42"/>
    </row>
    <row r="10319" spans="15:29" x14ac:dyDescent="0.25">
      <c r="O10319" s="42"/>
      <c r="R10319" s="42"/>
      <c r="AC10319" s="42"/>
    </row>
    <row r="10320" spans="15:29" x14ac:dyDescent="0.25">
      <c r="O10320" s="42"/>
      <c r="R10320" s="42"/>
      <c r="AC10320" s="42"/>
    </row>
    <row r="10321" spans="15:29" x14ac:dyDescent="0.25">
      <c r="O10321" s="42"/>
      <c r="R10321" s="42"/>
      <c r="AC10321" s="42"/>
    </row>
    <row r="10322" spans="15:29" x14ac:dyDescent="0.25">
      <c r="O10322" s="42"/>
      <c r="R10322" s="42"/>
      <c r="AC10322" s="42"/>
    </row>
    <row r="10323" spans="15:29" x14ac:dyDescent="0.25">
      <c r="O10323" s="42"/>
      <c r="R10323" s="42"/>
      <c r="AC10323" s="42"/>
    </row>
    <row r="10324" spans="15:29" x14ac:dyDescent="0.25">
      <c r="O10324" s="42"/>
      <c r="R10324" s="42"/>
      <c r="AC10324" s="42"/>
    </row>
    <row r="10325" spans="15:29" x14ac:dyDescent="0.25">
      <c r="O10325" s="42"/>
      <c r="R10325" s="42"/>
      <c r="AC10325" s="42"/>
    </row>
    <row r="10326" spans="15:29" x14ac:dyDescent="0.25">
      <c r="O10326" s="42"/>
      <c r="R10326" s="42"/>
      <c r="AC10326" s="42"/>
    </row>
    <row r="10327" spans="15:29" x14ac:dyDescent="0.25">
      <c r="O10327" s="42"/>
      <c r="R10327" s="42"/>
      <c r="AC10327" s="42"/>
    </row>
    <row r="10328" spans="15:29" x14ac:dyDescent="0.25">
      <c r="O10328" s="42"/>
      <c r="R10328" s="42"/>
      <c r="AC10328" s="42"/>
    </row>
    <row r="10329" spans="15:29" x14ac:dyDescent="0.25">
      <c r="O10329" s="42"/>
      <c r="R10329" s="42"/>
      <c r="AC10329" s="42"/>
    </row>
    <row r="10330" spans="15:29" x14ac:dyDescent="0.25">
      <c r="O10330" s="42"/>
      <c r="R10330" s="42"/>
      <c r="AC10330" s="42"/>
    </row>
    <row r="10331" spans="15:29" x14ac:dyDescent="0.25">
      <c r="O10331" s="42"/>
      <c r="R10331" s="42"/>
      <c r="AC10331" s="42"/>
    </row>
    <row r="10332" spans="15:29" x14ac:dyDescent="0.25">
      <c r="O10332" s="42"/>
      <c r="R10332" s="42"/>
      <c r="AC10332" s="42"/>
    </row>
    <row r="10333" spans="15:29" x14ac:dyDescent="0.25">
      <c r="O10333" s="42"/>
      <c r="R10333" s="42"/>
      <c r="AC10333" s="42"/>
    </row>
    <row r="10334" spans="15:29" x14ac:dyDescent="0.25">
      <c r="O10334" s="42"/>
      <c r="R10334" s="42"/>
      <c r="AC10334" s="42"/>
    </row>
    <row r="10335" spans="15:29" x14ac:dyDescent="0.25">
      <c r="O10335" s="42"/>
      <c r="R10335" s="42"/>
      <c r="AC10335" s="42"/>
    </row>
    <row r="10336" spans="15:29" x14ac:dyDescent="0.25">
      <c r="O10336" s="42"/>
      <c r="R10336" s="42"/>
      <c r="AC10336" s="42"/>
    </row>
    <row r="10337" spans="15:29" x14ac:dyDescent="0.25">
      <c r="O10337" s="42"/>
      <c r="R10337" s="42"/>
      <c r="AC10337" s="42"/>
    </row>
    <row r="10338" spans="15:29" x14ac:dyDescent="0.25">
      <c r="O10338" s="42"/>
      <c r="R10338" s="42"/>
      <c r="AC10338" s="42"/>
    </row>
    <row r="10339" spans="15:29" x14ac:dyDescent="0.25">
      <c r="O10339" s="42"/>
      <c r="R10339" s="42"/>
      <c r="AC10339" s="42"/>
    </row>
    <row r="10340" spans="15:29" x14ac:dyDescent="0.25">
      <c r="O10340" s="42"/>
      <c r="R10340" s="42"/>
      <c r="AC10340" s="42"/>
    </row>
    <row r="10341" spans="15:29" x14ac:dyDescent="0.25">
      <c r="O10341" s="42"/>
      <c r="R10341" s="42"/>
      <c r="AC10341" s="42"/>
    </row>
    <row r="10342" spans="15:29" x14ac:dyDescent="0.25">
      <c r="O10342" s="42"/>
      <c r="R10342" s="42"/>
      <c r="AC10342" s="42"/>
    </row>
    <row r="10343" spans="15:29" x14ac:dyDescent="0.25">
      <c r="O10343" s="42"/>
      <c r="R10343" s="42"/>
      <c r="AC10343" s="42"/>
    </row>
    <row r="10344" spans="15:29" x14ac:dyDescent="0.25">
      <c r="O10344" s="42"/>
      <c r="R10344" s="42"/>
      <c r="AC10344" s="42"/>
    </row>
    <row r="10345" spans="15:29" x14ac:dyDescent="0.25">
      <c r="O10345" s="42"/>
      <c r="R10345" s="42"/>
      <c r="AC10345" s="42"/>
    </row>
    <row r="10346" spans="15:29" x14ac:dyDescent="0.25">
      <c r="O10346" s="42"/>
      <c r="R10346" s="42"/>
      <c r="AC10346" s="42"/>
    </row>
    <row r="10347" spans="15:29" x14ac:dyDescent="0.25">
      <c r="O10347" s="42"/>
      <c r="R10347" s="42"/>
      <c r="AC10347" s="42"/>
    </row>
    <row r="10348" spans="15:29" x14ac:dyDescent="0.25">
      <c r="O10348" s="42"/>
      <c r="R10348" s="42"/>
      <c r="AC10348" s="42"/>
    </row>
    <row r="10349" spans="15:29" x14ac:dyDescent="0.25">
      <c r="O10349" s="42"/>
      <c r="R10349" s="42"/>
      <c r="AC10349" s="42"/>
    </row>
    <row r="10350" spans="15:29" x14ac:dyDescent="0.25">
      <c r="O10350" s="42"/>
      <c r="R10350" s="42"/>
      <c r="AC10350" s="42"/>
    </row>
    <row r="10351" spans="15:29" x14ac:dyDescent="0.25">
      <c r="O10351" s="42"/>
      <c r="R10351" s="42"/>
      <c r="AC10351" s="42"/>
    </row>
    <row r="10352" spans="15:29" x14ac:dyDescent="0.25">
      <c r="O10352" s="42"/>
      <c r="R10352" s="42"/>
      <c r="AC10352" s="42"/>
    </row>
    <row r="10353" spans="15:29" x14ac:dyDescent="0.25">
      <c r="O10353" s="42"/>
      <c r="R10353" s="42"/>
      <c r="AC10353" s="42"/>
    </row>
    <row r="10354" spans="15:29" x14ac:dyDescent="0.25">
      <c r="O10354" s="42"/>
      <c r="R10354" s="42"/>
      <c r="AC10354" s="42"/>
    </row>
    <row r="10355" spans="15:29" x14ac:dyDescent="0.25">
      <c r="O10355" s="42"/>
      <c r="R10355" s="42"/>
      <c r="AC10355" s="42"/>
    </row>
    <row r="10356" spans="15:29" x14ac:dyDescent="0.25">
      <c r="O10356" s="42"/>
      <c r="R10356" s="42"/>
      <c r="AC10356" s="42"/>
    </row>
    <row r="10357" spans="15:29" x14ac:dyDescent="0.25">
      <c r="O10357" s="42"/>
      <c r="R10357" s="42"/>
      <c r="AC10357" s="42"/>
    </row>
    <row r="10358" spans="15:29" x14ac:dyDescent="0.25">
      <c r="O10358" s="42"/>
      <c r="R10358" s="42"/>
      <c r="AC10358" s="42"/>
    </row>
    <row r="10359" spans="15:29" x14ac:dyDescent="0.25">
      <c r="O10359" s="42"/>
      <c r="R10359" s="42"/>
      <c r="AC10359" s="42"/>
    </row>
    <row r="10360" spans="15:29" x14ac:dyDescent="0.25">
      <c r="O10360" s="42"/>
      <c r="R10360" s="42"/>
      <c r="AC10360" s="42"/>
    </row>
    <row r="10361" spans="15:29" x14ac:dyDescent="0.25">
      <c r="O10361" s="42"/>
      <c r="R10361" s="42"/>
      <c r="AC10361" s="42"/>
    </row>
    <row r="10362" spans="15:29" x14ac:dyDescent="0.25">
      <c r="O10362" s="42"/>
      <c r="R10362" s="42"/>
      <c r="AC10362" s="42"/>
    </row>
    <row r="10363" spans="15:29" x14ac:dyDescent="0.25">
      <c r="O10363" s="42"/>
      <c r="R10363" s="42"/>
      <c r="AC10363" s="42"/>
    </row>
    <row r="10364" spans="15:29" x14ac:dyDescent="0.25">
      <c r="O10364" s="42"/>
      <c r="R10364" s="42"/>
      <c r="AC10364" s="42"/>
    </row>
    <row r="10365" spans="15:29" x14ac:dyDescent="0.25">
      <c r="O10365" s="42"/>
      <c r="R10365" s="42"/>
      <c r="AC10365" s="42"/>
    </row>
    <row r="10366" spans="15:29" x14ac:dyDescent="0.25">
      <c r="O10366" s="42"/>
      <c r="R10366" s="42"/>
      <c r="AC10366" s="42"/>
    </row>
    <row r="10367" spans="15:29" x14ac:dyDescent="0.25">
      <c r="O10367" s="42"/>
      <c r="R10367" s="42"/>
      <c r="AC10367" s="42"/>
    </row>
    <row r="10368" spans="15:29" x14ac:dyDescent="0.25">
      <c r="O10368" s="42"/>
      <c r="R10368" s="42"/>
      <c r="AC10368" s="42"/>
    </row>
    <row r="10369" spans="15:29" x14ac:dyDescent="0.25">
      <c r="O10369" s="42"/>
      <c r="R10369" s="42"/>
      <c r="AC10369" s="42"/>
    </row>
    <row r="10370" spans="15:29" x14ac:dyDescent="0.25">
      <c r="O10370" s="42"/>
      <c r="R10370" s="42"/>
      <c r="AC10370" s="42"/>
    </row>
    <row r="10371" spans="15:29" x14ac:dyDescent="0.25">
      <c r="O10371" s="42"/>
      <c r="R10371" s="42"/>
      <c r="AC10371" s="42"/>
    </row>
    <row r="10372" spans="15:29" x14ac:dyDescent="0.25">
      <c r="O10372" s="42"/>
      <c r="R10372" s="42"/>
      <c r="AC10372" s="42"/>
    </row>
    <row r="10373" spans="15:29" x14ac:dyDescent="0.25">
      <c r="O10373" s="42"/>
      <c r="R10373" s="42"/>
      <c r="AC10373" s="42"/>
    </row>
    <row r="10374" spans="15:29" x14ac:dyDescent="0.25">
      <c r="O10374" s="42"/>
      <c r="R10374" s="42"/>
      <c r="AC10374" s="42"/>
    </row>
    <row r="10375" spans="15:29" x14ac:dyDescent="0.25">
      <c r="O10375" s="42"/>
      <c r="R10375" s="42"/>
      <c r="AC10375" s="42"/>
    </row>
    <row r="10376" spans="15:29" x14ac:dyDescent="0.25">
      <c r="O10376" s="42"/>
      <c r="R10376" s="42"/>
      <c r="AC10376" s="42"/>
    </row>
    <row r="10377" spans="15:29" x14ac:dyDescent="0.25">
      <c r="O10377" s="42"/>
      <c r="R10377" s="42"/>
      <c r="AC10377" s="42"/>
    </row>
    <row r="10378" spans="15:29" x14ac:dyDescent="0.25">
      <c r="O10378" s="42"/>
      <c r="R10378" s="42"/>
      <c r="AC10378" s="42"/>
    </row>
    <row r="10379" spans="15:29" x14ac:dyDescent="0.25">
      <c r="O10379" s="42"/>
      <c r="R10379" s="42"/>
      <c r="AC10379" s="42"/>
    </row>
    <row r="10380" spans="15:29" x14ac:dyDescent="0.25">
      <c r="O10380" s="42"/>
      <c r="R10380" s="42"/>
      <c r="AC10380" s="42"/>
    </row>
    <row r="10381" spans="15:29" x14ac:dyDescent="0.25">
      <c r="O10381" s="42"/>
      <c r="R10381" s="42"/>
      <c r="AC10381" s="42"/>
    </row>
    <row r="10382" spans="15:29" x14ac:dyDescent="0.25">
      <c r="O10382" s="42"/>
      <c r="R10382" s="42"/>
      <c r="AC10382" s="42"/>
    </row>
    <row r="10383" spans="15:29" x14ac:dyDescent="0.25">
      <c r="O10383" s="42"/>
      <c r="R10383" s="42"/>
      <c r="AC10383" s="42"/>
    </row>
    <row r="10384" spans="15:29" x14ac:dyDescent="0.25">
      <c r="O10384" s="42"/>
      <c r="R10384" s="42"/>
      <c r="AC10384" s="42"/>
    </row>
    <row r="10385" spans="15:29" x14ac:dyDescent="0.25">
      <c r="O10385" s="42"/>
      <c r="R10385" s="42"/>
      <c r="AC10385" s="42"/>
    </row>
    <row r="10386" spans="15:29" x14ac:dyDescent="0.25">
      <c r="O10386" s="42"/>
      <c r="R10386" s="42"/>
      <c r="AC10386" s="42"/>
    </row>
    <row r="10387" spans="15:29" x14ac:dyDescent="0.25">
      <c r="O10387" s="42"/>
      <c r="R10387" s="42"/>
      <c r="AC10387" s="42"/>
    </row>
    <row r="10388" spans="15:29" x14ac:dyDescent="0.25">
      <c r="O10388" s="42"/>
      <c r="R10388" s="42"/>
      <c r="AC10388" s="42"/>
    </row>
    <row r="10389" spans="15:29" x14ac:dyDescent="0.25">
      <c r="O10389" s="42"/>
      <c r="R10389" s="42"/>
      <c r="AC10389" s="42"/>
    </row>
    <row r="10390" spans="15:29" x14ac:dyDescent="0.25">
      <c r="O10390" s="42"/>
      <c r="R10390" s="42"/>
      <c r="AC10390" s="42"/>
    </row>
    <row r="10391" spans="15:29" x14ac:dyDescent="0.25">
      <c r="O10391" s="42"/>
      <c r="R10391" s="42"/>
      <c r="AC10391" s="42"/>
    </row>
    <row r="10392" spans="15:29" x14ac:dyDescent="0.25">
      <c r="O10392" s="42"/>
      <c r="R10392" s="42"/>
      <c r="AC10392" s="42"/>
    </row>
    <row r="10393" spans="15:29" x14ac:dyDescent="0.25">
      <c r="O10393" s="42"/>
      <c r="R10393" s="42"/>
      <c r="AC10393" s="42"/>
    </row>
    <row r="10394" spans="15:29" x14ac:dyDescent="0.25">
      <c r="O10394" s="42"/>
      <c r="R10394" s="42"/>
      <c r="AC10394" s="42"/>
    </row>
    <row r="10395" spans="15:29" x14ac:dyDescent="0.25">
      <c r="O10395" s="42"/>
      <c r="R10395" s="42"/>
      <c r="AC10395" s="42"/>
    </row>
    <row r="10396" spans="15:29" x14ac:dyDescent="0.25">
      <c r="O10396" s="42"/>
      <c r="R10396" s="42"/>
      <c r="AC10396" s="42"/>
    </row>
    <row r="10397" spans="15:29" x14ac:dyDescent="0.25">
      <c r="O10397" s="42"/>
      <c r="R10397" s="42"/>
      <c r="AC10397" s="42"/>
    </row>
    <row r="10398" spans="15:29" x14ac:dyDescent="0.25">
      <c r="O10398" s="42"/>
      <c r="R10398" s="42"/>
      <c r="AC10398" s="42"/>
    </row>
    <row r="10399" spans="15:29" x14ac:dyDescent="0.25">
      <c r="O10399" s="42"/>
      <c r="R10399" s="42"/>
      <c r="AC10399" s="42"/>
    </row>
    <row r="10400" spans="15:29" x14ac:dyDescent="0.25">
      <c r="O10400" s="42"/>
      <c r="R10400" s="42"/>
      <c r="AC10400" s="42"/>
    </row>
    <row r="10401" spans="15:29" x14ac:dyDescent="0.25">
      <c r="O10401" s="42"/>
      <c r="R10401" s="42"/>
      <c r="AC10401" s="42"/>
    </row>
    <row r="10402" spans="15:29" x14ac:dyDescent="0.25">
      <c r="O10402" s="42"/>
      <c r="R10402" s="42"/>
      <c r="AC10402" s="42"/>
    </row>
    <row r="10403" spans="15:29" x14ac:dyDescent="0.25">
      <c r="O10403" s="42"/>
      <c r="R10403" s="42"/>
      <c r="AC10403" s="42"/>
    </row>
    <row r="10404" spans="15:29" x14ac:dyDescent="0.25">
      <c r="O10404" s="42"/>
      <c r="R10404" s="42"/>
      <c r="AC10404" s="42"/>
    </row>
    <row r="10405" spans="15:29" x14ac:dyDescent="0.25">
      <c r="O10405" s="42"/>
      <c r="R10405" s="42"/>
      <c r="AC10405" s="42"/>
    </row>
    <row r="10406" spans="15:29" x14ac:dyDescent="0.25">
      <c r="O10406" s="42"/>
      <c r="R10406" s="42"/>
      <c r="AC10406" s="42"/>
    </row>
    <row r="10407" spans="15:29" x14ac:dyDescent="0.25">
      <c r="O10407" s="42"/>
      <c r="R10407" s="42"/>
      <c r="AC10407" s="42"/>
    </row>
    <row r="10408" spans="15:29" x14ac:dyDescent="0.25">
      <c r="O10408" s="42"/>
      <c r="R10408" s="42"/>
      <c r="AC10408" s="42"/>
    </row>
    <row r="10409" spans="15:29" x14ac:dyDescent="0.25">
      <c r="O10409" s="42"/>
      <c r="R10409" s="42"/>
      <c r="AC10409" s="42"/>
    </row>
    <row r="10410" spans="15:29" x14ac:dyDescent="0.25">
      <c r="O10410" s="42"/>
      <c r="R10410" s="42"/>
      <c r="AC10410" s="42"/>
    </row>
    <row r="10411" spans="15:29" x14ac:dyDescent="0.25">
      <c r="O10411" s="42"/>
      <c r="R10411" s="42"/>
      <c r="AC10411" s="42"/>
    </row>
    <row r="10412" spans="15:29" x14ac:dyDescent="0.25">
      <c r="O10412" s="42"/>
      <c r="R10412" s="42"/>
      <c r="AC10412" s="42"/>
    </row>
    <row r="10413" spans="15:29" x14ac:dyDescent="0.25">
      <c r="O10413" s="42"/>
      <c r="R10413" s="42"/>
      <c r="AC10413" s="42"/>
    </row>
    <row r="10414" spans="15:29" x14ac:dyDescent="0.25">
      <c r="O10414" s="42"/>
      <c r="R10414" s="42"/>
      <c r="AC10414" s="42"/>
    </row>
    <row r="10415" spans="15:29" x14ac:dyDescent="0.25">
      <c r="O10415" s="42"/>
      <c r="R10415" s="42"/>
      <c r="AC10415" s="42"/>
    </row>
    <row r="10416" spans="15:29" x14ac:dyDescent="0.25">
      <c r="O10416" s="42"/>
      <c r="R10416" s="42"/>
      <c r="AC10416" s="42"/>
    </row>
    <row r="10417" spans="15:29" x14ac:dyDescent="0.25">
      <c r="O10417" s="42"/>
      <c r="R10417" s="42"/>
      <c r="AC10417" s="42"/>
    </row>
    <row r="10418" spans="15:29" x14ac:dyDescent="0.25">
      <c r="O10418" s="42"/>
      <c r="R10418" s="42"/>
      <c r="AC10418" s="42"/>
    </row>
    <row r="10419" spans="15:29" x14ac:dyDescent="0.25">
      <c r="O10419" s="42"/>
      <c r="R10419" s="42"/>
      <c r="AC10419" s="42"/>
    </row>
    <row r="10420" spans="15:29" x14ac:dyDescent="0.25">
      <c r="O10420" s="42"/>
      <c r="R10420" s="42"/>
      <c r="AC10420" s="42"/>
    </row>
    <row r="10421" spans="15:29" x14ac:dyDescent="0.25">
      <c r="O10421" s="42"/>
      <c r="R10421" s="42"/>
      <c r="AC10421" s="42"/>
    </row>
    <row r="10422" spans="15:29" x14ac:dyDescent="0.25">
      <c r="O10422" s="42"/>
      <c r="R10422" s="42"/>
      <c r="AC10422" s="42"/>
    </row>
    <row r="10423" spans="15:29" x14ac:dyDescent="0.25">
      <c r="O10423" s="42"/>
      <c r="R10423" s="42"/>
      <c r="AC10423" s="42"/>
    </row>
    <row r="10424" spans="15:29" x14ac:dyDescent="0.25">
      <c r="O10424" s="42"/>
      <c r="R10424" s="42"/>
      <c r="AC10424" s="42"/>
    </row>
    <row r="10425" spans="15:29" x14ac:dyDescent="0.25">
      <c r="O10425" s="42"/>
      <c r="R10425" s="42"/>
      <c r="AC10425" s="42"/>
    </row>
    <row r="10426" spans="15:29" x14ac:dyDescent="0.25">
      <c r="O10426" s="42"/>
      <c r="R10426" s="42"/>
      <c r="AC10426" s="42"/>
    </row>
    <row r="10427" spans="15:29" x14ac:dyDescent="0.25">
      <c r="O10427" s="42"/>
      <c r="R10427" s="42"/>
      <c r="AC10427" s="42"/>
    </row>
    <row r="10428" spans="15:29" x14ac:dyDescent="0.25">
      <c r="O10428" s="42"/>
      <c r="R10428" s="42"/>
      <c r="AC10428" s="42"/>
    </row>
    <row r="10429" spans="15:29" x14ac:dyDescent="0.25">
      <c r="O10429" s="42"/>
      <c r="R10429" s="42"/>
      <c r="AC10429" s="42"/>
    </row>
    <row r="10430" spans="15:29" x14ac:dyDescent="0.25">
      <c r="O10430" s="42"/>
      <c r="R10430" s="42"/>
      <c r="AC10430" s="42"/>
    </row>
    <row r="10431" spans="15:29" x14ac:dyDescent="0.25">
      <c r="O10431" s="42"/>
      <c r="R10431" s="42"/>
      <c r="AC10431" s="42"/>
    </row>
    <row r="10432" spans="15:29" x14ac:dyDescent="0.25">
      <c r="O10432" s="42"/>
      <c r="R10432" s="42"/>
      <c r="AC10432" s="42"/>
    </row>
    <row r="10433" spans="15:29" x14ac:dyDescent="0.25">
      <c r="O10433" s="42"/>
      <c r="R10433" s="42"/>
      <c r="AC10433" s="42"/>
    </row>
    <row r="10434" spans="15:29" x14ac:dyDescent="0.25">
      <c r="O10434" s="42"/>
      <c r="R10434" s="42"/>
      <c r="AC10434" s="42"/>
    </row>
    <row r="10435" spans="15:29" x14ac:dyDescent="0.25">
      <c r="O10435" s="42"/>
      <c r="R10435" s="42"/>
      <c r="AC10435" s="42"/>
    </row>
    <row r="10436" spans="15:29" x14ac:dyDescent="0.25">
      <c r="O10436" s="42"/>
      <c r="R10436" s="42"/>
      <c r="AC10436" s="42"/>
    </row>
    <row r="10437" spans="15:29" x14ac:dyDescent="0.25">
      <c r="O10437" s="42"/>
      <c r="R10437" s="42"/>
      <c r="AC10437" s="42"/>
    </row>
    <row r="10438" spans="15:29" x14ac:dyDescent="0.25">
      <c r="O10438" s="42"/>
      <c r="R10438" s="42"/>
      <c r="AC10438" s="42"/>
    </row>
    <row r="10439" spans="15:29" x14ac:dyDescent="0.25">
      <c r="O10439" s="42"/>
      <c r="R10439" s="42"/>
      <c r="AC10439" s="42"/>
    </row>
    <row r="10440" spans="15:29" x14ac:dyDescent="0.25">
      <c r="O10440" s="42"/>
      <c r="R10440" s="42"/>
      <c r="AC10440" s="42"/>
    </row>
    <row r="10441" spans="15:29" x14ac:dyDescent="0.25">
      <c r="O10441" s="42"/>
      <c r="R10441" s="42"/>
      <c r="AC10441" s="42"/>
    </row>
    <row r="10442" spans="15:29" x14ac:dyDescent="0.25">
      <c r="O10442" s="42"/>
      <c r="R10442" s="42"/>
      <c r="AC10442" s="42"/>
    </row>
    <row r="10443" spans="15:29" x14ac:dyDescent="0.25">
      <c r="O10443" s="42"/>
      <c r="R10443" s="42"/>
      <c r="AC10443" s="42"/>
    </row>
    <row r="10444" spans="15:29" x14ac:dyDescent="0.25">
      <c r="O10444" s="42"/>
      <c r="R10444" s="42"/>
      <c r="AC10444" s="42"/>
    </row>
    <row r="10445" spans="15:29" x14ac:dyDescent="0.25">
      <c r="O10445" s="42"/>
      <c r="R10445" s="42"/>
      <c r="AC10445" s="42"/>
    </row>
    <row r="10446" spans="15:29" x14ac:dyDescent="0.25">
      <c r="O10446" s="42"/>
      <c r="R10446" s="42"/>
      <c r="AC10446" s="42"/>
    </row>
    <row r="10447" spans="15:29" x14ac:dyDescent="0.25">
      <c r="O10447" s="42"/>
      <c r="R10447" s="42"/>
      <c r="AC10447" s="42"/>
    </row>
    <row r="10448" spans="15:29" x14ac:dyDescent="0.25">
      <c r="O10448" s="42"/>
      <c r="R10448" s="42"/>
      <c r="AC10448" s="42"/>
    </row>
    <row r="10449" spans="15:29" x14ac:dyDescent="0.25">
      <c r="O10449" s="42"/>
      <c r="R10449" s="42"/>
      <c r="AC10449" s="42"/>
    </row>
    <row r="10450" spans="15:29" x14ac:dyDescent="0.25">
      <c r="O10450" s="42"/>
      <c r="R10450" s="42"/>
      <c r="AC10450" s="42"/>
    </row>
    <row r="10451" spans="15:29" x14ac:dyDescent="0.25">
      <c r="O10451" s="42"/>
      <c r="R10451" s="42"/>
      <c r="AC10451" s="42"/>
    </row>
    <row r="10452" spans="15:29" x14ac:dyDescent="0.25">
      <c r="O10452" s="42"/>
      <c r="R10452" s="42"/>
      <c r="AC10452" s="42"/>
    </row>
    <row r="10453" spans="15:29" x14ac:dyDescent="0.25">
      <c r="O10453" s="42"/>
      <c r="R10453" s="42"/>
      <c r="AC10453" s="42"/>
    </row>
    <row r="10454" spans="15:29" x14ac:dyDescent="0.25">
      <c r="O10454" s="42"/>
      <c r="R10454" s="42"/>
      <c r="AC10454" s="42"/>
    </row>
    <row r="10455" spans="15:29" x14ac:dyDescent="0.25">
      <c r="O10455" s="42"/>
      <c r="R10455" s="42"/>
      <c r="AC10455" s="42"/>
    </row>
    <row r="10456" spans="15:29" x14ac:dyDescent="0.25">
      <c r="O10456" s="42"/>
      <c r="R10456" s="42"/>
      <c r="AC10456" s="42"/>
    </row>
    <row r="10457" spans="15:29" x14ac:dyDescent="0.25">
      <c r="O10457" s="42"/>
      <c r="R10457" s="42"/>
      <c r="AC10457" s="42"/>
    </row>
    <row r="10458" spans="15:29" x14ac:dyDescent="0.25">
      <c r="O10458" s="42"/>
      <c r="R10458" s="42"/>
      <c r="AC10458" s="42"/>
    </row>
    <row r="10459" spans="15:29" x14ac:dyDescent="0.25">
      <c r="O10459" s="42"/>
      <c r="R10459" s="42"/>
      <c r="AC10459" s="42"/>
    </row>
    <row r="10460" spans="15:29" x14ac:dyDescent="0.25">
      <c r="O10460" s="42"/>
      <c r="R10460" s="42"/>
      <c r="AC10460" s="42"/>
    </row>
    <row r="10461" spans="15:29" x14ac:dyDescent="0.25">
      <c r="O10461" s="42"/>
      <c r="R10461" s="42"/>
      <c r="AC10461" s="42"/>
    </row>
    <row r="10462" spans="15:29" x14ac:dyDescent="0.25">
      <c r="O10462" s="42"/>
      <c r="R10462" s="42"/>
      <c r="AC10462" s="42"/>
    </row>
    <row r="10463" spans="15:29" x14ac:dyDescent="0.25">
      <c r="O10463" s="42"/>
      <c r="R10463" s="42"/>
      <c r="AC10463" s="42"/>
    </row>
    <row r="10464" spans="15:29" x14ac:dyDescent="0.25">
      <c r="O10464" s="42"/>
      <c r="R10464" s="42"/>
      <c r="AC10464" s="42"/>
    </row>
    <row r="10465" spans="15:29" x14ac:dyDescent="0.25">
      <c r="O10465" s="42"/>
      <c r="R10465" s="42"/>
      <c r="AC10465" s="42"/>
    </row>
    <row r="10466" spans="15:29" x14ac:dyDescent="0.25">
      <c r="O10466" s="42"/>
      <c r="R10466" s="42"/>
      <c r="AC10466" s="42"/>
    </row>
    <row r="10467" spans="15:29" x14ac:dyDescent="0.25">
      <c r="O10467" s="42"/>
      <c r="R10467" s="42"/>
      <c r="AC10467" s="42"/>
    </row>
    <row r="10468" spans="15:29" x14ac:dyDescent="0.25">
      <c r="O10468" s="42"/>
      <c r="R10468" s="42"/>
      <c r="AC10468" s="42"/>
    </row>
    <row r="10469" spans="15:29" x14ac:dyDescent="0.25">
      <c r="O10469" s="42"/>
      <c r="R10469" s="42"/>
      <c r="AC10469" s="42"/>
    </row>
    <row r="10470" spans="15:29" x14ac:dyDescent="0.25">
      <c r="O10470" s="42"/>
      <c r="R10470" s="42"/>
      <c r="AC10470" s="42"/>
    </row>
    <row r="10471" spans="15:29" x14ac:dyDescent="0.25">
      <c r="O10471" s="42"/>
      <c r="R10471" s="42"/>
      <c r="AC10471" s="42"/>
    </row>
    <row r="10472" spans="15:29" x14ac:dyDescent="0.25">
      <c r="O10472" s="42"/>
      <c r="R10472" s="42"/>
      <c r="AC10472" s="42"/>
    </row>
    <row r="10473" spans="15:29" x14ac:dyDescent="0.25">
      <c r="O10473" s="42"/>
      <c r="R10473" s="42"/>
      <c r="AC10473" s="42"/>
    </row>
    <row r="10474" spans="15:29" x14ac:dyDescent="0.25">
      <c r="O10474" s="42"/>
      <c r="R10474" s="42"/>
      <c r="AC10474" s="42"/>
    </row>
    <row r="10475" spans="15:29" x14ac:dyDescent="0.25">
      <c r="O10475" s="42"/>
      <c r="R10475" s="42"/>
      <c r="AC10475" s="42"/>
    </row>
    <row r="10476" spans="15:29" x14ac:dyDescent="0.25">
      <c r="O10476" s="42"/>
      <c r="R10476" s="42"/>
      <c r="AC10476" s="42"/>
    </row>
    <row r="10477" spans="15:29" x14ac:dyDescent="0.25">
      <c r="O10477" s="42"/>
      <c r="R10477" s="42"/>
      <c r="AC10477" s="42"/>
    </row>
    <row r="10478" spans="15:29" x14ac:dyDescent="0.25">
      <c r="O10478" s="42"/>
      <c r="R10478" s="42"/>
      <c r="AC10478" s="42"/>
    </row>
    <row r="10479" spans="15:29" x14ac:dyDescent="0.25">
      <c r="O10479" s="42"/>
      <c r="R10479" s="42"/>
      <c r="AC10479" s="42"/>
    </row>
    <row r="10480" spans="15:29" x14ac:dyDescent="0.25">
      <c r="O10480" s="42"/>
      <c r="R10480" s="42"/>
      <c r="AC10480" s="42"/>
    </row>
    <row r="10481" spans="15:29" x14ac:dyDescent="0.25">
      <c r="O10481" s="42"/>
      <c r="R10481" s="42"/>
      <c r="AC10481" s="42"/>
    </row>
    <row r="10482" spans="15:29" x14ac:dyDescent="0.25">
      <c r="O10482" s="42"/>
      <c r="R10482" s="42"/>
      <c r="AC10482" s="42"/>
    </row>
    <row r="10483" spans="15:29" x14ac:dyDescent="0.25">
      <c r="O10483" s="42"/>
      <c r="R10483" s="42"/>
      <c r="AC10483" s="42"/>
    </row>
    <row r="10484" spans="15:29" x14ac:dyDescent="0.25">
      <c r="O10484" s="42"/>
      <c r="R10484" s="42"/>
      <c r="AC10484" s="42"/>
    </row>
    <row r="10485" spans="15:29" x14ac:dyDescent="0.25">
      <c r="O10485" s="42"/>
      <c r="R10485" s="42"/>
      <c r="AC10485" s="42"/>
    </row>
    <row r="10486" spans="15:29" x14ac:dyDescent="0.25">
      <c r="O10486" s="42"/>
      <c r="R10486" s="42"/>
      <c r="AC10486" s="42"/>
    </row>
    <row r="10487" spans="15:29" x14ac:dyDescent="0.25">
      <c r="O10487" s="42"/>
      <c r="R10487" s="42"/>
      <c r="AC10487" s="42"/>
    </row>
    <row r="10488" spans="15:29" x14ac:dyDescent="0.25">
      <c r="O10488" s="42"/>
      <c r="R10488" s="42"/>
      <c r="AC10488" s="42"/>
    </row>
    <row r="10489" spans="15:29" x14ac:dyDescent="0.25">
      <c r="O10489" s="42"/>
      <c r="R10489" s="42"/>
      <c r="AC10489" s="42"/>
    </row>
    <row r="10490" spans="15:29" x14ac:dyDescent="0.25">
      <c r="O10490" s="42"/>
      <c r="R10490" s="42"/>
      <c r="AC10490" s="42"/>
    </row>
    <row r="10491" spans="15:29" x14ac:dyDescent="0.25">
      <c r="O10491" s="42"/>
      <c r="R10491" s="42"/>
      <c r="AC10491" s="42"/>
    </row>
    <row r="10492" spans="15:29" x14ac:dyDescent="0.25">
      <c r="O10492" s="42"/>
      <c r="R10492" s="42"/>
      <c r="AC10492" s="42"/>
    </row>
    <row r="10493" spans="15:29" x14ac:dyDescent="0.25">
      <c r="O10493" s="42"/>
      <c r="R10493" s="42"/>
      <c r="AC10493" s="42"/>
    </row>
    <row r="10494" spans="15:29" x14ac:dyDescent="0.25">
      <c r="O10494" s="42"/>
      <c r="R10494" s="42"/>
      <c r="AC10494" s="42"/>
    </row>
    <row r="10495" spans="15:29" x14ac:dyDescent="0.25">
      <c r="O10495" s="42"/>
      <c r="R10495" s="42"/>
      <c r="AC10495" s="42"/>
    </row>
    <row r="10496" spans="15:29" x14ac:dyDescent="0.25">
      <c r="O10496" s="42"/>
      <c r="R10496" s="42"/>
      <c r="AC10496" s="42"/>
    </row>
    <row r="10497" spans="15:29" x14ac:dyDescent="0.25">
      <c r="O10497" s="42"/>
      <c r="R10497" s="42"/>
      <c r="AC10497" s="42"/>
    </row>
    <row r="10498" spans="15:29" x14ac:dyDescent="0.25">
      <c r="O10498" s="42"/>
      <c r="R10498" s="42"/>
      <c r="AC10498" s="42"/>
    </row>
    <row r="10499" spans="15:29" x14ac:dyDescent="0.25">
      <c r="O10499" s="42"/>
      <c r="R10499" s="42"/>
      <c r="AC10499" s="42"/>
    </row>
    <row r="10500" spans="15:29" x14ac:dyDescent="0.25">
      <c r="O10500" s="42"/>
      <c r="R10500" s="42"/>
      <c r="AC10500" s="42"/>
    </row>
    <row r="10501" spans="15:29" x14ac:dyDescent="0.25">
      <c r="O10501" s="42"/>
      <c r="R10501" s="42"/>
      <c r="AC10501" s="42"/>
    </row>
    <row r="10502" spans="15:29" x14ac:dyDescent="0.25">
      <c r="O10502" s="42"/>
      <c r="R10502" s="42"/>
      <c r="AC10502" s="42"/>
    </row>
    <row r="10503" spans="15:29" x14ac:dyDescent="0.25">
      <c r="O10503" s="42"/>
      <c r="R10503" s="42"/>
      <c r="AC10503" s="42"/>
    </row>
    <row r="10504" spans="15:29" x14ac:dyDescent="0.25">
      <c r="O10504" s="42"/>
      <c r="R10504" s="42"/>
      <c r="AC10504" s="42"/>
    </row>
    <row r="10505" spans="15:29" x14ac:dyDescent="0.25">
      <c r="O10505" s="42"/>
      <c r="R10505" s="42"/>
      <c r="AC10505" s="42"/>
    </row>
    <row r="10506" spans="15:29" x14ac:dyDescent="0.25">
      <c r="O10506" s="42"/>
      <c r="R10506" s="42"/>
      <c r="AC10506" s="42"/>
    </row>
    <row r="10507" spans="15:29" x14ac:dyDescent="0.25">
      <c r="O10507" s="42"/>
      <c r="R10507" s="42"/>
      <c r="AC10507" s="42"/>
    </row>
    <row r="10508" spans="15:29" x14ac:dyDescent="0.25">
      <c r="O10508" s="42"/>
      <c r="R10508" s="42"/>
      <c r="AC10508" s="42"/>
    </row>
    <row r="10509" spans="15:29" x14ac:dyDescent="0.25">
      <c r="O10509" s="42"/>
      <c r="R10509" s="42"/>
      <c r="AC10509" s="42"/>
    </row>
    <row r="10510" spans="15:29" x14ac:dyDescent="0.25">
      <c r="O10510" s="42"/>
      <c r="R10510" s="42"/>
      <c r="AC10510" s="42"/>
    </row>
    <row r="10511" spans="15:29" x14ac:dyDescent="0.25">
      <c r="O10511" s="42"/>
      <c r="R10511" s="42"/>
      <c r="AC10511" s="42"/>
    </row>
    <row r="10512" spans="15:29" x14ac:dyDescent="0.25">
      <c r="O10512" s="42"/>
      <c r="R10512" s="42"/>
      <c r="AC10512" s="42"/>
    </row>
    <row r="10513" spans="15:29" x14ac:dyDescent="0.25">
      <c r="O10513" s="42"/>
      <c r="R10513" s="42"/>
      <c r="AC10513" s="42"/>
    </row>
    <row r="10514" spans="15:29" x14ac:dyDescent="0.25">
      <c r="O10514" s="42"/>
      <c r="R10514" s="42"/>
      <c r="AC10514" s="42"/>
    </row>
    <row r="10515" spans="15:29" x14ac:dyDescent="0.25">
      <c r="O10515" s="42"/>
      <c r="R10515" s="42"/>
      <c r="AC10515" s="42"/>
    </row>
    <row r="10516" spans="15:29" x14ac:dyDescent="0.25">
      <c r="O10516" s="42"/>
      <c r="R10516" s="42"/>
      <c r="AC10516" s="42"/>
    </row>
    <row r="10517" spans="15:29" x14ac:dyDescent="0.25">
      <c r="O10517" s="42"/>
      <c r="R10517" s="42"/>
      <c r="AC10517" s="42"/>
    </row>
    <row r="10518" spans="15:29" x14ac:dyDescent="0.25">
      <c r="O10518" s="42"/>
      <c r="R10518" s="42"/>
      <c r="AC10518" s="42"/>
    </row>
    <row r="10519" spans="15:29" x14ac:dyDescent="0.25">
      <c r="O10519" s="42"/>
      <c r="R10519" s="42"/>
      <c r="AC10519" s="42"/>
    </row>
    <row r="10520" spans="15:29" x14ac:dyDescent="0.25">
      <c r="O10520" s="42"/>
      <c r="R10520" s="42"/>
      <c r="AC10520" s="42"/>
    </row>
    <row r="10521" spans="15:29" x14ac:dyDescent="0.25">
      <c r="O10521" s="42"/>
      <c r="R10521" s="42"/>
      <c r="AC10521" s="42"/>
    </row>
    <row r="10522" spans="15:29" x14ac:dyDescent="0.25">
      <c r="O10522" s="42"/>
      <c r="R10522" s="42"/>
      <c r="AC10522" s="42"/>
    </row>
    <row r="10523" spans="15:29" x14ac:dyDescent="0.25">
      <c r="O10523" s="42"/>
      <c r="R10523" s="42"/>
      <c r="AC10523" s="42"/>
    </row>
    <row r="10524" spans="15:29" x14ac:dyDescent="0.25">
      <c r="O10524" s="42"/>
      <c r="R10524" s="42"/>
      <c r="AC10524" s="42"/>
    </row>
    <row r="10525" spans="15:29" x14ac:dyDescent="0.25">
      <c r="O10525" s="42"/>
      <c r="R10525" s="42"/>
      <c r="AC10525" s="42"/>
    </row>
    <row r="10526" spans="15:29" x14ac:dyDescent="0.25">
      <c r="O10526" s="42"/>
      <c r="R10526" s="42"/>
      <c r="AC10526" s="42"/>
    </row>
    <row r="10527" spans="15:29" x14ac:dyDescent="0.25">
      <c r="O10527" s="42"/>
      <c r="R10527" s="42"/>
      <c r="AC10527" s="42"/>
    </row>
    <row r="10528" spans="15:29" x14ac:dyDescent="0.25">
      <c r="O10528" s="42"/>
      <c r="R10528" s="42"/>
      <c r="AC10528" s="42"/>
    </row>
    <row r="10529" spans="15:29" x14ac:dyDescent="0.25">
      <c r="O10529" s="42"/>
      <c r="R10529" s="42"/>
      <c r="AC10529" s="42"/>
    </row>
    <row r="10530" spans="15:29" x14ac:dyDescent="0.25">
      <c r="O10530" s="42"/>
      <c r="R10530" s="42"/>
      <c r="AC10530" s="42"/>
    </row>
    <row r="10531" spans="15:29" x14ac:dyDescent="0.25">
      <c r="O10531" s="42"/>
      <c r="R10531" s="42"/>
      <c r="AC10531" s="42"/>
    </row>
    <row r="10532" spans="15:29" x14ac:dyDescent="0.25">
      <c r="O10532" s="42"/>
      <c r="R10532" s="42"/>
      <c r="AC10532" s="42"/>
    </row>
    <row r="10533" spans="15:29" x14ac:dyDescent="0.25">
      <c r="O10533" s="42"/>
      <c r="R10533" s="42"/>
      <c r="AC10533" s="42"/>
    </row>
    <row r="10534" spans="15:29" x14ac:dyDescent="0.25">
      <c r="O10534" s="42"/>
      <c r="R10534" s="42"/>
      <c r="AC10534" s="42"/>
    </row>
    <row r="10535" spans="15:29" x14ac:dyDescent="0.25">
      <c r="O10535" s="42"/>
      <c r="R10535" s="42"/>
      <c r="AC10535" s="42"/>
    </row>
    <row r="10536" spans="15:29" x14ac:dyDescent="0.25">
      <c r="O10536" s="42"/>
      <c r="R10536" s="42"/>
      <c r="AC10536" s="42"/>
    </row>
    <row r="10537" spans="15:29" x14ac:dyDescent="0.25">
      <c r="O10537" s="42"/>
      <c r="R10537" s="42"/>
      <c r="AC10537" s="42"/>
    </row>
    <row r="10538" spans="15:29" x14ac:dyDescent="0.25">
      <c r="O10538" s="42"/>
      <c r="R10538" s="42"/>
      <c r="AC10538" s="42"/>
    </row>
    <row r="10539" spans="15:29" x14ac:dyDescent="0.25">
      <c r="O10539" s="42"/>
      <c r="R10539" s="42"/>
      <c r="AC10539" s="42"/>
    </row>
    <row r="10540" spans="15:29" x14ac:dyDescent="0.25">
      <c r="O10540" s="42"/>
      <c r="R10540" s="42"/>
      <c r="AC10540" s="42"/>
    </row>
    <row r="10541" spans="15:29" x14ac:dyDescent="0.25">
      <c r="O10541" s="42"/>
      <c r="R10541" s="42"/>
      <c r="AC10541" s="42"/>
    </row>
    <row r="10542" spans="15:29" x14ac:dyDescent="0.25">
      <c r="O10542" s="42"/>
      <c r="R10542" s="42"/>
      <c r="AC10542" s="42"/>
    </row>
    <row r="10543" spans="15:29" x14ac:dyDescent="0.25">
      <c r="O10543" s="42"/>
      <c r="R10543" s="42"/>
      <c r="AC10543" s="42"/>
    </row>
    <row r="10544" spans="15:29" x14ac:dyDescent="0.25">
      <c r="O10544" s="42"/>
      <c r="R10544" s="42"/>
      <c r="AC10544" s="42"/>
    </row>
    <row r="10545" spans="15:29" x14ac:dyDescent="0.25">
      <c r="O10545" s="42"/>
      <c r="R10545" s="42"/>
      <c r="AC10545" s="42"/>
    </row>
    <row r="10546" spans="15:29" x14ac:dyDescent="0.25">
      <c r="O10546" s="42"/>
      <c r="R10546" s="42"/>
      <c r="AC10546" s="42"/>
    </row>
    <row r="10547" spans="15:29" x14ac:dyDescent="0.25">
      <c r="O10547" s="42"/>
      <c r="R10547" s="42"/>
      <c r="AC10547" s="42"/>
    </row>
    <row r="10548" spans="15:29" x14ac:dyDescent="0.25">
      <c r="O10548" s="42"/>
      <c r="R10548" s="42"/>
      <c r="AC10548" s="42"/>
    </row>
    <row r="10549" spans="15:29" x14ac:dyDescent="0.25">
      <c r="O10549" s="42"/>
      <c r="R10549" s="42"/>
      <c r="AC10549" s="42"/>
    </row>
    <row r="10550" spans="15:29" x14ac:dyDescent="0.25">
      <c r="O10550" s="42"/>
      <c r="R10550" s="42"/>
      <c r="AC10550" s="42"/>
    </row>
    <row r="10551" spans="15:29" x14ac:dyDescent="0.25">
      <c r="O10551" s="42"/>
      <c r="R10551" s="42"/>
      <c r="AC10551" s="42"/>
    </row>
    <row r="10552" spans="15:29" x14ac:dyDescent="0.25">
      <c r="O10552" s="42"/>
      <c r="R10552" s="42"/>
      <c r="AC10552" s="42"/>
    </row>
    <row r="10553" spans="15:29" x14ac:dyDescent="0.25">
      <c r="O10553" s="42"/>
      <c r="R10553" s="42"/>
      <c r="AC10553" s="42"/>
    </row>
    <row r="10554" spans="15:29" x14ac:dyDescent="0.25">
      <c r="O10554" s="42"/>
      <c r="R10554" s="42"/>
      <c r="AC10554" s="42"/>
    </row>
    <row r="10555" spans="15:29" x14ac:dyDescent="0.25">
      <c r="O10555" s="42"/>
      <c r="R10555" s="42"/>
      <c r="AC10555" s="42"/>
    </row>
    <row r="10556" spans="15:29" x14ac:dyDescent="0.25">
      <c r="O10556" s="42"/>
      <c r="R10556" s="42"/>
      <c r="AC10556" s="42"/>
    </row>
    <row r="10557" spans="15:29" x14ac:dyDescent="0.25">
      <c r="O10557" s="42"/>
      <c r="R10557" s="42"/>
      <c r="AC10557" s="42"/>
    </row>
    <row r="10558" spans="15:29" x14ac:dyDescent="0.25">
      <c r="O10558" s="42"/>
      <c r="R10558" s="42"/>
      <c r="AC10558" s="42"/>
    </row>
    <row r="10559" spans="15:29" x14ac:dyDescent="0.25">
      <c r="O10559" s="42"/>
      <c r="R10559" s="42"/>
      <c r="AC10559" s="42"/>
    </row>
    <row r="10560" spans="15:29" x14ac:dyDescent="0.25">
      <c r="O10560" s="42"/>
      <c r="R10560" s="42"/>
      <c r="AC10560" s="42"/>
    </row>
    <row r="10561" spans="15:29" x14ac:dyDescent="0.25">
      <c r="O10561" s="42"/>
      <c r="R10561" s="42"/>
      <c r="AC10561" s="42"/>
    </row>
    <row r="10562" spans="15:29" x14ac:dyDescent="0.25">
      <c r="O10562" s="42"/>
      <c r="R10562" s="42"/>
      <c r="AC10562" s="42"/>
    </row>
    <row r="10563" spans="15:29" x14ac:dyDescent="0.25">
      <c r="O10563" s="42"/>
      <c r="R10563" s="42"/>
      <c r="AC10563" s="42"/>
    </row>
    <row r="10564" spans="15:29" x14ac:dyDescent="0.25">
      <c r="O10564" s="42"/>
      <c r="R10564" s="42"/>
      <c r="AC10564" s="42"/>
    </row>
    <row r="10565" spans="15:29" x14ac:dyDescent="0.25">
      <c r="O10565" s="42"/>
      <c r="R10565" s="42"/>
      <c r="AC10565" s="42"/>
    </row>
    <row r="10566" spans="15:29" x14ac:dyDescent="0.25">
      <c r="O10566" s="42"/>
      <c r="R10566" s="42"/>
      <c r="AC10566" s="42"/>
    </row>
    <row r="10567" spans="15:29" x14ac:dyDescent="0.25">
      <c r="O10567" s="42"/>
      <c r="R10567" s="42"/>
      <c r="AC10567" s="42"/>
    </row>
    <row r="10568" spans="15:29" x14ac:dyDescent="0.25">
      <c r="O10568" s="42"/>
      <c r="R10568" s="42"/>
      <c r="AC10568" s="42"/>
    </row>
    <row r="10569" spans="15:29" x14ac:dyDescent="0.25">
      <c r="O10569" s="42"/>
      <c r="R10569" s="42"/>
      <c r="AC10569" s="42"/>
    </row>
    <row r="10570" spans="15:29" x14ac:dyDescent="0.25">
      <c r="O10570" s="42"/>
      <c r="R10570" s="42"/>
      <c r="AC10570" s="42"/>
    </row>
    <row r="10571" spans="15:29" x14ac:dyDescent="0.25">
      <c r="O10571" s="42"/>
      <c r="R10571" s="42"/>
      <c r="AC10571" s="42"/>
    </row>
    <row r="10572" spans="15:29" x14ac:dyDescent="0.25">
      <c r="O10572" s="42"/>
      <c r="R10572" s="42"/>
      <c r="AC10572" s="42"/>
    </row>
    <row r="10573" spans="15:29" x14ac:dyDescent="0.25">
      <c r="O10573" s="42"/>
      <c r="R10573" s="42"/>
      <c r="AC10573" s="42"/>
    </row>
    <row r="10574" spans="15:29" x14ac:dyDescent="0.25">
      <c r="O10574" s="42"/>
      <c r="R10574" s="42"/>
      <c r="AC10574" s="42"/>
    </row>
    <row r="10575" spans="15:29" x14ac:dyDescent="0.25">
      <c r="O10575" s="42"/>
      <c r="R10575" s="42"/>
      <c r="AC10575" s="42"/>
    </row>
    <row r="10576" spans="15:29" x14ac:dyDescent="0.25">
      <c r="O10576" s="42"/>
      <c r="R10576" s="42"/>
      <c r="AC10576" s="42"/>
    </row>
    <row r="10577" spans="15:29" x14ac:dyDescent="0.25">
      <c r="O10577" s="42"/>
      <c r="R10577" s="42"/>
      <c r="AC10577" s="42"/>
    </row>
    <row r="10578" spans="15:29" x14ac:dyDescent="0.25">
      <c r="O10578" s="42"/>
      <c r="R10578" s="42"/>
      <c r="AC10578" s="42"/>
    </row>
    <row r="10579" spans="15:29" x14ac:dyDescent="0.25">
      <c r="O10579" s="42"/>
      <c r="R10579" s="42"/>
      <c r="AC10579" s="42"/>
    </row>
    <row r="10580" spans="15:29" x14ac:dyDescent="0.25">
      <c r="O10580" s="42"/>
      <c r="R10580" s="42"/>
      <c r="AC10580" s="42"/>
    </row>
    <row r="10581" spans="15:29" x14ac:dyDescent="0.25">
      <c r="O10581" s="42"/>
      <c r="R10581" s="42"/>
      <c r="AC10581" s="42"/>
    </row>
    <row r="10582" spans="15:29" x14ac:dyDescent="0.25">
      <c r="O10582" s="42"/>
      <c r="R10582" s="42"/>
      <c r="AC10582" s="42"/>
    </row>
    <row r="10583" spans="15:29" x14ac:dyDescent="0.25">
      <c r="O10583" s="42"/>
      <c r="R10583" s="42"/>
      <c r="AC10583" s="42"/>
    </row>
    <row r="10584" spans="15:29" x14ac:dyDescent="0.25">
      <c r="O10584" s="42"/>
      <c r="R10584" s="42"/>
      <c r="AC10584" s="42"/>
    </row>
    <row r="10585" spans="15:29" x14ac:dyDescent="0.25">
      <c r="O10585" s="42"/>
      <c r="R10585" s="42"/>
      <c r="AC10585" s="42"/>
    </row>
    <row r="10586" spans="15:29" x14ac:dyDescent="0.25">
      <c r="O10586" s="42"/>
      <c r="R10586" s="42"/>
      <c r="AC10586" s="42"/>
    </row>
    <row r="10587" spans="15:29" x14ac:dyDescent="0.25">
      <c r="O10587" s="42"/>
      <c r="R10587" s="42"/>
      <c r="AC10587" s="42"/>
    </row>
    <row r="10588" spans="15:29" x14ac:dyDescent="0.25">
      <c r="O10588" s="42"/>
      <c r="R10588" s="42"/>
      <c r="AC10588" s="42"/>
    </row>
    <row r="10589" spans="15:29" x14ac:dyDescent="0.25">
      <c r="O10589" s="42"/>
      <c r="R10589" s="42"/>
      <c r="AC10589" s="42"/>
    </row>
    <row r="10590" spans="15:29" x14ac:dyDescent="0.25">
      <c r="O10590" s="42"/>
      <c r="R10590" s="42"/>
      <c r="AC10590" s="42"/>
    </row>
    <row r="10591" spans="15:29" x14ac:dyDescent="0.25">
      <c r="O10591" s="42"/>
      <c r="R10591" s="42"/>
      <c r="AC10591" s="42"/>
    </row>
    <row r="10592" spans="15:29" x14ac:dyDescent="0.25">
      <c r="O10592" s="42"/>
      <c r="R10592" s="42"/>
      <c r="AC10592" s="42"/>
    </row>
    <row r="10593" spans="15:29" x14ac:dyDescent="0.25">
      <c r="O10593" s="42"/>
      <c r="R10593" s="42"/>
      <c r="AC10593" s="42"/>
    </row>
    <row r="10594" spans="15:29" x14ac:dyDescent="0.25">
      <c r="O10594" s="42"/>
      <c r="R10594" s="42"/>
      <c r="AC10594" s="42"/>
    </row>
    <row r="10595" spans="15:29" x14ac:dyDescent="0.25">
      <c r="O10595" s="42"/>
      <c r="R10595" s="42"/>
      <c r="AC10595" s="42"/>
    </row>
    <row r="10596" spans="15:29" x14ac:dyDescent="0.25">
      <c r="O10596" s="42"/>
      <c r="R10596" s="42"/>
      <c r="AC10596" s="42"/>
    </row>
    <row r="10597" spans="15:29" x14ac:dyDescent="0.25">
      <c r="O10597" s="42"/>
      <c r="R10597" s="42"/>
      <c r="AC10597" s="42"/>
    </row>
    <row r="10598" spans="15:29" x14ac:dyDescent="0.25">
      <c r="O10598" s="42"/>
      <c r="R10598" s="42"/>
      <c r="AC10598" s="42"/>
    </row>
    <row r="10599" spans="15:29" x14ac:dyDescent="0.25">
      <c r="O10599" s="42"/>
      <c r="R10599" s="42"/>
      <c r="AC10599" s="42"/>
    </row>
    <row r="10600" spans="15:29" x14ac:dyDescent="0.25">
      <c r="O10600" s="42"/>
      <c r="R10600" s="42"/>
      <c r="AC10600" s="42"/>
    </row>
    <row r="10601" spans="15:29" x14ac:dyDescent="0.25">
      <c r="O10601" s="42"/>
      <c r="R10601" s="42"/>
      <c r="AC10601" s="42"/>
    </row>
    <row r="10602" spans="15:29" x14ac:dyDescent="0.25">
      <c r="O10602" s="42"/>
      <c r="R10602" s="42"/>
      <c r="AC10602" s="42"/>
    </row>
    <row r="10603" spans="15:29" x14ac:dyDescent="0.25">
      <c r="O10603" s="42"/>
      <c r="R10603" s="42"/>
      <c r="AC10603" s="42"/>
    </row>
    <row r="10604" spans="15:29" x14ac:dyDescent="0.25">
      <c r="O10604" s="42"/>
      <c r="R10604" s="42"/>
      <c r="AC10604" s="42"/>
    </row>
    <row r="10605" spans="15:29" x14ac:dyDescent="0.25">
      <c r="O10605" s="42"/>
      <c r="R10605" s="42"/>
      <c r="AC10605" s="42"/>
    </row>
    <row r="10606" spans="15:29" x14ac:dyDescent="0.25">
      <c r="O10606" s="42"/>
      <c r="R10606" s="42"/>
      <c r="AC10606" s="42"/>
    </row>
    <row r="10607" spans="15:29" x14ac:dyDescent="0.25">
      <c r="O10607" s="42"/>
      <c r="R10607" s="42"/>
      <c r="AC10607" s="42"/>
    </row>
    <row r="10608" spans="15:29" x14ac:dyDescent="0.25">
      <c r="O10608" s="42"/>
      <c r="R10608" s="42"/>
      <c r="AC10608" s="42"/>
    </row>
    <row r="10609" spans="15:29" x14ac:dyDescent="0.25">
      <c r="O10609" s="42"/>
      <c r="R10609" s="42"/>
      <c r="AC10609" s="42"/>
    </row>
    <row r="10610" spans="15:29" x14ac:dyDescent="0.25">
      <c r="O10610" s="42"/>
      <c r="R10610" s="42"/>
      <c r="AC10610" s="42"/>
    </row>
    <row r="10611" spans="15:29" x14ac:dyDescent="0.25">
      <c r="O10611" s="42"/>
      <c r="R10611" s="42"/>
      <c r="AC10611" s="42"/>
    </row>
    <row r="10612" spans="15:29" x14ac:dyDescent="0.25">
      <c r="O10612" s="42"/>
      <c r="R10612" s="42"/>
      <c r="AC10612" s="42"/>
    </row>
    <row r="10613" spans="15:29" x14ac:dyDescent="0.25">
      <c r="O10613" s="42"/>
      <c r="R10613" s="42"/>
      <c r="AC10613" s="42"/>
    </row>
    <row r="10614" spans="15:29" x14ac:dyDescent="0.25">
      <c r="O10614" s="42"/>
      <c r="R10614" s="42"/>
      <c r="AC10614" s="42"/>
    </row>
    <row r="10615" spans="15:29" x14ac:dyDescent="0.25">
      <c r="O10615" s="42"/>
      <c r="R10615" s="42"/>
      <c r="AC10615" s="42"/>
    </row>
    <row r="10616" spans="15:29" x14ac:dyDescent="0.25">
      <c r="O10616" s="42"/>
      <c r="R10616" s="42"/>
      <c r="AC10616" s="42"/>
    </row>
    <row r="10617" spans="15:29" x14ac:dyDescent="0.25">
      <c r="O10617" s="42"/>
      <c r="R10617" s="42"/>
      <c r="AC10617" s="42"/>
    </row>
    <row r="10618" spans="15:29" x14ac:dyDescent="0.25">
      <c r="O10618" s="42"/>
      <c r="R10618" s="42"/>
      <c r="AC10618" s="42"/>
    </row>
    <row r="10619" spans="15:29" x14ac:dyDescent="0.25">
      <c r="O10619" s="42"/>
      <c r="R10619" s="42"/>
      <c r="AC10619" s="42"/>
    </row>
    <row r="10620" spans="15:29" x14ac:dyDescent="0.25">
      <c r="O10620" s="42"/>
      <c r="R10620" s="42"/>
      <c r="AC10620" s="42"/>
    </row>
    <row r="10621" spans="15:29" x14ac:dyDescent="0.25">
      <c r="O10621" s="42"/>
      <c r="R10621" s="42"/>
      <c r="AC10621" s="42"/>
    </row>
    <row r="10622" spans="15:29" x14ac:dyDescent="0.25">
      <c r="O10622" s="42"/>
      <c r="R10622" s="42"/>
      <c r="AC10622" s="42"/>
    </row>
    <row r="10623" spans="15:29" x14ac:dyDescent="0.25">
      <c r="O10623" s="42"/>
      <c r="R10623" s="42"/>
      <c r="AC10623" s="42"/>
    </row>
    <row r="10624" spans="15:29" x14ac:dyDescent="0.25">
      <c r="O10624" s="42"/>
      <c r="R10624" s="42"/>
      <c r="AC10624" s="42"/>
    </row>
    <row r="10625" spans="15:29" x14ac:dyDescent="0.25">
      <c r="O10625" s="42"/>
      <c r="R10625" s="42"/>
      <c r="AC10625" s="42"/>
    </row>
    <row r="10626" spans="15:29" x14ac:dyDescent="0.25">
      <c r="O10626" s="42"/>
      <c r="R10626" s="42"/>
      <c r="AC10626" s="42"/>
    </row>
    <row r="10627" spans="15:29" x14ac:dyDescent="0.25">
      <c r="O10627" s="42"/>
      <c r="R10627" s="42"/>
      <c r="AC10627" s="42"/>
    </row>
    <row r="10628" spans="15:29" x14ac:dyDescent="0.25">
      <c r="O10628" s="42"/>
      <c r="R10628" s="42"/>
      <c r="AC10628" s="42"/>
    </row>
    <row r="10629" spans="15:29" x14ac:dyDescent="0.25">
      <c r="O10629" s="42"/>
      <c r="R10629" s="42"/>
      <c r="AC10629" s="42"/>
    </row>
    <row r="10630" spans="15:29" x14ac:dyDescent="0.25">
      <c r="O10630" s="42"/>
      <c r="R10630" s="42"/>
      <c r="AC10630" s="42"/>
    </row>
    <row r="10631" spans="15:29" x14ac:dyDescent="0.25">
      <c r="O10631" s="42"/>
      <c r="R10631" s="42"/>
      <c r="AC10631" s="42"/>
    </row>
    <row r="10632" spans="15:29" x14ac:dyDescent="0.25">
      <c r="O10632" s="42"/>
      <c r="R10632" s="42"/>
      <c r="AC10632" s="42"/>
    </row>
    <row r="10633" spans="15:29" x14ac:dyDescent="0.25">
      <c r="O10633" s="42"/>
      <c r="R10633" s="42"/>
      <c r="AC10633" s="42"/>
    </row>
    <row r="10634" spans="15:29" x14ac:dyDescent="0.25">
      <c r="O10634" s="42"/>
      <c r="R10634" s="42"/>
      <c r="AC10634" s="42"/>
    </row>
    <row r="10635" spans="15:29" x14ac:dyDescent="0.25">
      <c r="O10635" s="42"/>
      <c r="R10635" s="42"/>
      <c r="AC10635" s="42"/>
    </row>
    <row r="10636" spans="15:29" x14ac:dyDescent="0.25">
      <c r="O10636" s="42"/>
      <c r="R10636" s="42"/>
      <c r="AC10636" s="42"/>
    </row>
    <row r="10637" spans="15:29" x14ac:dyDescent="0.25">
      <c r="O10637" s="42"/>
      <c r="R10637" s="42"/>
      <c r="AC10637" s="42"/>
    </row>
    <row r="10638" spans="15:29" x14ac:dyDescent="0.25">
      <c r="O10638" s="42"/>
      <c r="R10638" s="42"/>
      <c r="AC10638" s="42"/>
    </row>
    <row r="10639" spans="15:29" x14ac:dyDescent="0.25">
      <c r="O10639" s="42"/>
      <c r="R10639" s="42"/>
      <c r="AC10639" s="42"/>
    </row>
    <row r="10640" spans="15:29" x14ac:dyDescent="0.25">
      <c r="O10640" s="42"/>
      <c r="R10640" s="42"/>
      <c r="AC10640" s="42"/>
    </row>
    <row r="10641" spans="15:29" x14ac:dyDescent="0.25">
      <c r="O10641" s="42"/>
      <c r="R10641" s="42"/>
      <c r="AC10641" s="42"/>
    </row>
    <row r="10642" spans="15:29" x14ac:dyDescent="0.25">
      <c r="O10642" s="42"/>
      <c r="R10642" s="42"/>
      <c r="AC10642" s="42"/>
    </row>
    <row r="10643" spans="15:29" x14ac:dyDescent="0.25">
      <c r="O10643" s="42"/>
      <c r="R10643" s="42"/>
      <c r="AC10643" s="42"/>
    </row>
    <row r="10644" spans="15:29" x14ac:dyDescent="0.25">
      <c r="O10644" s="42"/>
      <c r="R10644" s="42"/>
      <c r="AC10644" s="42"/>
    </row>
    <row r="10645" spans="15:29" x14ac:dyDescent="0.25">
      <c r="O10645" s="42"/>
      <c r="R10645" s="42"/>
      <c r="AC10645" s="42"/>
    </row>
    <row r="10646" spans="15:29" x14ac:dyDescent="0.25">
      <c r="O10646" s="42"/>
      <c r="R10646" s="42"/>
      <c r="AC10646" s="42"/>
    </row>
    <row r="10647" spans="15:29" x14ac:dyDescent="0.25">
      <c r="O10647" s="42"/>
      <c r="R10647" s="42"/>
      <c r="AC10647" s="42"/>
    </row>
    <row r="10648" spans="15:29" x14ac:dyDescent="0.25">
      <c r="O10648" s="42"/>
      <c r="R10648" s="42"/>
      <c r="AC10648" s="42"/>
    </row>
    <row r="10649" spans="15:29" x14ac:dyDescent="0.25">
      <c r="O10649" s="42"/>
      <c r="R10649" s="42"/>
      <c r="AC10649" s="42"/>
    </row>
    <row r="10650" spans="15:29" x14ac:dyDescent="0.25">
      <c r="O10650" s="42"/>
      <c r="R10650" s="42"/>
      <c r="AC10650" s="42"/>
    </row>
    <row r="10651" spans="15:29" x14ac:dyDescent="0.25">
      <c r="O10651" s="42"/>
      <c r="R10651" s="42"/>
      <c r="AC10651" s="42"/>
    </row>
    <row r="10652" spans="15:29" x14ac:dyDescent="0.25">
      <c r="O10652" s="42"/>
      <c r="R10652" s="42"/>
      <c r="AC10652" s="42"/>
    </row>
    <row r="10653" spans="15:29" x14ac:dyDescent="0.25">
      <c r="O10653" s="42"/>
      <c r="R10653" s="42"/>
      <c r="AC10653" s="42"/>
    </row>
    <row r="10654" spans="15:29" x14ac:dyDescent="0.25">
      <c r="O10654" s="42"/>
      <c r="R10654" s="42"/>
      <c r="AC10654" s="42"/>
    </row>
    <row r="10655" spans="15:29" x14ac:dyDescent="0.25">
      <c r="O10655" s="42"/>
      <c r="R10655" s="42"/>
      <c r="AC10655" s="42"/>
    </row>
    <row r="10656" spans="15:29" x14ac:dyDescent="0.25">
      <c r="O10656" s="42"/>
      <c r="R10656" s="42"/>
      <c r="AC10656" s="42"/>
    </row>
    <row r="10657" spans="15:29" x14ac:dyDescent="0.25">
      <c r="O10657" s="42"/>
      <c r="R10657" s="42"/>
      <c r="AC10657" s="42"/>
    </row>
    <row r="10658" spans="15:29" x14ac:dyDescent="0.25">
      <c r="O10658" s="42"/>
      <c r="R10658" s="42"/>
      <c r="AC10658" s="42"/>
    </row>
    <row r="10659" spans="15:29" x14ac:dyDescent="0.25">
      <c r="O10659" s="42"/>
      <c r="R10659" s="42"/>
      <c r="AC10659" s="42"/>
    </row>
    <row r="10660" spans="15:29" x14ac:dyDescent="0.25">
      <c r="O10660" s="42"/>
      <c r="R10660" s="42"/>
      <c r="AC10660" s="42"/>
    </row>
    <row r="10661" spans="15:29" x14ac:dyDescent="0.25">
      <c r="O10661" s="42"/>
      <c r="R10661" s="42"/>
      <c r="AC10661" s="42"/>
    </row>
    <row r="10662" spans="15:29" x14ac:dyDescent="0.25">
      <c r="O10662" s="42"/>
      <c r="R10662" s="42"/>
      <c r="AC10662" s="42"/>
    </row>
    <row r="10663" spans="15:29" x14ac:dyDescent="0.25">
      <c r="O10663" s="42"/>
      <c r="R10663" s="42"/>
      <c r="AC10663" s="42"/>
    </row>
    <row r="10664" spans="15:29" x14ac:dyDescent="0.25">
      <c r="O10664" s="42"/>
      <c r="R10664" s="42"/>
      <c r="AC10664" s="42"/>
    </row>
    <row r="10665" spans="15:29" x14ac:dyDescent="0.25">
      <c r="O10665" s="42"/>
      <c r="R10665" s="42"/>
      <c r="AC10665" s="42"/>
    </row>
    <row r="10666" spans="15:29" x14ac:dyDescent="0.25">
      <c r="O10666" s="42"/>
      <c r="R10666" s="42"/>
      <c r="AC10666" s="42"/>
    </row>
    <row r="10667" spans="15:29" x14ac:dyDescent="0.25">
      <c r="O10667" s="42"/>
      <c r="R10667" s="42"/>
      <c r="AC10667" s="42"/>
    </row>
    <row r="10668" spans="15:29" x14ac:dyDescent="0.25">
      <c r="O10668" s="42"/>
      <c r="R10668" s="42"/>
      <c r="AC10668" s="42"/>
    </row>
    <row r="10669" spans="15:29" x14ac:dyDescent="0.25">
      <c r="O10669" s="42"/>
      <c r="R10669" s="42"/>
      <c r="AC10669" s="42"/>
    </row>
    <row r="10670" spans="15:29" x14ac:dyDescent="0.25">
      <c r="O10670" s="42"/>
      <c r="R10670" s="42"/>
      <c r="AC10670" s="42"/>
    </row>
    <row r="10671" spans="15:29" x14ac:dyDescent="0.25">
      <c r="O10671" s="42"/>
      <c r="R10671" s="42"/>
      <c r="AC10671" s="42"/>
    </row>
    <row r="10672" spans="15:29" x14ac:dyDescent="0.25">
      <c r="O10672" s="42"/>
      <c r="R10672" s="42"/>
      <c r="AC10672" s="42"/>
    </row>
    <row r="10673" spans="15:29" x14ac:dyDescent="0.25">
      <c r="O10673" s="42"/>
      <c r="R10673" s="42"/>
      <c r="AC10673" s="42"/>
    </row>
    <row r="10674" spans="15:29" x14ac:dyDescent="0.25">
      <c r="O10674" s="42"/>
      <c r="R10674" s="42"/>
      <c r="AC10674" s="42"/>
    </row>
    <row r="10675" spans="15:29" x14ac:dyDescent="0.25">
      <c r="O10675" s="42"/>
      <c r="R10675" s="42"/>
      <c r="AC10675" s="42"/>
    </row>
    <row r="10676" spans="15:29" x14ac:dyDescent="0.25">
      <c r="O10676" s="42"/>
      <c r="R10676" s="42"/>
      <c r="AC10676" s="42"/>
    </row>
    <row r="10677" spans="15:29" x14ac:dyDescent="0.25">
      <c r="O10677" s="42"/>
      <c r="R10677" s="42"/>
      <c r="AC10677" s="42"/>
    </row>
    <row r="10678" spans="15:29" x14ac:dyDescent="0.25">
      <c r="O10678" s="42"/>
      <c r="R10678" s="42"/>
      <c r="AC10678" s="42"/>
    </row>
    <row r="10679" spans="15:29" x14ac:dyDescent="0.25">
      <c r="O10679" s="42"/>
      <c r="R10679" s="42"/>
      <c r="AC10679" s="42"/>
    </row>
    <row r="10680" spans="15:29" x14ac:dyDescent="0.25">
      <c r="O10680" s="42"/>
      <c r="R10680" s="42"/>
      <c r="AC10680" s="42"/>
    </row>
    <row r="10681" spans="15:29" x14ac:dyDescent="0.25">
      <c r="O10681" s="42"/>
      <c r="R10681" s="42"/>
      <c r="AC10681" s="42"/>
    </row>
    <row r="10682" spans="15:29" x14ac:dyDescent="0.25">
      <c r="O10682" s="42"/>
      <c r="R10682" s="42"/>
      <c r="AC10682" s="42"/>
    </row>
    <row r="10683" spans="15:29" x14ac:dyDescent="0.25">
      <c r="O10683" s="42"/>
      <c r="R10683" s="42"/>
      <c r="AC10683" s="42"/>
    </row>
    <row r="10684" spans="15:29" x14ac:dyDescent="0.25">
      <c r="O10684" s="42"/>
      <c r="R10684" s="42"/>
      <c r="AC10684" s="42"/>
    </row>
    <row r="10685" spans="15:29" x14ac:dyDescent="0.25">
      <c r="O10685" s="42"/>
      <c r="R10685" s="42"/>
      <c r="AC10685" s="42"/>
    </row>
    <row r="10686" spans="15:29" x14ac:dyDescent="0.25">
      <c r="O10686" s="42"/>
      <c r="R10686" s="42"/>
      <c r="AC10686" s="42"/>
    </row>
    <row r="10687" spans="15:29" x14ac:dyDescent="0.25">
      <c r="O10687" s="42"/>
      <c r="R10687" s="42"/>
      <c r="AC10687" s="42"/>
    </row>
    <row r="10688" spans="15:29" x14ac:dyDescent="0.25">
      <c r="O10688" s="42"/>
      <c r="R10688" s="42"/>
      <c r="AC10688" s="42"/>
    </row>
    <row r="10689" spans="15:29" x14ac:dyDescent="0.25">
      <c r="O10689" s="42"/>
      <c r="R10689" s="42"/>
      <c r="AC10689" s="42"/>
    </row>
    <row r="10690" spans="15:29" x14ac:dyDescent="0.25">
      <c r="O10690" s="42"/>
      <c r="R10690" s="42"/>
      <c r="AC10690" s="42"/>
    </row>
    <row r="10691" spans="15:29" x14ac:dyDescent="0.25">
      <c r="O10691" s="42"/>
      <c r="R10691" s="42"/>
      <c r="AC10691" s="42"/>
    </row>
    <row r="10692" spans="15:29" x14ac:dyDescent="0.25">
      <c r="O10692" s="42"/>
      <c r="R10692" s="42"/>
      <c r="AC10692" s="42"/>
    </row>
    <row r="10693" spans="15:29" x14ac:dyDescent="0.25">
      <c r="O10693" s="42"/>
      <c r="R10693" s="42"/>
      <c r="AC10693" s="42"/>
    </row>
    <row r="10694" spans="15:29" x14ac:dyDescent="0.25">
      <c r="O10694" s="42"/>
      <c r="R10694" s="42"/>
      <c r="AC10694" s="42"/>
    </row>
    <row r="10695" spans="15:29" x14ac:dyDescent="0.25">
      <c r="O10695" s="42"/>
      <c r="R10695" s="42"/>
      <c r="AC10695" s="42"/>
    </row>
    <row r="10696" spans="15:29" x14ac:dyDescent="0.25">
      <c r="O10696" s="42"/>
      <c r="R10696" s="42"/>
      <c r="AC10696" s="42"/>
    </row>
    <row r="10697" spans="15:29" x14ac:dyDescent="0.25">
      <c r="O10697" s="42"/>
      <c r="R10697" s="42"/>
      <c r="AC10697" s="42"/>
    </row>
    <row r="10698" spans="15:29" x14ac:dyDescent="0.25">
      <c r="O10698" s="42"/>
      <c r="R10698" s="42"/>
      <c r="AC10698" s="42"/>
    </row>
    <row r="10699" spans="15:29" x14ac:dyDescent="0.25">
      <c r="O10699" s="42"/>
      <c r="R10699" s="42"/>
      <c r="AC10699" s="42"/>
    </row>
    <row r="10700" spans="15:29" x14ac:dyDescent="0.25">
      <c r="O10700" s="42"/>
      <c r="R10700" s="42"/>
      <c r="AC10700" s="42"/>
    </row>
    <row r="10701" spans="15:29" x14ac:dyDescent="0.25">
      <c r="O10701" s="42"/>
      <c r="R10701" s="42"/>
      <c r="AC10701" s="42"/>
    </row>
    <row r="10702" spans="15:29" x14ac:dyDescent="0.25">
      <c r="O10702" s="42"/>
      <c r="R10702" s="42"/>
      <c r="AC10702" s="42"/>
    </row>
    <row r="10703" spans="15:29" x14ac:dyDescent="0.25">
      <c r="O10703" s="42"/>
      <c r="R10703" s="42"/>
      <c r="AC10703" s="42"/>
    </row>
    <row r="10704" spans="15:29" x14ac:dyDescent="0.25">
      <c r="O10704" s="42"/>
      <c r="R10704" s="42"/>
      <c r="AC10704" s="42"/>
    </row>
    <row r="10705" spans="15:29" x14ac:dyDescent="0.25">
      <c r="O10705" s="42"/>
      <c r="R10705" s="42"/>
      <c r="AC10705" s="42"/>
    </row>
    <row r="10706" spans="15:29" x14ac:dyDescent="0.25">
      <c r="O10706" s="42"/>
      <c r="R10706" s="42"/>
      <c r="AC10706" s="42"/>
    </row>
    <row r="10707" spans="15:29" x14ac:dyDescent="0.25">
      <c r="O10707" s="42"/>
      <c r="R10707" s="42"/>
      <c r="AC10707" s="42"/>
    </row>
    <row r="10708" spans="15:29" x14ac:dyDescent="0.25">
      <c r="O10708" s="42"/>
      <c r="R10708" s="42"/>
      <c r="AC10708" s="42"/>
    </row>
    <row r="10709" spans="15:29" x14ac:dyDescent="0.25">
      <c r="O10709" s="42"/>
      <c r="R10709" s="42"/>
      <c r="AC10709" s="42"/>
    </row>
    <row r="10710" spans="15:29" x14ac:dyDescent="0.25">
      <c r="O10710" s="42"/>
      <c r="R10710" s="42"/>
      <c r="AC10710" s="42"/>
    </row>
    <row r="10711" spans="15:29" x14ac:dyDescent="0.25">
      <c r="O10711" s="42"/>
      <c r="R10711" s="42"/>
      <c r="AC10711" s="42"/>
    </row>
    <row r="10712" spans="15:29" x14ac:dyDescent="0.25">
      <c r="O10712" s="42"/>
      <c r="R10712" s="42"/>
      <c r="AC10712" s="42"/>
    </row>
    <row r="10713" spans="15:29" x14ac:dyDescent="0.25">
      <c r="O10713" s="42"/>
      <c r="R10713" s="42"/>
      <c r="AC10713" s="42"/>
    </row>
    <row r="10714" spans="15:29" x14ac:dyDescent="0.25">
      <c r="O10714" s="42"/>
      <c r="R10714" s="42"/>
      <c r="AC10714" s="42"/>
    </row>
    <row r="10715" spans="15:29" x14ac:dyDescent="0.25">
      <c r="O10715" s="42"/>
      <c r="R10715" s="42"/>
      <c r="AC10715" s="42"/>
    </row>
    <row r="10716" spans="15:29" x14ac:dyDescent="0.25">
      <c r="O10716" s="42"/>
      <c r="R10716" s="42"/>
      <c r="AC10716" s="42"/>
    </row>
    <row r="10717" spans="15:29" x14ac:dyDescent="0.25">
      <c r="O10717" s="42"/>
      <c r="R10717" s="42"/>
      <c r="AC10717" s="42"/>
    </row>
    <row r="10718" spans="15:29" x14ac:dyDescent="0.25">
      <c r="O10718" s="42"/>
      <c r="R10718" s="42"/>
      <c r="AC10718" s="42"/>
    </row>
    <row r="10719" spans="15:29" x14ac:dyDescent="0.25">
      <c r="O10719" s="42"/>
      <c r="R10719" s="42"/>
      <c r="AC10719" s="42"/>
    </row>
    <row r="10720" spans="15:29" x14ac:dyDescent="0.25">
      <c r="O10720" s="42"/>
      <c r="R10720" s="42"/>
      <c r="AC10720" s="42"/>
    </row>
    <row r="10721" spans="15:29" x14ac:dyDescent="0.25">
      <c r="O10721" s="42"/>
      <c r="R10721" s="42"/>
      <c r="AC10721" s="42"/>
    </row>
    <row r="10722" spans="15:29" x14ac:dyDescent="0.25">
      <c r="O10722" s="42"/>
      <c r="R10722" s="42"/>
      <c r="AC10722" s="42"/>
    </row>
    <row r="10723" spans="15:29" x14ac:dyDescent="0.25">
      <c r="O10723" s="42"/>
      <c r="R10723" s="42"/>
      <c r="AC10723" s="42"/>
    </row>
    <row r="10724" spans="15:29" x14ac:dyDescent="0.25">
      <c r="O10724" s="42"/>
      <c r="R10724" s="42"/>
      <c r="AC10724" s="42"/>
    </row>
    <row r="10725" spans="15:29" x14ac:dyDescent="0.25">
      <c r="O10725" s="42"/>
      <c r="R10725" s="42"/>
      <c r="AC10725" s="42"/>
    </row>
    <row r="10726" spans="15:29" x14ac:dyDescent="0.25">
      <c r="O10726" s="42"/>
      <c r="R10726" s="42"/>
      <c r="AC10726" s="42"/>
    </row>
    <row r="10727" spans="15:29" x14ac:dyDescent="0.25">
      <c r="O10727" s="42"/>
      <c r="R10727" s="42"/>
      <c r="AC10727" s="42"/>
    </row>
    <row r="10728" spans="15:29" x14ac:dyDescent="0.25">
      <c r="O10728" s="42"/>
      <c r="R10728" s="42"/>
      <c r="AC10728" s="42"/>
    </row>
    <row r="10729" spans="15:29" x14ac:dyDescent="0.25">
      <c r="O10729" s="42"/>
      <c r="R10729" s="42"/>
      <c r="AC10729" s="42"/>
    </row>
    <row r="10730" spans="15:29" x14ac:dyDescent="0.25">
      <c r="O10730" s="42"/>
      <c r="R10730" s="42"/>
      <c r="AC10730" s="42"/>
    </row>
    <row r="10731" spans="15:29" x14ac:dyDescent="0.25">
      <c r="O10731" s="42"/>
      <c r="R10731" s="42"/>
      <c r="AC10731" s="42"/>
    </row>
    <row r="10732" spans="15:29" x14ac:dyDescent="0.25">
      <c r="O10732" s="42"/>
      <c r="R10732" s="42"/>
      <c r="AC10732" s="42"/>
    </row>
    <row r="10733" spans="15:29" x14ac:dyDescent="0.25">
      <c r="O10733" s="42"/>
      <c r="R10733" s="42"/>
      <c r="AC10733" s="42"/>
    </row>
    <row r="10734" spans="15:29" x14ac:dyDescent="0.25">
      <c r="O10734" s="42"/>
      <c r="R10734" s="42"/>
      <c r="AC10734" s="42"/>
    </row>
    <row r="10735" spans="15:29" x14ac:dyDescent="0.25">
      <c r="O10735" s="42"/>
      <c r="R10735" s="42"/>
      <c r="AC10735" s="42"/>
    </row>
    <row r="10736" spans="15:29" x14ac:dyDescent="0.25">
      <c r="O10736" s="42"/>
      <c r="R10736" s="42"/>
      <c r="AC10736" s="42"/>
    </row>
    <row r="10737" spans="15:29" x14ac:dyDescent="0.25">
      <c r="O10737" s="42"/>
      <c r="R10737" s="42"/>
      <c r="AC10737" s="42"/>
    </row>
    <row r="10738" spans="15:29" x14ac:dyDescent="0.25">
      <c r="O10738" s="42"/>
      <c r="R10738" s="42"/>
      <c r="AC10738" s="42"/>
    </row>
    <row r="10739" spans="15:29" x14ac:dyDescent="0.25">
      <c r="O10739" s="42"/>
      <c r="R10739" s="42"/>
      <c r="AC10739" s="42"/>
    </row>
    <row r="10740" spans="15:29" x14ac:dyDescent="0.25">
      <c r="O10740" s="42"/>
      <c r="R10740" s="42"/>
      <c r="AC10740" s="42"/>
    </row>
    <row r="10741" spans="15:29" x14ac:dyDescent="0.25">
      <c r="O10741" s="42"/>
      <c r="R10741" s="42"/>
      <c r="AC10741" s="42"/>
    </row>
    <row r="10742" spans="15:29" x14ac:dyDescent="0.25">
      <c r="O10742" s="42"/>
      <c r="R10742" s="42"/>
      <c r="AC10742" s="42"/>
    </row>
    <row r="10743" spans="15:29" x14ac:dyDescent="0.25">
      <c r="O10743" s="42"/>
      <c r="R10743" s="42"/>
      <c r="AC10743" s="42"/>
    </row>
    <row r="10744" spans="15:29" x14ac:dyDescent="0.25">
      <c r="O10744" s="42"/>
      <c r="R10744" s="42"/>
      <c r="AC10744" s="42"/>
    </row>
    <row r="10745" spans="15:29" x14ac:dyDescent="0.25">
      <c r="O10745" s="42"/>
      <c r="R10745" s="42"/>
      <c r="AC10745" s="42"/>
    </row>
    <row r="10746" spans="15:29" x14ac:dyDescent="0.25">
      <c r="O10746" s="42"/>
      <c r="R10746" s="42"/>
      <c r="AC10746" s="42"/>
    </row>
    <row r="10747" spans="15:29" x14ac:dyDescent="0.25">
      <c r="O10747" s="42"/>
      <c r="R10747" s="42"/>
      <c r="AC10747" s="42"/>
    </row>
    <row r="10748" spans="15:29" x14ac:dyDescent="0.25">
      <c r="O10748" s="42"/>
      <c r="R10748" s="42"/>
      <c r="AC10748" s="42"/>
    </row>
    <row r="10749" spans="15:29" x14ac:dyDescent="0.25">
      <c r="O10749" s="42"/>
      <c r="R10749" s="42"/>
      <c r="AC10749" s="42"/>
    </row>
    <row r="10750" spans="15:29" x14ac:dyDescent="0.25">
      <c r="O10750" s="42"/>
      <c r="R10750" s="42"/>
      <c r="AC10750" s="42"/>
    </row>
    <row r="10751" spans="15:29" x14ac:dyDescent="0.25">
      <c r="O10751" s="42"/>
      <c r="R10751" s="42"/>
      <c r="AC10751" s="42"/>
    </row>
    <row r="10752" spans="15:29" x14ac:dyDescent="0.25">
      <c r="O10752" s="42"/>
      <c r="R10752" s="42"/>
      <c r="AC10752" s="42"/>
    </row>
    <row r="10753" spans="15:29" x14ac:dyDescent="0.25">
      <c r="O10753" s="42"/>
      <c r="R10753" s="42"/>
      <c r="AC10753" s="42"/>
    </row>
    <row r="10754" spans="15:29" x14ac:dyDescent="0.25">
      <c r="O10754" s="42"/>
      <c r="R10754" s="42"/>
      <c r="AC10754" s="42"/>
    </row>
    <row r="10755" spans="15:29" x14ac:dyDescent="0.25">
      <c r="O10755" s="42"/>
      <c r="R10755" s="42"/>
      <c r="AC10755" s="42"/>
    </row>
    <row r="10756" spans="15:29" x14ac:dyDescent="0.25">
      <c r="O10756" s="42"/>
      <c r="R10756" s="42"/>
      <c r="AC10756" s="42"/>
    </row>
    <row r="10757" spans="15:29" x14ac:dyDescent="0.25">
      <c r="O10757" s="42"/>
      <c r="R10757" s="42"/>
      <c r="AC10757" s="42"/>
    </row>
    <row r="10758" spans="15:29" x14ac:dyDescent="0.25">
      <c r="O10758" s="42"/>
      <c r="R10758" s="42"/>
      <c r="AC10758" s="42"/>
    </row>
    <row r="10759" spans="15:29" x14ac:dyDescent="0.25">
      <c r="O10759" s="42"/>
      <c r="R10759" s="42"/>
      <c r="AC10759" s="42"/>
    </row>
    <row r="10760" spans="15:29" x14ac:dyDescent="0.25">
      <c r="O10760" s="42"/>
      <c r="R10760" s="42"/>
      <c r="AC10760" s="42"/>
    </row>
    <row r="10761" spans="15:29" x14ac:dyDescent="0.25">
      <c r="O10761" s="42"/>
      <c r="R10761" s="42"/>
      <c r="AC10761" s="42"/>
    </row>
    <row r="10762" spans="15:29" x14ac:dyDescent="0.25">
      <c r="O10762" s="42"/>
      <c r="R10762" s="42"/>
      <c r="AC10762" s="42"/>
    </row>
    <row r="10763" spans="15:29" x14ac:dyDescent="0.25">
      <c r="O10763" s="42"/>
      <c r="R10763" s="42"/>
      <c r="AC10763" s="42"/>
    </row>
    <row r="10764" spans="15:29" x14ac:dyDescent="0.25">
      <c r="O10764" s="42"/>
      <c r="R10764" s="42"/>
      <c r="AC10764" s="42"/>
    </row>
    <row r="10765" spans="15:29" x14ac:dyDescent="0.25">
      <c r="O10765" s="42"/>
      <c r="R10765" s="42"/>
      <c r="AC10765" s="42"/>
    </row>
    <row r="10766" spans="15:29" x14ac:dyDescent="0.25">
      <c r="O10766" s="42"/>
      <c r="R10766" s="42"/>
      <c r="AC10766" s="42"/>
    </row>
    <row r="10767" spans="15:29" x14ac:dyDescent="0.25">
      <c r="O10767" s="42"/>
      <c r="R10767" s="42"/>
      <c r="AC10767" s="42"/>
    </row>
    <row r="10768" spans="15:29" x14ac:dyDescent="0.25">
      <c r="O10768" s="42"/>
      <c r="R10768" s="42"/>
      <c r="AC10768" s="42"/>
    </row>
    <row r="10769" spans="15:29" x14ac:dyDescent="0.25">
      <c r="O10769" s="42"/>
      <c r="R10769" s="42"/>
      <c r="AC10769" s="42"/>
    </row>
    <row r="10770" spans="15:29" x14ac:dyDescent="0.25">
      <c r="O10770" s="42"/>
      <c r="R10770" s="42"/>
      <c r="AC10770" s="42"/>
    </row>
    <row r="10771" spans="15:29" x14ac:dyDescent="0.25">
      <c r="O10771" s="42"/>
      <c r="R10771" s="42"/>
      <c r="AC10771" s="42"/>
    </row>
    <row r="10772" spans="15:29" x14ac:dyDescent="0.25">
      <c r="O10772" s="42"/>
      <c r="R10772" s="42"/>
      <c r="AC10772" s="42"/>
    </row>
    <row r="10773" spans="15:29" x14ac:dyDescent="0.25">
      <c r="O10773" s="42"/>
      <c r="R10773" s="42"/>
      <c r="AC10773" s="42"/>
    </row>
    <row r="10774" spans="15:29" x14ac:dyDescent="0.25">
      <c r="O10774" s="42"/>
      <c r="R10774" s="42"/>
      <c r="AC10774" s="42"/>
    </row>
    <row r="10775" spans="15:29" x14ac:dyDescent="0.25">
      <c r="O10775" s="42"/>
      <c r="R10775" s="42"/>
      <c r="AC10775" s="42"/>
    </row>
    <row r="10776" spans="15:29" x14ac:dyDescent="0.25">
      <c r="O10776" s="42"/>
      <c r="R10776" s="42"/>
      <c r="AC10776" s="42"/>
    </row>
    <row r="10777" spans="15:29" x14ac:dyDescent="0.25">
      <c r="O10777" s="42"/>
      <c r="R10777" s="42"/>
      <c r="AC10777" s="42"/>
    </row>
    <row r="10778" spans="15:29" x14ac:dyDescent="0.25">
      <c r="O10778" s="42"/>
      <c r="R10778" s="42"/>
      <c r="AC10778" s="42"/>
    </row>
    <row r="10779" spans="15:29" x14ac:dyDescent="0.25">
      <c r="O10779" s="42"/>
      <c r="R10779" s="42"/>
      <c r="AC10779" s="42"/>
    </row>
    <row r="10780" spans="15:29" x14ac:dyDescent="0.25">
      <c r="O10780" s="42"/>
      <c r="R10780" s="42"/>
      <c r="AC10780" s="42"/>
    </row>
    <row r="10781" spans="15:29" x14ac:dyDescent="0.25">
      <c r="O10781" s="42"/>
      <c r="R10781" s="42"/>
      <c r="AC10781" s="42"/>
    </row>
    <row r="10782" spans="15:29" x14ac:dyDescent="0.25">
      <c r="O10782" s="42"/>
      <c r="R10782" s="42"/>
      <c r="AC10782" s="42"/>
    </row>
    <row r="10783" spans="15:29" x14ac:dyDescent="0.25">
      <c r="O10783" s="42"/>
      <c r="R10783" s="42"/>
      <c r="AC10783" s="42"/>
    </row>
    <row r="10784" spans="15:29" x14ac:dyDescent="0.25">
      <c r="O10784" s="42"/>
      <c r="R10784" s="42"/>
      <c r="AC10784" s="42"/>
    </row>
    <row r="10785" spans="15:29" x14ac:dyDescent="0.25">
      <c r="O10785" s="42"/>
      <c r="R10785" s="42"/>
      <c r="AC10785" s="42"/>
    </row>
    <row r="10786" spans="15:29" x14ac:dyDescent="0.25">
      <c r="O10786" s="42"/>
      <c r="R10786" s="42"/>
      <c r="AC10786" s="42"/>
    </row>
    <row r="10787" spans="15:29" x14ac:dyDescent="0.25">
      <c r="O10787" s="42"/>
      <c r="R10787" s="42"/>
      <c r="AC10787" s="42"/>
    </row>
    <row r="10788" spans="15:29" x14ac:dyDescent="0.25">
      <c r="O10788" s="42"/>
      <c r="R10788" s="42"/>
      <c r="AC10788" s="42"/>
    </row>
    <row r="10789" spans="15:29" x14ac:dyDescent="0.25">
      <c r="O10789" s="42"/>
      <c r="R10789" s="42"/>
      <c r="AC10789" s="42"/>
    </row>
    <row r="10790" spans="15:29" x14ac:dyDescent="0.25">
      <c r="O10790" s="42"/>
      <c r="R10790" s="42"/>
      <c r="AC10790" s="42"/>
    </row>
    <row r="10791" spans="15:29" x14ac:dyDescent="0.25">
      <c r="O10791" s="42"/>
      <c r="R10791" s="42"/>
      <c r="AC10791" s="42"/>
    </row>
    <row r="10792" spans="15:29" x14ac:dyDescent="0.25">
      <c r="O10792" s="42"/>
      <c r="R10792" s="42"/>
      <c r="AC10792" s="42"/>
    </row>
    <row r="10793" spans="15:29" x14ac:dyDescent="0.25">
      <c r="O10793" s="42"/>
      <c r="R10793" s="42"/>
      <c r="AC10793" s="42"/>
    </row>
    <row r="10794" spans="15:29" x14ac:dyDescent="0.25">
      <c r="O10794" s="42"/>
      <c r="R10794" s="42"/>
      <c r="AC10794" s="42"/>
    </row>
    <row r="10795" spans="15:29" x14ac:dyDescent="0.25">
      <c r="O10795" s="42"/>
      <c r="R10795" s="42"/>
      <c r="AC10795" s="42"/>
    </row>
    <row r="10796" spans="15:29" x14ac:dyDescent="0.25">
      <c r="O10796" s="42"/>
      <c r="R10796" s="42"/>
      <c r="AC10796" s="42"/>
    </row>
    <row r="10797" spans="15:29" x14ac:dyDescent="0.25">
      <c r="O10797" s="42"/>
      <c r="R10797" s="42"/>
      <c r="AC10797" s="42"/>
    </row>
    <row r="10798" spans="15:29" x14ac:dyDescent="0.25">
      <c r="O10798" s="42"/>
      <c r="R10798" s="42"/>
      <c r="AC10798" s="42"/>
    </row>
    <row r="10799" spans="15:29" x14ac:dyDescent="0.25">
      <c r="O10799" s="42"/>
      <c r="R10799" s="42"/>
      <c r="AC10799" s="42"/>
    </row>
    <row r="10800" spans="15:29" x14ac:dyDescent="0.25">
      <c r="O10800" s="42"/>
      <c r="R10800" s="42"/>
      <c r="AC10800" s="42"/>
    </row>
    <row r="10801" spans="15:29" x14ac:dyDescent="0.25">
      <c r="O10801" s="42"/>
      <c r="R10801" s="42"/>
      <c r="AC10801" s="42"/>
    </row>
    <row r="10802" spans="15:29" x14ac:dyDescent="0.25">
      <c r="O10802" s="42"/>
      <c r="R10802" s="42"/>
      <c r="AC10802" s="42"/>
    </row>
    <row r="10803" spans="15:29" x14ac:dyDescent="0.25">
      <c r="O10803" s="42"/>
      <c r="R10803" s="42"/>
      <c r="AC10803" s="42"/>
    </row>
    <row r="10804" spans="15:29" x14ac:dyDescent="0.25">
      <c r="O10804" s="42"/>
      <c r="R10804" s="42"/>
      <c r="AC10804" s="42"/>
    </row>
    <row r="10805" spans="15:29" x14ac:dyDescent="0.25">
      <c r="O10805" s="42"/>
      <c r="R10805" s="42"/>
      <c r="AC10805" s="42"/>
    </row>
    <row r="10806" spans="15:29" x14ac:dyDescent="0.25">
      <c r="O10806" s="42"/>
      <c r="R10806" s="42"/>
      <c r="AC10806" s="42"/>
    </row>
    <row r="10807" spans="15:29" x14ac:dyDescent="0.25">
      <c r="O10807" s="42"/>
      <c r="R10807" s="42"/>
      <c r="AC10807" s="42"/>
    </row>
    <row r="10808" spans="15:29" x14ac:dyDescent="0.25">
      <c r="O10808" s="42"/>
      <c r="R10808" s="42"/>
      <c r="AC10808" s="42"/>
    </row>
    <row r="10809" spans="15:29" x14ac:dyDescent="0.25">
      <c r="O10809" s="42"/>
      <c r="R10809" s="42"/>
      <c r="AC10809" s="42"/>
    </row>
    <row r="10810" spans="15:29" x14ac:dyDescent="0.25">
      <c r="O10810" s="42"/>
      <c r="R10810" s="42"/>
      <c r="AC10810" s="42"/>
    </row>
    <row r="10811" spans="15:29" x14ac:dyDescent="0.25">
      <c r="O10811" s="42"/>
      <c r="R10811" s="42"/>
      <c r="AC10811" s="42"/>
    </row>
    <row r="10812" spans="15:29" x14ac:dyDescent="0.25">
      <c r="O10812" s="42"/>
      <c r="R10812" s="42"/>
      <c r="AC10812" s="42"/>
    </row>
    <row r="10813" spans="15:29" x14ac:dyDescent="0.25">
      <c r="O10813" s="42"/>
      <c r="R10813" s="42"/>
      <c r="AC10813" s="42"/>
    </row>
    <row r="10814" spans="15:29" x14ac:dyDescent="0.25">
      <c r="O10814" s="42"/>
      <c r="R10814" s="42"/>
      <c r="AC10814" s="42"/>
    </row>
    <row r="10815" spans="15:29" x14ac:dyDescent="0.25">
      <c r="O10815" s="42"/>
      <c r="R10815" s="42"/>
      <c r="AC10815" s="42"/>
    </row>
    <row r="10816" spans="15:29" x14ac:dyDescent="0.25">
      <c r="O10816" s="42"/>
      <c r="R10816" s="42"/>
      <c r="AC10816" s="42"/>
    </row>
    <row r="10817" spans="15:29" x14ac:dyDescent="0.25">
      <c r="O10817" s="42"/>
      <c r="R10817" s="42"/>
      <c r="AC10817" s="42"/>
    </row>
    <row r="10818" spans="15:29" x14ac:dyDescent="0.25">
      <c r="O10818" s="42"/>
      <c r="R10818" s="42"/>
      <c r="AC10818" s="42"/>
    </row>
    <row r="10819" spans="15:29" x14ac:dyDescent="0.25">
      <c r="O10819" s="42"/>
      <c r="R10819" s="42"/>
      <c r="AC10819" s="42"/>
    </row>
    <row r="10820" spans="15:29" x14ac:dyDescent="0.25">
      <c r="O10820" s="42"/>
      <c r="R10820" s="42"/>
      <c r="AC10820" s="42"/>
    </row>
    <row r="10821" spans="15:29" x14ac:dyDescent="0.25">
      <c r="O10821" s="42"/>
      <c r="R10821" s="42"/>
      <c r="AC10821" s="42"/>
    </row>
    <row r="10822" spans="15:29" x14ac:dyDescent="0.25">
      <c r="O10822" s="42"/>
      <c r="R10822" s="42"/>
      <c r="AC10822" s="42"/>
    </row>
    <row r="10823" spans="15:29" x14ac:dyDescent="0.25">
      <c r="O10823" s="42"/>
      <c r="R10823" s="42"/>
      <c r="AC10823" s="42"/>
    </row>
    <row r="10824" spans="15:29" x14ac:dyDescent="0.25">
      <c r="O10824" s="42"/>
      <c r="R10824" s="42"/>
      <c r="AC10824" s="42"/>
    </row>
    <row r="10825" spans="15:29" x14ac:dyDescent="0.25">
      <c r="O10825" s="42"/>
      <c r="R10825" s="42"/>
      <c r="AC10825" s="42"/>
    </row>
    <row r="10826" spans="15:29" x14ac:dyDescent="0.25">
      <c r="O10826" s="42"/>
      <c r="R10826" s="42"/>
      <c r="AC10826" s="42"/>
    </row>
    <row r="10827" spans="15:29" x14ac:dyDescent="0.25">
      <c r="O10827" s="42"/>
      <c r="R10827" s="42"/>
      <c r="AC10827" s="42"/>
    </row>
    <row r="10828" spans="15:29" x14ac:dyDescent="0.25">
      <c r="O10828" s="42"/>
      <c r="R10828" s="42"/>
      <c r="AC10828" s="42"/>
    </row>
    <row r="10829" spans="15:29" x14ac:dyDescent="0.25">
      <c r="O10829" s="42"/>
      <c r="R10829" s="42"/>
      <c r="AC10829" s="42"/>
    </row>
    <row r="10830" spans="15:29" x14ac:dyDescent="0.25">
      <c r="O10830" s="42"/>
      <c r="R10830" s="42"/>
      <c r="AC10830" s="42"/>
    </row>
    <row r="10831" spans="15:29" x14ac:dyDescent="0.25">
      <c r="O10831" s="42"/>
      <c r="R10831" s="42"/>
      <c r="AC10831" s="42"/>
    </row>
    <row r="10832" spans="15:29" x14ac:dyDescent="0.25">
      <c r="O10832" s="42"/>
      <c r="R10832" s="42"/>
      <c r="AC10832" s="42"/>
    </row>
    <row r="10833" spans="15:29" x14ac:dyDescent="0.25">
      <c r="O10833" s="42"/>
      <c r="R10833" s="42"/>
      <c r="AC10833" s="42"/>
    </row>
    <row r="10834" spans="15:29" x14ac:dyDescent="0.25">
      <c r="O10834" s="42"/>
      <c r="R10834" s="42"/>
      <c r="AC10834" s="42"/>
    </row>
    <row r="10835" spans="15:29" x14ac:dyDescent="0.25">
      <c r="O10835" s="42"/>
      <c r="R10835" s="42"/>
      <c r="AC10835" s="42"/>
    </row>
    <row r="10836" spans="15:29" x14ac:dyDescent="0.25">
      <c r="O10836" s="42"/>
      <c r="R10836" s="42"/>
      <c r="AC10836" s="42"/>
    </row>
    <row r="10837" spans="15:29" x14ac:dyDescent="0.25">
      <c r="O10837" s="42"/>
      <c r="R10837" s="42"/>
      <c r="AC10837" s="42"/>
    </row>
    <row r="10838" spans="15:29" x14ac:dyDescent="0.25">
      <c r="O10838" s="42"/>
      <c r="R10838" s="42"/>
      <c r="AC10838" s="42"/>
    </row>
    <row r="10839" spans="15:29" x14ac:dyDescent="0.25">
      <c r="O10839" s="42"/>
      <c r="R10839" s="42"/>
      <c r="AC10839" s="42"/>
    </row>
    <row r="10840" spans="15:29" x14ac:dyDescent="0.25">
      <c r="O10840" s="42"/>
      <c r="R10840" s="42"/>
      <c r="AC10840" s="42"/>
    </row>
    <row r="10841" spans="15:29" x14ac:dyDescent="0.25">
      <c r="O10841" s="42"/>
      <c r="R10841" s="42"/>
      <c r="AC10841" s="42"/>
    </row>
    <row r="10842" spans="15:29" x14ac:dyDescent="0.25">
      <c r="O10842" s="42"/>
      <c r="R10842" s="42"/>
      <c r="AC10842" s="42"/>
    </row>
    <row r="10843" spans="15:29" x14ac:dyDescent="0.25">
      <c r="O10843" s="42"/>
      <c r="R10843" s="42"/>
      <c r="AC10843" s="42"/>
    </row>
    <row r="10844" spans="15:29" x14ac:dyDescent="0.25">
      <c r="O10844" s="42"/>
      <c r="R10844" s="42"/>
      <c r="AC10844" s="42"/>
    </row>
    <row r="10845" spans="15:29" x14ac:dyDescent="0.25">
      <c r="O10845" s="42"/>
      <c r="R10845" s="42"/>
      <c r="AC10845" s="42"/>
    </row>
    <row r="10846" spans="15:29" x14ac:dyDescent="0.25">
      <c r="O10846" s="42"/>
      <c r="R10846" s="42"/>
      <c r="AC10846" s="42"/>
    </row>
    <row r="10847" spans="15:29" x14ac:dyDescent="0.25">
      <c r="O10847" s="42"/>
      <c r="R10847" s="42"/>
      <c r="AC10847" s="42"/>
    </row>
    <row r="10848" spans="15:29" x14ac:dyDescent="0.25">
      <c r="O10848" s="42"/>
      <c r="R10848" s="42"/>
      <c r="AC10848" s="42"/>
    </row>
    <row r="10849" spans="15:29" x14ac:dyDescent="0.25">
      <c r="O10849" s="42"/>
      <c r="R10849" s="42"/>
      <c r="AC10849" s="42"/>
    </row>
    <row r="10850" spans="15:29" x14ac:dyDescent="0.25">
      <c r="O10850" s="42"/>
      <c r="R10850" s="42"/>
      <c r="AC10850" s="42"/>
    </row>
    <row r="10851" spans="15:29" x14ac:dyDescent="0.25">
      <c r="O10851" s="42"/>
      <c r="R10851" s="42"/>
      <c r="AC10851" s="42"/>
    </row>
    <row r="10852" spans="15:29" x14ac:dyDescent="0.25">
      <c r="O10852" s="42"/>
      <c r="R10852" s="42"/>
      <c r="AC10852" s="42"/>
    </row>
    <row r="10853" spans="15:29" x14ac:dyDescent="0.25">
      <c r="O10853" s="42"/>
      <c r="R10853" s="42"/>
      <c r="AC10853" s="42"/>
    </row>
    <row r="10854" spans="15:29" x14ac:dyDescent="0.25">
      <c r="O10854" s="42"/>
      <c r="R10854" s="42"/>
      <c r="AC10854" s="42"/>
    </row>
    <row r="10855" spans="15:29" x14ac:dyDescent="0.25">
      <c r="O10855" s="42"/>
      <c r="R10855" s="42"/>
      <c r="AC10855" s="42"/>
    </row>
    <row r="10856" spans="15:29" x14ac:dyDescent="0.25">
      <c r="O10856" s="42"/>
      <c r="R10856" s="42"/>
      <c r="AC10856" s="42"/>
    </row>
    <row r="10857" spans="15:29" x14ac:dyDescent="0.25">
      <c r="O10857" s="42"/>
      <c r="R10857" s="42"/>
      <c r="AC10857" s="42"/>
    </row>
    <row r="10858" spans="15:29" x14ac:dyDescent="0.25">
      <c r="O10858" s="42"/>
      <c r="R10858" s="42"/>
      <c r="AC10858" s="42"/>
    </row>
    <row r="10859" spans="15:29" x14ac:dyDescent="0.25">
      <c r="O10859" s="42"/>
      <c r="R10859" s="42"/>
      <c r="AC10859" s="42"/>
    </row>
    <row r="10860" spans="15:29" x14ac:dyDescent="0.25">
      <c r="O10860" s="42"/>
      <c r="R10860" s="42"/>
      <c r="AC10860" s="42"/>
    </row>
    <row r="10861" spans="15:29" x14ac:dyDescent="0.25">
      <c r="O10861" s="42"/>
      <c r="R10861" s="42"/>
      <c r="AC10861" s="42"/>
    </row>
    <row r="10862" spans="15:29" x14ac:dyDescent="0.25">
      <c r="O10862" s="42"/>
      <c r="R10862" s="42"/>
      <c r="AC10862" s="42"/>
    </row>
    <row r="10863" spans="15:29" x14ac:dyDescent="0.25">
      <c r="O10863" s="42"/>
      <c r="R10863" s="42"/>
      <c r="AC10863" s="42"/>
    </row>
    <row r="10864" spans="15:29" x14ac:dyDescent="0.25">
      <c r="O10864" s="42"/>
      <c r="R10864" s="42"/>
      <c r="AC10864" s="42"/>
    </row>
    <row r="10865" spans="15:29" x14ac:dyDescent="0.25">
      <c r="O10865" s="42"/>
      <c r="R10865" s="42"/>
      <c r="AC10865" s="42"/>
    </row>
    <row r="10866" spans="15:29" x14ac:dyDescent="0.25">
      <c r="O10866" s="42"/>
      <c r="R10866" s="42"/>
      <c r="AC10866" s="42"/>
    </row>
    <row r="10867" spans="15:29" x14ac:dyDescent="0.25">
      <c r="O10867" s="42"/>
      <c r="R10867" s="42"/>
      <c r="AC10867" s="42"/>
    </row>
    <row r="10868" spans="15:29" x14ac:dyDescent="0.25">
      <c r="O10868" s="42"/>
      <c r="R10868" s="42"/>
      <c r="AC10868" s="42"/>
    </row>
    <row r="10869" spans="15:29" x14ac:dyDescent="0.25">
      <c r="O10869" s="42"/>
      <c r="R10869" s="42"/>
      <c r="AC10869" s="42"/>
    </row>
    <row r="10870" spans="15:29" x14ac:dyDescent="0.25">
      <c r="O10870" s="42"/>
      <c r="R10870" s="42"/>
      <c r="AC10870" s="42"/>
    </row>
    <row r="10871" spans="15:29" x14ac:dyDescent="0.25">
      <c r="O10871" s="42"/>
      <c r="R10871" s="42"/>
      <c r="AC10871" s="42"/>
    </row>
    <row r="10872" spans="15:29" x14ac:dyDescent="0.25">
      <c r="O10872" s="42"/>
      <c r="R10872" s="42"/>
      <c r="AC10872" s="42"/>
    </row>
    <row r="10873" spans="15:29" x14ac:dyDescent="0.25">
      <c r="O10873" s="42"/>
      <c r="R10873" s="42"/>
      <c r="AC10873" s="42"/>
    </row>
    <row r="10874" spans="15:29" x14ac:dyDescent="0.25">
      <c r="O10874" s="42"/>
      <c r="R10874" s="42"/>
      <c r="AC10874" s="42"/>
    </row>
    <row r="10875" spans="15:29" x14ac:dyDescent="0.25">
      <c r="O10875" s="42"/>
      <c r="R10875" s="42"/>
      <c r="AC10875" s="42"/>
    </row>
    <row r="10876" spans="15:29" x14ac:dyDescent="0.25">
      <c r="O10876" s="42"/>
      <c r="R10876" s="42"/>
      <c r="AC10876" s="42"/>
    </row>
    <row r="10877" spans="15:29" x14ac:dyDescent="0.25">
      <c r="O10877" s="42"/>
      <c r="R10877" s="42"/>
      <c r="AC10877" s="42"/>
    </row>
    <row r="10878" spans="15:29" x14ac:dyDescent="0.25">
      <c r="O10878" s="42"/>
      <c r="R10878" s="42"/>
      <c r="AC10878" s="42"/>
    </row>
    <row r="10879" spans="15:29" x14ac:dyDescent="0.25">
      <c r="O10879" s="42"/>
      <c r="R10879" s="42"/>
      <c r="AC10879" s="42"/>
    </row>
    <row r="10880" spans="15:29" x14ac:dyDescent="0.25">
      <c r="O10880" s="42"/>
      <c r="R10880" s="42"/>
      <c r="AC10880" s="42"/>
    </row>
    <row r="10881" spans="15:29" x14ac:dyDescent="0.25">
      <c r="O10881" s="42"/>
      <c r="R10881" s="42"/>
      <c r="AC10881" s="42"/>
    </row>
    <row r="10882" spans="15:29" x14ac:dyDescent="0.25">
      <c r="O10882" s="42"/>
      <c r="R10882" s="42"/>
      <c r="AC10882" s="42"/>
    </row>
    <row r="10883" spans="15:29" x14ac:dyDescent="0.25">
      <c r="O10883" s="42"/>
      <c r="R10883" s="42"/>
      <c r="AC10883" s="42"/>
    </row>
    <row r="10884" spans="15:29" x14ac:dyDescent="0.25">
      <c r="O10884" s="42"/>
      <c r="R10884" s="42"/>
      <c r="AC10884" s="42"/>
    </row>
    <row r="10885" spans="15:29" x14ac:dyDescent="0.25">
      <c r="O10885" s="42"/>
      <c r="R10885" s="42"/>
      <c r="AC10885" s="42"/>
    </row>
    <row r="10886" spans="15:29" x14ac:dyDescent="0.25">
      <c r="O10886" s="42"/>
      <c r="R10886" s="42"/>
      <c r="AC10886" s="42"/>
    </row>
    <row r="10887" spans="15:29" x14ac:dyDescent="0.25">
      <c r="O10887" s="42"/>
      <c r="R10887" s="42"/>
      <c r="AC10887" s="42"/>
    </row>
    <row r="10888" spans="15:29" x14ac:dyDescent="0.25">
      <c r="O10888" s="42"/>
      <c r="R10888" s="42"/>
      <c r="AC10888" s="42"/>
    </row>
    <row r="10889" spans="15:29" x14ac:dyDescent="0.25">
      <c r="O10889" s="42"/>
      <c r="R10889" s="42"/>
      <c r="AC10889" s="42"/>
    </row>
    <row r="10890" spans="15:29" x14ac:dyDescent="0.25">
      <c r="O10890" s="42"/>
      <c r="R10890" s="42"/>
      <c r="AC10890" s="42"/>
    </row>
    <row r="10891" spans="15:29" x14ac:dyDescent="0.25">
      <c r="O10891" s="42"/>
      <c r="R10891" s="42"/>
      <c r="AC10891" s="42"/>
    </row>
    <row r="10892" spans="15:29" x14ac:dyDescent="0.25">
      <c r="O10892" s="42"/>
      <c r="R10892" s="42"/>
      <c r="AC10892" s="42"/>
    </row>
    <row r="10893" spans="15:29" x14ac:dyDescent="0.25">
      <c r="O10893" s="42"/>
      <c r="R10893" s="42"/>
      <c r="AC10893" s="42"/>
    </row>
    <row r="10894" spans="15:29" x14ac:dyDescent="0.25">
      <c r="O10894" s="42"/>
      <c r="R10894" s="42"/>
      <c r="AC10894" s="42"/>
    </row>
    <row r="10895" spans="15:29" x14ac:dyDescent="0.25">
      <c r="O10895" s="42"/>
      <c r="R10895" s="42"/>
      <c r="AC10895" s="42"/>
    </row>
    <row r="10896" spans="15:29" x14ac:dyDescent="0.25">
      <c r="O10896" s="42"/>
      <c r="R10896" s="42"/>
      <c r="AC10896" s="42"/>
    </row>
    <row r="10897" spans="15:29" x14ac:dyDescent="0.25">
      <c r="O10897" s="42"/>
      <c r="R10897" s="42"/>
      <c r="AC10897" s="42"/>
    </row>
    <row r="10898" spans="15:29" x14ac:dyDescent="0.25">
      <c r="O10898" s="42"/>
      <c r="R10898" s="42"/>
      <c r="AC10898" s="42"/>
    </row>
    <row r="10899" spans="15:29" x14ac:dyDescent="0.25">
      <c r="O10899" s="42"/>
      <c r="R10899" s="42"/>
      <c r="AC10899" s="42"/>
    </row>
    <row r="10900" spans="15:29" x14ac:dyDescent="0.25">
      <c r="O10900" s="42"/>
      <c r="R10900" s="42"/>
      <c r="AC10900" s="42"/>
    </row>
    <row r="10901" spans="15:29" x14ac:dyDescent="0.25">
      <c r="O10901" s="42"/>
      <c r="R10901" s="42"/>
      <c r="AC10901" s="42"/>
    </row>
    <row r="10902" spans="15:29" x14ac:dyDescent="0.25">
      <c r="O10902" s="42"/>
      <c r="R10902" s="42"/>
      <c r="AC10902" s="42"/>
    </row>
    <row r="10903" spans="15:29" x14ac:dyDescent="0.25">
      <c r="O10903" s="42"/>
      <c r="R10903" s="42"/>
      <c r="AC10903" s="42"/>
    </row>
    <row r="10904" spans="15:29" x14ac:dyDescent="0.25">
      <c r="O10904" s="42"/>
      <c r="R10904" s="42"/>
      <c r="AC10904" s="42"/>
    </row>
    <row r="10905" spans="15:29" x14ac:dyDescent="0.25">
      <c r="O10905" s="42"/>
      <c r="R10905" s="42"/>
      <c r="AC10905" s="42"/>
    </row>
    <row r="10906" spans="15:29" x14ac:dyDescent="0.25">
      <c r="O10906" s="42"/>
      <c r="R10906" s="42"/>
      <c r="AC10906" s="42"/>
    </row>
    <row r="10907" spans="15:29" x14ac:dyDescent="0.25">
      <c r="O10907" s="42"/>
      <c r="R10907" s="42"/>
      <c r="AC10907" s="42"/>
    </row>
    <row r="10908" spans="15:29" x14ac:dyDescent="0.25">
      <c r="O10908" s="42"/>
      <c r="R10908" s="42"/>
      <c r="AC10908" s="42"/>
    </row>
    <row r="10909" spans="15:29" x14ac:dyDescent="0.25">
      <c r="O10909" s="42"/>
      <c r="R10909" s="42"/>
      <c r="AC10909" s="42"/>
    </row>
    <row r="10910" spans="15:29" x14ac:dyDescent="0.25">
      <c r="O10910" s="42"/>
      <c r="R10910" s="42"/>
      <c r="AC10910" s="42"/>
    </row>
    <row r="10911" spans="15:29" x14ac:dyDescent="0.25">
      <c r="O10911" s="42"/>
      <c r="R10911" s="42"/>
      <c r="AC10911" s="42"/>
    </row>
    <row r="10912" spans="15:29" x14ac:dyDescent="0.25">
      <c r="O10912" s="42"/>
      <c r="R10912" s="42"/>
      <c r="AC10912" s="42"/>
    </row>
    <row r="10913" spans="15:29" x14ac:dyDescent="0.25">
      <c r="O10913" s="42"/>
      <c r="R10913" s="42"/>
      <c r="AC10913" s="42"/>
    </row>
    <row r="10914" spans="15:29" x14ac:dyDescent="0.25">
      <c r="O10914" s="42"/>
      <c r="R10914" s="42"/>
      <c r="AC10914" s="42"/>
    </row>
    <row r="10915" spans="15:29" x14ac:dyDescent="0.25">
      <c r="O10915" s="42"/>
      <c r="R10915" s="42"/>
      <c r="AC10915" s="42"/>
    </row>
    <row r="10916" spans="15:29" x14ac:dyDescent="0.25">
      <c r="O10916" s="42"/>
      <c r="R10916" s="42"/>
      <c r="AC10916" s="42"/>
    </row>
    <row r="10917" spans="15:29" x14ac:dyDescent="0.25">
      <c r="O10917" s="42"/>
      <c r="R10917" s="42"/>
      <c r="AC10917" s="42"/>
    </row>
    <row r="10918" spans="15:29" x14ac:dyDescent="0.25">
      <c r="O10918" s="42"/>
      <c r="R10918" s="42"/>
      <c r="AC10918" s="42"/>
    </row>
    <row r="10919" spans="15:29" x14ac:dyDescent="0.25">
      <c r="O10919" s="42"/>
      <c r="R10919" s="42"/>
      <c r="AC10919" s="42"/>
    </row>
    <row r="10920" spans="15:29" x14ac:dyDescent="0.25">
      <c r="O10920" s="42"/>
      <c r="R10920" s="42"/>
      <c r="AC10920" s="42"/>
    </row>
    <row r="10921" spans="15:29" x14ac:dyDescent="0.25">
      <c r="O10921" s="42"/>
      <c r="R10921" s="42"/>
      <c r="AC10921" s="42"/>
    </row>
    <row r="10922" spans="15:29" x14ac:dyDescent="0.25">
      <c r="O10922" s="42"/>
      <c r="R10922" s="42"/>
      <c r="AC10922" s="42"/>
    </row>
    <row r="10923" spans="15:29" x14ac:dyDescent="0.25">
      <c r="O10923" s="42"/>
      <c r="R10923" s="42"/>
      <c r="AC10923" s="42"/>
    </row>
    <row r="10924" spans="15:29" x14ac:dyDescent="0.25">
      <c r="O10924" s="42"/>
      <c r="R10924" s="42"/>
      <c r="AC10924" s="42"/>
    </row>
    <row r="10925" spans="15:29" x14ac:dyDescent="0.25">
      <c r="O10925" s="42"/>
      <c r="R10925" s="42"/>
      <c r="AC10925" s="42"/>
    </row>
    <row r="10926" spans="15:29" x14ac:dyDescent="0.25">
      <c r="O10926" s="42"/>
      <c r="R10926" s="42"/>
      <c r="AC10926" s="42"/>
    </row>
    <row r="10927" spans="15:29" x14ac:dyDescent="0.25">
      <c r="O10927" s="42"/>
      <c r="R10927" s="42"/>
      <c r="AC10927" s="42"/>
    </row>
    <row r="10928" spans="15:29" x14ac:dyDescent="0.25">
      <c r="O10928" s="42"/>
      <c r="R10928" s="42"/>
      <c r="AC10928" s="42"/>
    </row>
    <row r="10929" spans="15:29" x14ac:dyDescent="0.25">
      <c r="O10929" s="42"/>
      <c r="R10929" s="42"/>
      <c r="AC10929" s="42"/>
    </row>
    <row r="10930" spans="15:29" x14ac:dyDescent="0.25">
      <c r="O10930" s="42"/>
      <c r="R10930" s="42"/>
      <c r="AC10930" s="42"/>
    </row>
    <row r="10931" spans="15:29" x14ac:dyDescent="0.25">
      <c r="O10931" s="42"/>
      <c r="R10931" s="42"/>
      <c r="AC10931" s="42"/>
    </row>
    <row r="10932" spans="15:29" x14ac:dyDescent="0.25">
      <c r="O10932" s="42"/>
      <c r="R10932" s="42"/>
      <c r="AC10932" s="42"/>
    </row>
    <row r="10933" spans="15:29" x14ac:dyDescent="0.25">
      <c r="O10933" s="42"/>
      <c r="R10933" s="42"/>
      <c r="AC10933" s="42"/>
    </row>
    <row r="10934" spans="15:29" x14ac:dyDescent="0.25">
      <c r="O10934" s="42"/>
      <c r="R10934" s="42"/>
      <c r="AC10934" s="42"/>
    </row>
    <row r="10935" spans="15:29" x14ac:dyDescent="0.25">
      <c r="O10935" s="42"/>
      <c r="R10935" s="42"/>
      <c r="AC10935" s="42"/>
    </row>
    <row r="10936" spans="15:29" x14ac:dyDescent="0.25">
      <c r="O10936" s="42"/>
      <c r="R10936" s="42"/>
      <c r="AC10936" s="42"/>
    </row>
    <row r="10937" spans="15:29" x14ac:dyDescent="0.25">
      <c r="O10937" s="42"/>
      <c r="R10937" s="42"/>
      <c r="AC10937" s="42"/>
    </row>
    <row r="10938" spans="15:29" x14ac:dyDescent="0.25">
      <c r="O10938" s="42"/>
      <c r="R10938" s="42"/>
      <c r="AC10938" s="42"/>
    </row>
    <row r="10939" spans="15:29" x14ac:dyDescent="0.25">
      <c r="O10939" s="42"/>
      <c r="R10939" s="42"/>
      <c r="AC10939" s="42"/>
    </row>
    <row r="10940" spans="15:29" x14ac:dyDescent="0.25">
      <c r="O10940" s="42"/>
      <c r="R10940" s="42"/>
      <c r="AC10940" s="42"/>
    </row>
    <row r="10941" spans="15:29" x14ac:dyDescent="0.25">
      <c r="O10941" s="42"/>
      <c r="R10941" s="42"/>
      <c r="AC10941" s="42"/>
    </row>
    <row r="10942" spans="15:29" x14ac:dyDescent="0.25">
      <c r="O10942" s="42"/>
      <c r="R10942" s="42"/>
      <c r="AC10942" s="42"/>
    </row>
    <row r="10943" spans="15:29" x14ac:dyDescent="0.25">
      <c r="O10943" s="42"/>
      <c r="R10943" s="42"/>
      <c r="AC10943" s="42"/>
    </row>
    <row r="10944" spans="15:29" x14ac:dyDescent="0.25">
      <c r="O10944" s="42"/>
      <c r="R10944" s="42"/>
      <c r="AC10944" s="42"/>
    </row>
    <row r="10945" spans="15:29" x14ac:dyDescent="0.25">
      <c r="O10945" s="42"/>
      <c r="R10945" s="42"/>
      <c r="AC10945" s="42"/>
    </row>
    <row r="10946" spans="15:29" x14ac:dyDescent="0.25">
      <c r="O10946" s="42"/>
      <c r="R10946" s="42"/>
      <c r="AC10946" s="42"/>
    </row>
    <row r="10947" spans="15:29" x14ac:dyDescent="0.25">
      <c r="O10947" s="42"/>
      <c r="R10947" s="42"/>
      <c r="AC10947" s="42"/>
    </row>
    <row r="10948" spans="15:29" x14ac:dyDescent="0.25">
      <c r="O10948" s="42"/>
      <c r="R10948" s="42"/>
      <c r="AC10948" s="42"/>
    </row>
    <row r="10949" spans="15:29" x14ac:dyDescent="0.25">
      <c r="O10949" s="42"/>
      <c r="R10949" s="42"/>
      <c r="AC10949" s="42"/>
    </row>
    <row r="10950" spans="15:29" x14ac:dyDescent="0.25">
      <c r="O10950" s="42"/>
      <c r="R10950" s="42"/>
      <c r="AC10950" s="42"/>
    </row>
    <row r="10951" spans="15:29" x14ac:dyDescent="0.25">
      <c r="O10951" s="42"/>
      <c r="R10951" s="42"/>
      <c r="AC10951" s="42"/>
    </row>
    <row r="10952" spans="15:29" x14ac:dyDescent="0.25">
      <c r="O10952" s="42"/>
      <c r="R10952" s="42"/>
      <c r="AC10952" s="42"/>
    </row>
    <row r="10953" spans="15:29" x14ac:dyDescent="0.25">
      <c r="O10953" s="42"/>
      <c r="R10953" s="42"/>
      <c r="AC10953" s="42"/>
    </row>
    <row r="10954" spans="15:29" x14ac:dyDescent="0.25">
      <c r="O10954" s="42"/>
      <c r="R10954" s="42"/>
      <c r="AC10954" s="42"/>
    </row>
    <row r="10955" spans="15:29" x14ac:dyDescent="0.25">
      <c r="O10955" s="42"/>
      <c r="R10955" s="42"/>
      <c r="AC10955" s="42"/>
    </row>
    <row r="10956" spans="15:29" x14ac:dyDescent="0.25">
      <c r="O10956" s="42"/>
      <c r="R10956" s="42"/>
      <c r="AC10956" s="42"/>
    </row>
    <row r="10957" spans="15:29" x14ac:dyDescent="0.25">
      <c r="O10957" s="42"/>
      <c r="R10957" s="42"/>
      <c r="AC10957" s="42"/>
    </row>
    <row r="10958" spans="15:29" x14ac:dyDescent="0.25">
      <c r="O10958" s="42"/>
      <c r="R10958" s="42"/>
      <c r="AC10958" s="42"/>
    </row>
    <row r="10959" spans="15:29" x14ac:dyDescent="0.25">
      <c r="O10959" s="42"/>
      <c r="R10959" s="42"/>
      <c r="AC10959" s="42"/>
    </row>
    <row r="10960" spans="15:29" x14ac:dyDescent="0.25">
      <c r="O10960" s="42"/>
      <c r="R10960" s="42"/>
      <c r="AC10960" s="42"/>
    </row>
    <row r="10961" spans="15:29" x14ac:dyDescent="0.25">
      <c r="O10961" s="42"/>
      <c r="R10961" s="42"/>
      <c r="AC10961" s="42"/>
    </row>
    <row r="10962" spans="15:29" x14ac:dyDescent="0.25">
      <c r="O10962" s="42"/>
      <c r="R10962" s="42"/>
      <c r="AC10962" s="42"/>
    </row>
    <row r="10963" spans="15:29" x14ac:dyDescent="0.25">
      <c r="O10963" s="42"/>
      <c r="R10963" s="42"/>
      <c r="AC10963" s="42"/>
    </row>
    <row r="10964" spans="15:29" x14ac:dyDescent="0.25">
      <c r="O10964" s="42"/>
      <c r="R10964" s="42"/>
      <c r="AC10964" s="42"/>
    </row>
    <row r="10965" spans="15:29" x14ac:dyDescent="0.25">
      <c r="O10965" s="42"/>
      <c r="R10965" s="42"/>
      <c r="AC10965" s="42"/>
    </row>
    <row r="10966" spans="15:29" x14ac:dyDescent="0.25">
      <c r="O10966" s="42"/>
      <c r="R10966" s="42"/>
      <c r="AC10966" s="42"/>
    </row>
    <row r="10967" spans="15:29" x14ac:dyDescent="0.25">
      <c r="O10967" s="42"/>
      <c r="R10967" s="42"/>
      <c r="AC10967" s="42"/>
    </row>
    <row r="10968" spans="15:29" x14ac:dyDescent="0.25">
      <c r="O10968" s="42"/>
      <c r="R10968" s="42"/>
      <c r="AC10968" s="42"/>
    </row>
    <row r="10969" spans="15:29" x14ac:dyDescent="0.25">
      <c r="O10969" s="42"/>
      <c r="R10969" s="42"/>
      <c r="AC10969" s="42"/>
    </row>
    <row r="10970" spans="15:29" x14ac:dyDescent="0.25">
      <c r="O10970" s="42"/>
      <c r="R10970" s="42"/>
      <c r="AC10970" s="42"/>
    </row>
    <row r="10971" spans="15:29" x14ac:dyDescent="0.25">
      <c r="O10971" s="42"/>
      <c r="R10971" s="42"/>
      <c r="AC10971" s="42"/>
    </row>
    <row r="10972" spans="15:29" x14ac:dyDescent="0.25">
      <c r="O10972" s="42"/>
      <c r="R10972" s="42"/>
      <c r="AC10972" s="42"/>
    </row>
    <row r="10973" spans="15:29" x14ac:dyDescent="0.25">
      <c r="O10973" s="42"/>
      <c r="R10973" s="42"/>
      <c r="AC10973" s="42"/>
    </row>
    <row r="10974" spans="15:29" x14ac:dyDescent="0.25">
      <c r="O10974" s="42"/>
      <c r="R10974" s="42"/>
      <c r="AC10974" s="42"/>
    </row>
    <row r="10975" spans="15:29" x14ac:dyDescent="0.25">
      <c r="O10975" s="42"/>
      <c r="R10975" s="42"/>
      <c r="AC10975" s="42"/>
    </row>
    <row r="10976" spans="15:29" x14ac:dyDescent="0.25">
      <c r="O10976" s="42"/>
      <c r="R10976" s="42"/>
      <c r="AC10976" s="42"/>
    </row>
    <row r="10977" spans="15:29" x14ac:dyDescent="0.25">
      <c r="O10977" s="42"/>
      <c r="R10977" s="42"/>
      <c r="AC10977" s="42"/>
    </row>
    <row r="10978" spans="15:29" x14ac:dyDescent="0.25">
      <c r="O10978" s="42"/>
      <c r="R10978" s="42"/>
      <c r="AC10978" s="42"/>
    </row>
    <row r="10979" spans="15:29" x14ac:dyDescent="0.25">
      <c r="O10979" s="42"/>
      <c r="R10979" s="42"/>
      <c r="AC10979" s="42"/>
    </row>
    <row r="10980" spans="15:29" x14ac:dyDescent="0.25">
      <c r="O10980" s="42"/>
      <c r="R10980" s="42"/>
      <c r="AC10980" s="42"/>
    </row>
    <row r="10981" spans="15:29" x14ac:dyDescent="0.25">
      <c r="O10981" s="42"/>
      <c r="R10981" s="42"/>
      <c r="AC10981" s="42"/>
    </row>
    <row r="10982" spans="15:29" x14ac:dyDescent="0.25">
      <c r="O10982" s="42"/>
      <c r="R10982" s="42"/>
      <c r="AC10982" s="42"/>
    </row>
    <row r="10983" spans="15:29" x14ac:dyDescent="0.25">
      <c r="O10983" s="42"/>
      <c r="R10983" s="42"/>
      <c r="AC10983" s="42"/>
    </row>
    <row r="10984" spans="15:29" x14ac:dyDescent="0.25">
      <c r="O10984" s="42"/>
      <c r="R10984" s="42"/>
      <c r="AC10984" s="42"/>
    </row>
    <row r="10985" spans="15:29" x14ac:dyDescent="0.25">
      <c r="O10985" s="42"/>
      <c r="R10985" s="42"/>
      <c r="AC10985" s="42"/>
    </row>
    <row r="10986" spans="15:29" x14ac:dyDescent="0.25">
      <c r="O10986" s="42"/>
      <c r="R10986" s="42"/>
      <c r="AC10986" s="42"/>
    </row>
    <row r="10987" spans="15:29" x14ac:dyDescent="0.25">
      <c r="O10987" s="42"/>
      <c r="R10987" s="42"/>
      <c r="AC10987" s="42"/>
    </row>
    <row r="10988" spans="15:29" x14ac:dyDescent="0.25">
      <c r="O10988" s="42"/>
      <c r="R10988" s="42"/>
      <c r="AC10988" s="42"/>
    </row>
    <row r="10989" spans="15:29" x14ac:dyDescent="0.25">
      <c r="O10989" s="42"/>
      <c r="R10989" s="42"/>
      <c r="AC10989" s="42"/>
    </row>
    <row r="10990" spans="15:29" x14ac:dyDescent="0.25">
      <c r="O10990" s="42"/>
      <c r="R10990" s="42"/>
      <c r="AC10990" s="42"/>
    </row>
    <row r="10991" spans="15:29" x14ac:dyDescent="0.25">
      <c r="O10991" s="42"/>
      <c r="R10991" s="42"/>
      <c r="AC10991" s="42"/>
    </row>
    <row r="10992" spans="15:29" x14ac:dyDescent="0.25">
      <c r="O10992" s="42"/>
      <c r="R10992" s="42"/>
      <c r="AC10992" s="42"/>
    </row>
    <row r="10993" spans="15:29" x14ac:dyDescent="0.25">
      <c r="O10993" s="42"/>
      <c r="R10993" s="42"/>
      <c r="AC10993" s="42"/>
    </row>
    <row r="10994" spans="15:29" x14ac:dyDescent="0.25">
      <c r="O10994" s="42"/>
      <c r="R10994" s="42"/>
      <c r="AC10994" s="42"/>
    </row>
    <row r="10995" spans="15:29" x14ac:dyDescent="0.25">
      <c r="O10995" s="42"/>
      <c r="R10995" s="42"/>
      <c r="AC10995" s="42"/>
    </row>
    <row r="10996" spans="15:29" x14ac:dyDescent="0.25">
      <c r="O10996" s="42"/>
      <c r="R10996" s="42"/>
      <c r="AC10996" s="42"/>
    </row>
    <row r="10997" spans="15:29" x14ac:dyDescent="0.25">
      <c r="O10997" s="42"/>
      <c r="R10997" s="42"/>
      <c r="AC10997" s="42"/>
    </row>
    <row r="10998" spans="15:29" x14ac:dyDescent="0.25">
      <c r="O10998" s="42"/>
      <c r="R10998" s="42"/>
      <c r="AC10998" s="42"/>
    </row>
    <row r="10999" spans="15:29" x14ac:dyDescent="0.25">
      <c r="O10999" s="42"/>
      <c r="R10999" s="42"/>
      <c r="AC10999" s="42"/>
    </row>
    <row r="11000" spans="15:29" x14ac:dyDescent="0.25">
      <c r="O11000" s="42"/>
      <c r="R11000" s="42"/>
      <c r="AC11000" s="42"/>
    </row>
    <row r="11001" spans="15:29" x14ac:dyDescent="0.25">
      <c r="O11001" s="42"/>
      <c r="R11001" s="42"/>
      <c r="AC11001" s="42"/>
    </row>
    <row r="11002" spans="15:29" x14ac:dyDescent="0.25">
      <c r="O11002" s="42"/>
      <c r="R11002" s="42"/>
      <c r="AC11002" s="42"/>
    </row>
    <row r="11003" spans="15:29" x14ac:dyDescent="0.25">
      <c r="O11003" s="42"/>
      <c r="R11003" s="42"/>
      <c r="AC11003" s="42"/>
    </row>
    <row r="11004" spans="15:29" x14ac:dyDescent="0.25">
      <c r="O11004" s="42"/>
      <c r="R11004" s="42"/>
      <c r="AC11004" s="42"/>
    </row>
    <row r="11005" spans="15:29" x14ac:dyDescent="0.25">
      <c r="O11005" s="42"/>
      <c r="R11005" s="42"/>
      <c r="AC11005" s="42"/>
    </row>
    <row r="11006" spans="15:29" x14ac:dyDescent="0.25">
      <c r="O11006" s="42"/>
      <c r="R11006" s="42"/>
      <c r="AC11006" s="42"/>
    </row>
    <row r="11007" spans="15:29" x14ac:dyDescent="0.25">
      <c r="O11007" s="42"/>
      <c r="R11007" s="42"/>
      <c r="AC11007" s="42"/>
    </row>
    <row r="11008" spans="15:29" x14ac:dyDescent="0.25">
      <c r="O11008" s="42"/>
      <c r="R11008" s="42"/>
      <c r="AC11008" s="42"/>
    </row>
    <row r="11009" spans="15:29" x14ac:dyDescent="0.25">
      <c r="O11009" s="42"/>
      <c r="R11009" s="42"/>
      <c r="AC11009" s="42"/>
    </row>
    <row r="11010" spans="15:29" x14ac:dyDescent="0.25">
      <c r="O11010" s="42"/>
      <c r="R11010" s="42"/>
      <c r="AC11010" s="42"/>
    </row>
    <row r="11011" spans="15:29" x14ac:dyDescent="0.25">
      <c r="O11011" s="42"/>
      <c r="R11011" s="42"/>
      <c r="AC11011" s="42"/>
    </row>
    <row r="11012" spans="15:29" x14ac:dyDescent="0.25">
      <c r="O11012" s="42"/>
      <c r="R11012" s="42"/>
      <c r="AC11012" s="42"/>
    </row>
    <row r="11013" spans="15:29" x14ac:dyDescent="0.25">
      <c r="O11013" s="42"/>
      <c r="R11013" s="42"/>
      <c r="AC11013" s="42"/>
    </row>
    <row r="11014" spans="15:29" x14ac:dyDescent="0.25">
      <c r="O11014" s="42"/>
      <c r="R11014" s="42"/>
      <c r="AC11014" s="42"/>
    </row>
    <row r="11015" spans="15:29" x14ac:dyDescent="0.25">
      <c r="O11015" s="42"/>
      <c r="R11015" s="42"/>
      <c r="AC11015" s="42"/>
    </row>
    <row r="11016" spans="15:29" x14ac:dyDescent="0.25">
      <c r="O11016" s="42"/>
      <c r="R11016" s="42"/>
      <c r="AC11016" s="42"/>
    </row>
    <row r="11017" spans="15:29" x14ac:dyDescent="0.25">
      <c r="O11017" s="42"/>
      <c r="R11017" s="42"/>
      <c r="AC11017" s="42"/>
    </row>
    <row r="11018" spans="15:29" x14ac:dyDescent="0.25">
      <c r="O11018" s="42"/>
      <c r="R11018" s="42"/>
      <c r="AC11018" s="42"/>
    </row>
    <row r="11019" spans="15:29" x14ac:dyDescent="0.25">
      <c r="O11019" s="42"/>
      <c r="R11019" s="42"/>
      <c r="AC11019" s="42"/>
    </row>
    <row r="11020" spans="15:29" x14ac:dyDescent="0.25">
      <c r="O11020" s="42"/>
      <c r="R11020" s="42"/>
      <c r="AC11020" s="42"/>
    </row>
    <row r="11021" spans="15:29" x14ac:dyDescent="0.25">
      <c r="O11021" s="42"/>
      <c r="R11021" s="42"/>
      <c r="AC11021" s="42"/>
    </row>
    <row r="11022" spans="15:29" x14ac:dyDescent="0.25">
      <c r="O11022" s="42"/>
      <c r="R11022" s="42"/>
      <c r="AC11022" s="42"/>
    </row>
    <row r="11023" spans="15:29" x14ac:dyDescent="0.25">
      <c r="O11023" s="42"/>
      <c r="R11023" s="42"/>
      <c r="AC11023" s="42"/>
    </row>
    <row r="11024" spans="15:29" x14ac:dyDescent="0.25">
      <c r="O11024" s="42"/>
      <c r="R11024" s="42"/>
      <c r="AC11024" s="42"/>
    </row>
    <row r="11025" spans="15:29" x14ac:dyDescent="0.25">
      <c r="O11025" s="42"/>
      <c r="R11025" s="42"/>
      <c r="AC11025" s="42"/>
    </row>
    <row r="11026" spans="15:29" x14ac:dyDescent="0.25">
      <c r="O11026" s="42"/>
      <c r="R11026" s="42"/>
      <c r="AC11026" s="42"/>
    </row>
    <row r="11027" spans="15:29" x14ac:dyDescent="0.25">
      <c r="O11027" s="42"/>
      <c r="R11027" s="42"/>
      <c r="AC11027" s="42"/>
    </row>
    <row r="11028" spans="15:29" x14ac:dyDescent="0.25">
      <c r="O11028" s="42"/>
      <c r="R11028" s="42"/>
      <c r="AC11028" s="42"/>
    </row>
    <row r="11029" spans="15:29" x14ac:dyDescent="0.25">
      <c r="O11029" s="42"/>
      <c r="R11029" s="42"/>
      <c r="AC11029" s="42"/>
    </row>
    <row r="11030" spans="15:29" x14ac:dyDescent="0.25">
      <c r="O11030" s="42"/>
      <c r="R11030" s="42"/>
      <c r="AC11030" s="42"/>
    </row>
    <row r="11031" spans="15:29" x14ac:dyDescent="0.25">
      <c r="O11031" s="42"/>
      <c r="R11031" s="42"/>
      <c r="AC11031" s="42"/>
    </row>
    <row r="11032" spans="15:29" x14ac:dyDescent="0.25">
      <c r="O11032" s="42"/>
      <c r="R11032" s="42"/>
      <c r="AC11032" s="42"/>
    </row>
    <row r="11033" spans="15:29" x14ac:dyDescent="0.25">
      <c r="O11033" s="42"/>
      <c r="R11033" s="42"/>
      <c r="AC11033" s="42"/>
    </row>
    <row r="11034" spans="15:29" x14ac:dyDescent="0.25">
      <c r="O11034" s="42"/>
      <c r="R11034" s="42"/>
      <c r="AC11034" s="42"/>
    </row>
    <row r="11035" spans="15:29" x14ac:dyDescent="0.25">
      <c r="O11035" s="42"/>
      <c r="R11035" s="42"/>
      <c r="AC11035" s="42"/>
    </row>
    <row r="11036" spans="15:29" x14ac:dyDescent="0.25">
      <c r="O11036" s="42"/>
      <c r="R11036" s="42"/>
      <c r="AC11036" s="42"/>
    </row>
    <row r="11037" spans="15:29" x14ac:dyDescent="0.25">
      <c r="O11037" s="42"/>
      <c r="R11037" s="42"/>
      <c r="AC11037" s="42"/>
    </row>
    <row r="11038" spans="15:29" x14ac:dyDescent="0.25">
      <c r="O11038" s="42"/>
      <c r="R11038" s="42"/>
      <c r="AC11038" s="42"/>
    </row>
    <row r="11039" spans="15:29" x14ac:dyDescent="0.25">
      <c r="O11039" s="42"/>
      <c r="R11039" s="42"/>
      <c r="AC11039" s="42"/>
    </row>
    <row r="11040" spans="15:29" x14ac:dyDescent="0.25">
      <c r="O11040" s="42"/>
      <c r="R11040" s="42"/>
      <c r="AC11040" s="42"/>
    </row>
    <row r="11041" spans="15:29" x14ac:dyDescent="0.25">
      <c r="O11041" s="42"/>
      <c r="R11041" s="42"/>
      <c r="AC11041" s="42"/>
    </row>
    <row r="11042" spans="15:29" x14ac:dyDescent="0.25">
      <c r="O11042" s="42"/>
      <c r="R11042" s="42"/>
      <c r="AC11042" s="42"/>
    </row>
    <row r="11043" spans="15:29" x14ac:dyDescent="0.25">
      <c r="O11043" s="42"/>
      <c r="R11043" s="42"/>
      <c r="AC11043" s="42"/>
    </row>
    <row r="11044" spans="15:29" x14ac:dyDescent="0.25">
      <c r="O11044" s="42"/>
      <c r="R11044" s="42"/>
      <c r="AC11044" s="42"/>
    </row>
    <row r="11045" spans="15:29" x14ac:dyDescent="0.25">
      <c r="O11045" s="42"/>
      <c r="R11045" s="42"/>
      <c r="AC11045" s="42"/>
    </row>
    <row r="11046" spans="15:29" x14ac:dyDescent="0.25">
      <c r="O11046" s="42"/>
      <c r="R11046" s="42"/>
      <c r="AC11046" s="42"/>
    </row>
    <row r="11047" spans="15:29" x14ac:dyDescent="0.25">
      <c r="O11047" s="42"/>
      <c r="R11047" s="42"/>
      <c r="AC11047" s="42"/>
    </row>
    <row r="11048" spans="15:29" x14ac:dyDescent="0.25">
      <c r="O11048" s="42"/>
      <c r="R11048" s="42"/>
      <c r="AC11048" s="42"/>
    </row>
    <row r="11049" spans="15:29" x14ac:dyDescent="0.25">
      <c r="O11049" s="42"/>
      <c r="R11049" s="42"/>
      <c r="AC11049" s="42"/>
    </row>
    <row r="11050" spans="15:29" x14ac:dyDescent="0.25">
      <c r="O11050" s="42"/>
      <c r="R11050" s="42"/>
      <c r="AC11050" s="42"/>
    </row>
    <row r="11051" spans="15:29" x14ac:dyDescent="0.25">
      <c r="O11051" s="42"/>
      <c r="R11051" s="42"/>
      <c r="AC11051" s="42"/>
    </row>
    <row r="11052" spans="15:29" x14ac:dyDescent="0.25">
      <c r="O11052" s="42"/>
      <c r="R11052" s="42"/>
      <c r="AC11052" s="42"/>
    </row>
    <row r="11053" spans="15:29" x14ac:dyDescent="0.25">
      <c r="O11053" s="42"/>
      <c r="R11053" s="42"/>
      <c r="AC11053" s="42"/>
    </row>
    <row r="11054" spans="15:29" x14ac:dyDescent="0.25">
      <c r="O11054" s="42"/>
      <c r="R11054" s="42"/>
      <c r="AC11054" s="42"/>
    </row>
    <row r="11055" spans="15:29" x14ac:dyDescent="0.25">
      <c r="O11055" s="42"/>
      <c r="R11055" s="42"/>
      <c r="AC11055" s="42"/>
    </row>
    <row r="11056" spans="15:29" x14ac:dyDescent="0.25">
      <c r="O11056" s="42"/>
      <c r="R11056" s="42"/>
      <c r="AC11056" s="42"/>
    </row>
    <row r="11057" spans="15:29" x14ac:dyDescent="0.25">
      <c r="O11057" s="42"/>
      <c r="R11057" s="42"/>
      <c r="AC11057" s="42"/>
    </row>
    <row r="11058" spans="15:29" x14ac:dyDescent="0.25">
      <c r="O11058" s="42"/>
      <c r="R11058" s="42"/>
      <c r="AC11058" s="42"/>
    </row>
    <row r="11059" spans="15:29" x14ac:dyDescent="0.25">
      <c r="O11059" s="42"/>
      <c r="R11059" s="42"/>
      <c r="AC11059" s="42"/>
    </row>
    <row r="11060" spans="15:29" x14ac:dyDescent="0.25">
      <c r="O11060" s="42"/>
      <c r="R11060" s="42"/>
      <c r="AC11060" s="42"/>
    </row>
    <row r="11061" spans="15:29" x14ac:dyDescent="0.25">
      <c r="O11061" s="42"/>
      <c r="R11061" s="42"/>
      <c r="AC11061" s="42"/>
    </row>
    <row r="11062" spans="15:29" x14ac:dyDescent="0.25">
      <c r="O11062" s="42"/>
      <c r="R11062" s="42"/>
      <c r="AC11062" s="42"/>
    </row>
    <row r="11063" spans="15:29" x14ac:dyDescent="0.25">
      <c r="O11063" s="42"/>
      <c r="R11063" s="42"/>
      <c r="AC11063" s="42"/>
    </row>
    <row r="11064" spans="15:29" x14ac:dyDescent="0.25">
      <c r="O11064" s="42"/>
      <c r="R11064" s="42"/>
      <c r="AC11064" s="42"/>
    </row>
    <row r="11065" spans="15:29" x14ac:dyDescent="0.25">
      <c r="O11065" s="42"/>
      <c r="R11065" s="42"/>
      <c r="AC11065" s="42"/>
    </row>
    <row r="11066" spans="15:29" x14ac:dyDescent="0.25">
      <c r="O11066" s="42"/>
      <c r="R11066" s="42"/>
      <c r="AC11066" s="42"/>
    </row>
    <row r="11067" spans="15:29" x14ac:dyDescent="0.25">
      <c r="O11067" s="42"/>
      <c r="R11067" s="42"/>
      <c r="AC11067" s="42"/>
    </row>
    <row r="11068" spans="15:29" x14ac:dyDescent="0.25">
      <c r="O11068" s="42"/>
      <c r="R11068" s="42"/>
      <c r="AC11068" s="42"/>
    </row>
    <row r="11069" spans="15:29" x14ac:dyDescent="0.25">
      <c r="O11069" s="42"/>
      <c r="R11069" s="42"/>
      <c r="AC11069" s="42"/>
    </row>
    <row r="11070" spans="15:29" x14ac:dyDescent="0.25">
      <c r="O11070" s="42"/>
      <c r="R11070" s="42"/>
      <c r="AC11070" s="42"/>
    </row>
    <row r="11071" spans="15:29" x14ac:dyDescent="0.25">
      <c r="O11071" s="42"/>
      <c r="R11071" s="42"/>
      <c r="AC11071" s="42"/>
    </row>
    <row r="11072" spans="15:29" x14ac:dyDescent="0.25">
      <c r="O11072" s="42"/>
      <c r="R11072" s="42"/>
      <c r="AC11072" s="42"/>
    </row>
    <row r="11073" spans="15:29" x14ac:dyDescent="0.25">
      <c r="O11073" s="42"/>
      <c r="R11073" s="42"/>
      <c r="AC11073" s="42"/>
    </row>
    <row r="11074" spans="15:29" x14ac:dyDescent="0.25">
      <c r="O11074" s="42"/>
      <c r="R11074" s="42"/>
      <c r="AC11074" s="42"/>
    </row>
    <row r="11075" spans="15:29" x14ac:dyDescent="0.25">
      <c r="O11075" s="42"/>
      <c r="R11075" s="42"/>
      <c r="AC11075" s="42"/>
    </row>
    <row r="11076" spans="15:29" x14ac:dyDescent="0.25">
      <c r="O11076" s="42"/>
      <c r="R11076" s="42"/>
      <c r="AC11076" s="42"/>
    </row>
    <row r="11077" spans="15:29" x14ac:dyDescent="0.25">
      <c r="O11077" s="42"/>
      <c r="R11077" s="42"/>
      <c r="AC11077" s="42"/>
    </row>
    <row r="11078" spans="15:29" x14ac:dyDescent="0.25">
      <c r="O11078" s="42"/>
      <c r="R11078" s="42"/>
      <c r="AC11078" s="42"/>
    </row>
    <row r="11079" spans="15:29" x14ac:dyDescent="0.25">
      <c r="O11079" s="42"/>
      <c r="R11079" s="42"/>
      <c r="AC11079" s="42"/>
    </row>
    <row r="11080" spans="15:29" x14ac:dyDescent="0.25">
      <c r="O11080" s="42"/>
      <c r="R11080" s="42"/>
      <c r="AC11080" s="42"/>
    </row>
    <row r="11081" spans="15:29" x14ac:dyDescent="0.25">
      <c r="O11081" s="42"/>
      <c r="R11081" s="42"/>
      <c r="AC11081" s="42"/>
    </row>
    <row r="11082" spans="15:29" x14ac:dyDescent="0.25">
      <c r="O11082" s="42"/>
      <c r="R11082" s="42"/>
      <c r="AC11082" s="42"/>
    </row>
    <row r="11083" spans="15:29" x14ac:dyDescent="0.25">
      <c r="O11083" s="42"/>
      <c r="R11083" s="42"/>
      <c r="AC11083" s="42"/>
    </row>
    <row r="11084" spans="15:29" x14ac:dyDescent="0.25">
      <c r="O11084" s="42"/>
      <c r="R11084" s="42"/>
      <c r="AC11084" s="42"/>
    </row>
    <row r="11085" spans="15:29" x14ac:dyDescent="0.25">
      <c r="O11085" s="42"/>
      <c r="R11085" s="42"/>
      <c r="AC11085" s="42"/>
    </row>
    <row r="11086" spans="15:29" x14ac:dyDescent="0.25">
      <c r="O11086" s="42"/>
      <c r="R11086" s="42"/>
      <c r="AC11086" s="42"/>
    </row>
    <row r="11087" spans="15:29" x14ac:dyDescent="0.25">
      <c r="O11087" s="42"/>
      <c r="R11087" s="42"/>
      <c r="AC11087" s="42"/>
    </row>
    <row r="11088" spans="15:29" x14ac:dyDescent="0.25">
      <c r="O11088" s="42"/>
      <c r="R11088" s="42"/>
      <c r="AC11088" s="42"/>
    </row>
    <row r="11089" spans="15:29" x14ac:dyDescent="0.25">
      <c r="O11089" s="42"/>
      <c r="R11089" s="42"/>
      <c r="AC11089" s="42"/>
    </row>
    <row r="11090" spans="15:29" x14ac:dyDescent="0.25">
      <c r="O11090" s="42"/>
      <c r="R11090" s="42"/>
      <c r="AC11090" s="42"/>
    </row>
    <row r="11091" spans="15:29" x14ac:dyDescent="0.25">
      <c r="O11091" s="42"/>
      <c r="R11091" s="42"/>
      <c r="AC11091" s="42"/>
    </row>
    <row r="11092" spans="15:29" x14ac:dyDescent="0.25">
      <c r="O11092" s="42"/>
      <c r="R11092" s="42"/>
      <c r="AC11092" s="42"/>
    </row>
    <row r="11093" spans="15:29" x14ac:dyDescent="0.25">
      <c r="O11093" s="42"/>
      <c r="R11093" s="42"/>
      <c r="AC11093" s="42"/>
    </row>
    <row r="11094" spans="15:29" x14ac:dyDescent="0.25">
      <c r="O11094" s="42"/>
      <c r="R11094" s="42"/>
      <c r="AC11094" s="42"/>
    </row>
    <row r="11095" spans="15:29" x14ac:dyDescent="0.25">
      <c r="O11095" s="42"/>
      <c r="R11095" s="42"/>
      <c r="AC11095" s="42"/>
    </row>
    <row r="11096" spans="15:29" x14ac:dyDescent="0.25">
      <c r="O11096" s="42"/>
      <c r="R11096" s="42"/>
      <c r="AC11096" s="42"/>
    </row>
    <row r="11097" spans="15:29" x14ac:dyDescent="0.25">
      <c r="O11097" s="42"/>
      <c r="R11097" s="42"/>
      <c r="AC11097" s="42"/>
    </row>
    <row r="11098" spans="15:29" x14ac:dyDescent="0.25">
      <c r="O11098" s="42"/>
      <c r="R11098" s="42"/>
      <c r="AC11098" s="42"/>
    </row>
    <row r="11099" spans="15:29" x14ac:dyDescent="0.25">
      <c r="O11099" s="42"/>
      <c r="R11099" s="42"/>
      <c r="AC11099" s="42"/>
    </row>
    <row r="11100" spans="15:29" x14ac:dyDescent="0.25">
      <c r="O11100" s="42"/>
      <c r="R11100" s="42"/>
      <c r="AC11100" s="42"/>
    </row>
    <row r="11101" spans="15:29" x14ac:dyDescent="0.25">
      <c r="O11101" s="42"/>
      <c r="R11101" s="42"/>
      <c r="AC11101" s="42"/>
    </row>
    <row r="11102" spans="15:29" x14ac:dyDescent="0.25">
      <c r="O11102" s="42"/>
      <c r="R11102" s="42"/>
      <c r="AC11102" s="42"/>
    </row>
    <row r="11103" spans="15:29" x14ac:dyDescent="0.25">
      <c r="O11103" s="42"/>
      <c r="R11103" s="42"/>
      <c r="AC11103" s="42"/>
    </row>
    <row r="11104" spans="15:29" x14ac:dyDescent="0.25">
      <c r="O11104" s="42"/>
      <c r="R11104" s="42"/>
      <c r="AC11104" s="42"/>
    </row>
    <row r="11105" spans="15:29" x14ac:dyDescent="0.25">
      <c r="O11105" s="42"/>
      <c r="R11105" s="42"/>
      <c r="AC11105" s="42"/>
    </row>
    <row r="11106" spans="15:29" x14ac:dyDescent="0.25">
      <c r="O11106" s="42"/>
      <c r="R11106" s="42"/>
      <c r="AC11106" s="42"/>
    </row>
    <row r="11107" spans="15:29" x14ac:dyDescent="0.25">
      <c r="O11107" s="42"/>
      <c r="R11107" s="42"/>
      <c r="AC11107" s="42"/>
    </row>
    <row r="11108" spans="15:29" x14ac:dyDescent="0.25">
      <c r="O11108" s="42"/>
      <c r="R11108" s="42"/>
      <c r="AC11108" s="42"/>
    </row>
    <row r="11109" spans="15:29" x14ac:dyDescent="0.25">
      <c r="O11109" s="42"/>
      <c r="R11109" s="42"/>
      <c r="AC11109" s="42"/>
    </row>
    <row r="11110" spans="15:29" x14ac:dyDescent="0.25">
      <c r="O11110" s="42"/>
      <c r="R11110" s="42"/>
      <c r="AC11110" s="42"/>
    </row>
    <row r="11111" spans="15:29" x14ac:dyDescent="0.25">
      <c r="O11111" s="42"/>
      <c r="R11111" s="42"/>
      <c r="AC11111" s="42"/>
    </row>
    <row r="11112" spans="15:29" x14ac:dyDescent="0.25">
      <c r="O11112" s="42"/>
      <c r="R11112" s="42"/>
      <c r="AC11112" s="42"/>
    </row>
    <row r="11113" spans="15:29" x14ac:dyDescent="0.25">
      <c r="O11113" s="42"/>
      <c r="R11113" s="42"/>
      <c r="AC11113" s="42"/>
    </row>
    <row r="11114" spans="15:29" x14ac:dyDescent="0.25">
      <c r="O11114" s="42"/>
      <c r="R11114" s="42"/>
      <c r="AC11114" s="42"/>
    </row>
    <row r="11115" spans="15:29" x14ac:dyDescent="0.25">
      <c r="O11115" s="42"/>
      <c r="R11115" s="42"/>
      <c r="AC11115" s="42"/>
    </row>
    <row r="11116" spans="15:29" x14ac:dyDescent="0.25">
      <c r="O11116" s="42"/>
      <c r="R11116" s="42"/>
      <c r="AC11116" s="42"/>
    </row>
    <row r="11117" spans="15:29" x14ac:dyDescent="0.25">
      <c r="O11117" s="42"/>
      <c r="R11117" s="42"/>
      <c r="AC11117" s="42"/>
    </row>
    <row r="11118" spans="15:29" x14ac:dyDescent="0.25">
      <c r="O11118" s="42"/>
      <c r="R11118" s="42"/>
      <c r="AC11118" s="42"/>
    </row>
    <row r="11119" spans="15:29" x14ac:dyDescent="0.25">
      <c r="O11119" s="42"/>
      <c r="R11119" s="42"/>
      <c r="AC11119" s="42"/>
    </row>
    <row r="11120" spans="15:29" x14ac:dyDescent="0.25">
      <c r="O11120" s="42"/>
      <c r="R11120" s="42"/>
      <c r="AC11120" s="42"/>
    </row>
    <row r="11121" spans="15:29" x14ac:dyDescent="0.25">
      <c r="O11121" s="42"/>
      <c r="R11121" s="42"/>
      <c r="AC11121" s="42"/>
    </row>
    <row r="11122" spans="15:29" x14ac:dyDescent="0.25">
      <c r="O11122" s="42"/>
      <c r="R11122" s="42"/>
      <c r="AC11122" s="42"/>
    </row>
    <row r="11123" spans="15:29" x14ac:dyDescent="0.25">
      <c r="O11123" s="42"/>
      <c r="R11123" s="42"/>
      <c r="AC11123" s="42"/>
    </row>
    <row r="11124" spans="15:29" x14ac:dyDescent="0.25">
      <c r="O11124" s="42"/>
      <c r="R11124" s="42"/>
      <c r="AC11124" s="42"/>
    </row>
    <row r="11125" spans="15:29" x14ac:dyDescent="0.25">
      <c r="O11125" s="42"/>
      <c r="R11125" s="42"/>
      <c r="AC11125" s="42"/>
    </row>
    <row r="11126" spans="15:29" x14ac:dyDescent="0.25">
      <c r="O11126" s="42"/>
      <c r="R11126" s="42"/>
      <c r="AC11126" s="42"/>
    </row>
    <row r="11127" spans="15:29" x14ac:dyDescent="0.25">
      <c r="O11127" s="42"/>
      <c r="R11127" s="42"/>
      <c r="AC11127" s="42"/>
    </row>
    <row r="11128" spans="15:29" x14ac:dyDescent="0.25">
      <c r="O11128" s="42"/>
      <c r="R11128" s="42"/>
      <c r="AC11128" s="42"/>
    </row>
    <row r="11129" spans="15:29" x14ac:dyDescent="0.25">
      <c r="O11129" s="42"/>
      <c r="R11129" s="42"/>
      <c r="AC11129" s="42"/>
    </row>
    <row r="11130" spans="15:29" x14ac:dyDescent="0.25">
      <c r="O11130" s="42"/>
      <c r="R11130" s="42"/>
      <c r="AC11130" s="42"/>
    </row>
    <row r="11131" spans="15:29" x14ac:dyDescent="0.25">
      <c r="O11131" s="42"/>
      <c r="R11131" s="42"/>
      <c r="AC11131" s="42"/>
    </row>
    <row r="11132" spans="15:29" x14ac:dyDescent="0.25">
      <c r="O11132" s="42"/>
      <c r="R11132" s="42"/>
      <c r="AC11132" s="42"/>
    </row>
    <row r="11133" spans="15:29" x14ac:dyDescent="0.25">
      <c r="O11133" s="42"/>
      <c r="R11133" s="42"/>
      <c r="AC11133" s="42"/>
    </row>
    <row r="11134" spans="15:29" x14ac:dyDescent="0.25">
      <c r="O11134" s="42"/>
      <c r="R11134" s="42"/>
      <c r="AC11134" s="42"/>
    </row>
    <row r="11135" spans="15:29" x14ac:dyDescent="0.25">
      <c r="O11135" s="42"/>
      <c r="R11135" s="42"/>
      <c r="AC11135" s="42"/>
    </row>
    <row r="11136" spans="15:29" x14ac:dyDescent="0.25">
      <c r="O11136" s="42"/>
      <c r="R11136" s="42"/>
      <c r="AC11136" s="42"/>
    </row>
    <row r="11137" spans="15:29" x14ac:dyDescent="0.25">
      <c r="O11137" s="42"/>
      <c r="R11137" s="42"/>
      <c r="AC11137" s="42"/>
    </row>
    <row r="11138" spans="15:29" x14ac:dyDescent="0.25">
      <c r="O11138" s="42"/>
      <c r="R11138" s="42"/>
      <c r="AC11138" s="42"/>
    </row>
    <row r="11139" spans="15:29" x14ac:dyDescent="0.25">
      <c r="O11139" s="42"/>
      <c r="R11139" s="42"/>
      <c r="AC11139" s="42"/>
    </row>
    <row r="11140" spans="15:29" x14ac:dyDescent="0.25">
      <c r="O11140" s="42"/>
      <c r="R11140" s="42"/>
      <c r="AC11140" s="42"/>
    </row>
    <row r="11141" spans="15:29" x14ac:dyDescent="0.25">
      <c r="O11141" s="42"/>
      <c r="R11141" s="42"/>
      <c r="AC11141" s="42"/>
    </row>
    <row r="11142" spans="15:29" x14ac:dyDescent="0.25">
      <c r="O11142" s="42"/>
      <c r="R11142" s="42"/>
      <c r="AC11142" s="42"/>
    </row>
    <row r="11143" spans="15:29" x14ac:dyDescent="0.25">
      <c r="O11143" s="42"/>
      <c r="R11143" s="42"/>
      <c r="AC11143" s="42"/>
    </row>
    <row r="11144" spans="15:29" x14ac:dyDescent="0.25">
      <c r="O11144" s="42"/>
      <c r="R11144" s="42"/>
      <c r="AC11144" s="42"/>
    </row>
    <row r="11145" spans="15:29" x14ac:dyDescent="0.25">
      <c r="O11145" s="42"/>
      <c r="R11145" s="42"/>
      <c r="AC11145" s="42"/>
    </row>
    <row r="11146" spans="15:29" x14ac:dyDescent="0.25">
      <c r="O11146" s="42"/>
      <c r="R11146" s="42"/>
      <c r="AC11146" s="42"/>
    </row>
    <row r="11147" spans="15:29" x14ac:dyDescent="0.25">
      <c r="O11147" s="42"/>
      <c r="R11147" s="42"/>
      <c r="AC11147" s="42"/>
    </row>
    <row r="11148" spans="15:29" x14ac:dyDescent="0.25">
      <c r="O11148" s="42"/>
      <c r="R11148" s="42"/>
      <c r="AC11148" s="42"/>
    </row>
    <row r="11149" spans="15:29" x14ac:dyDescent="0.25">
      <c r="O11149" s="42"/>
      <c r="R11149" s="42"/>
      <c r="AC11149" s="42"/>
    </row>
    <row r="11150" spans="15:29" x14ac:dyDescent="0.25">
      <c r="O11150" s="42"/>
      <c r="R11150" s="42"/>
      <c r="AC11150" s="42"/>
    </row>
    <row r="11151" spans="15:29" x14ac:dyDescent="0.25">
      <c r="O11151" s="42"/>
      <c r="R11151" s="42"/>
      <c r="AC11151" s="42"/>
    </row>
    <row r="11152" spans="15:29" x14ac:dyDescent="0.25">
      <c r="O11152" s="42"/>
      <c r="R11152" s="42"/>
      <c r="AC11152" s="42"/>
    </row>
    <row r="11153" spans="15:29" x14ac:dyDescent="0.25">
      <c r="O11153" s="42"/>
      <c r="R11153" s="42"/>
      <c r="AC11153" s="42"/>
    </row>
    <row r="11154" spans="15:29" x14ac:dyDescent="0.25">
      <c r="O11154" s="42"/>
      <c r="R11154" s="42"/>
      <c r="AC11154" s="42"/>
    </row>
    <row r="11155" spans="15:29" x14ac:dyDescent="0.25">
      <c r="O11155" s="42"/>
      <c r="R11155" s="42"/>
      <c r="AC11155" s="42"/>
    </row>
    <row r="11156" spans="15:29" x14ac:dyDescent="0.25">
      <c r="O11156" s="42"/>
      <c r="R11156" s="42"/>
      <c r="AC11156" s="42"/>
    </row>
    <row r="11157" spans="15:29" x14ac:dyDescent="0.25">
      <c r="O11157" s="42"/>
      <c r="R11157" s="42"/>
      <c r="AC11157" s="42"/>
    </row>
    <row r="11158" spans="15:29" x14ac:dyDescent="0.25">
      <c r="O11158" s="42"/>
      <c r="R11158" s="42"/>
      <c r="AC11158" s="42"/>
    </row>
    <row r="11159" spans="15:29" x14ac:dyDescent="0.25">
      <c r="O11159" s="42"/>
      <c r="R11159" s="42"/>
      <c r="AC11159" s="42"/>
    </row>
    <row r="11160" spans="15:29" x14ac:dyDescent="0.25">
      <c r="O11160" s="42"/>
      <c r="R11160" s="42"/>
      <c r="AC11160" s="42"/>
    </row>
    <row r="11161" spans="15:29" x14ac:dyDescent="0.25">
      <c r="O11161" s="42"/>
      <c r="R11161" s="42"/>
      <c r="AC11161" s="42"/>
    </row>
    <row r="11162" spans="15:29" x14ac:dyDescent="0.25">
      <c r="O11162" s="42"/>
      <c r="R11162" s="42"/>
      <c r="AC11162" s="42"/>
    </row>
    <row r="11163" spans="15:29" x14ac:dyDescent="0.25">
      <c r="O11163" s="42"/>
      <c r="R11163" s="42"/>
      <c r="AC11163" s="42"/>
    </row>
    <row r="11164" spans="15:29" x14ac:dyDescent="0.25">
      <c r="O11164" s="42"/>
      <c r="R11164" s="42"/>
      <c r="AC11164" s="42"/>
    </row>
    <row r="11165" spans="15:29" x14ac:dyDescent="0.25">
      <c r="O11165" s="42"/>
      <c r="R11165" s="42"/>
      <c r="AC11165" s="42"/>
    </row>
    <row r="11166" spans="15:29" x14ac:dyDescent="0.25">
      <c r="O11166" s="42"/>
      <c r="R11166" s="42"/>
      <c r="AC11166" s="42"/>
    </row>
    <row r="11167" spans="15:29" x14ac:dyDescent="0.25">
      <c r="O11167" s="42"/>
      <c r="R11167" s="42"/>
      <c r="AC11167" s="42"/>
    </row>
    <row r="11168" spans="15:29" x14ac:dyDescent="0.25">
      <c r="O11168" s="42"/>
      <c r="R11168" s="42"/>
      <c r="AC11168" s="42"/>
    </row>
    <row r="11169" spans="15:29" x14ac:dyDescent="0.25">
      <c r="O11169" s="42"/>
      <c r="R11169" s="42"/>
      <c r="AC11169" s="42"/>
    </row>
    <row r="11170" spans="15:29" x14ac:dyDescent="0.25">
      <c r="O11170" s="42"/>
      <c r="R11170" s="42"/>
      <c r="AC11170" s="42"/>
    </row>
    <row r="11171" spans="15:29" x14ac:dyDescent="0.25">
      <c r="O11171" s="42"/>
      <c r="R11171" s="42"/>
      <c r="AC11171" s="42"/>
    </row>
    <row r="11172" spans="15:29" x14ac:dyDescent="0.25">
      <c r="O11172" s="42"/>
      <c r="R11172" s="42"/>
      <c r="AC11172" s="42"/>
    </row>
    <row r="11173" spans="15:29" x14ac:dyDescent="0.25">
      <c r="O11173" s="42"/>
      <c r="R11173" s="42"/>
      <c r="AC11173" s="42"/>
    </row>
    <row r="11174" spans="15:29" x14ac:dyDescent="0.25">
      <c r="O11174" s="42"/>
      <c r="R11174" s="42"/>
      <c r="AC11174" s="42"/>
    </row>
    <row r="11175" spans="15:29" x14ac:dyDescent="0.25">
      <c r="O11175" s="42"/>
      <c r="R11175" s="42"/>
      <c r="AC11175" s="42"/>
    </row>
    <row r="11176" spans="15:29" x14ac:dyDescent="0.25">
      <c r="O11176" s="42"/>
      <c r="R11176" s="42"/>
      <c r="AC11176" s="42"/>
    </row>
    <row r="11177" spans="15:29" x14ac:dyDescent="0.25">
      <c r="O11177" s="42"/>
      <c r="R11177" s="42"/>
      <c r="AC11177" s="42"/>
    </row>
    <row r="11178" spans="15:29" x14ac:dyDescent="0.25">
      <c r="O11178" s="42"/>
      <c r="R11178" s="42"/>
      <c r="AC11178" s="42"/>
    </row>
    <row r="11179" spans="15:29" x14ac:dyDescent="0.25">
      <c r="O11179" s="42"/>
      <c r="R11179" s="42"/>
      <c r="AC11179" s="42"/>
    </row>
    <row r="11180" spans="15:29" x14ac:dyDescent="0.25">
      <c r="O11180" s="42"/>
      <c r="R11180" s="42"/>
      <c r="AC11180" s="42"/>
    </row>
    <row r="11181" spans="15:29" x14ac:dyDescent="0.25">
      <c r="O11181" s="42"/>
      <c r="R11181" s="42"/>
      <c r="AC11181" s="42"/>
    </row>
    <row r="11182" spans="15:29" x14ac:dyDescent="0.25">
      <c r="O11182" s="42"/>
      <c r="R11182" s="42"/>
      <c r="AC11182" s="42"/>
    </row>
    <row r="11183" spans="15:29" x14ac:dyDescent="0.25">
      <c r="O11183" s="42"/>
      <c r="R11183" s="42"/>
      <c r="AC11183" s="42"/>
    </row>
    <row r="11184" spans="15:29" x14ac:dyDescent="0.25">
      <c r="O11184" s="42"/>
      <c r="R11184" s="42"/>
      <c r="AC11184" s="42"/>
    </row>
    <row r="11185" spans="15:29" x14ac:dyDescent="0.25">
      <c r="O11185" s="42"/>
      <c r="R11185" s="42"/>
      <c r="AC11185" s="42"/>
    </row>
    <row r="11186" spans="15:29" x14ac:dyDescent="0.25">
      <c r="O11186" s="42"/>
      <c r="R11186" s="42"/>
      <c r="AC11186" s="42"/>
    </row>
    <row r="11187" spans="15:29" x14ac:dyDescent="0.25">
      <c r="O11187" s="42"/>
      <c r="R11187" s="42"/>
      <c r="AC11187" s="42"/>
    </row>
    <row r="11188" spans="15:29" x14ac:dyDescent="0.25">
      <c r="O11188" s="42"/>
      <c r="R11188" s="42"/>
      <c r="AC11188" s="42"/>
    </row>
    <row r="11189" spans="15:29" x14ac:dyDescent="0.25">
      <c r="O11189" s="42"/>
      <c r="R11189" s="42"/>
      <c r="AC11189" s="42"/>
    </row>
    <row r="11190" spans="15:29" x14ac:dyDescent="0.25">
      <c r="O11190" s="42"/>
      <c r="R11190" s="42"/>
      <c r="AC11190" s="42"/>
    </row>
    <row r="11191" spans="15:29" x14ac:dyDescent="0.25">
      <c r="O11191" s="42"/>
      <c r="R11191" s="42"/>
      <c r="AC11191" s="42"/>
    </row>
    <row r="11192" spans="15:29" x14ac:dyDescent="0.25">
      <c r="O11192" s="42"/>
      <c r="R11192" s="42"/>
      <c r="AC11192" s="42"/>
    </row>
    <row r="11193" spans="15:29" x14ac:dyDescent="0.25">
      <c r="O11193" s="42"/>
      <c r="R11193" s="42"/>
      <c r="AC11193" s="42"/>
    </row>
    <row r="11194" spans="15:29" x14ac:dyDescent="0.25">
      <c r="O11194" s="42"/>
      <c r="R11194" s="42"/>
      <c r="AC11194" s="42"/>
    </row>
    <row r="11195" spans="15:29" x14ac:dyDescent="0.25">
      <c r="O11195" s="42"/>
      <c r="R11195" s="42"/>
      <c r="AC11195" s="42"/>
    </row>
    <row r="11196" spans="15:29" x14ac:dyDescent="0.25">
      <c r="O11196" s="42"/>
      <c r="R11196" s="42"/>
      <c r="AC11196" s="42"/>
    </row>
    <row r="11197" spans="15:29" x14ac:dyDescent="0.25">
      <c r="O11197" s="42"/>
      <c r="R11197" s="42"/>
      <c r="AC11197" s="42"/>
    </row>
    <row r="11198" spans="15:29" x14ac:dyDescent="0.25">
      <c r="O11198" s="42"/>
      <c r="R11198" s="42"/>
      <c r="AC11198" s="42"/>
    </row>
    <row r="11199" spans="15:29" x14ac:dyDescent="0.25">
      <c r="O11199" s="42"/>
      <c r="R11199" s="42"/>
      <c r="AC11199" s="42"/>
    </row>
    <row r="11200" spans="15:29" x14ac:dyDescent="0.25">
      <c r="O11200" s="42"/>
      <c r="R11200" s="42"/>
      <c r="AC11200" s="42"/>
    </row>
    <row r="11201" spans="15:29" x14ac:dyDescent="0.25">
      <c r="O11201" s="42"/>
      <c r="R11201" s="42"/>
      <c r="AC11201" s="42"/>
    </row>
    <row r="11202" spans="15:29" x14ac:dyDescent="0.25">
      <c r="O11202" s="42"/>
      <c r="R11202" s="42"/>
      <c r="AC11202" s="42"/>
    </row>
    <row r="11203" spans="15:29" x14ac:dyDescent="0.25">
      <c r="O11203" s="42"/>
      <c r="R11203" s="42"/>
      <c r="AC11203" s="42"/>
    </row>
    <row r="11204" spans="15:29" x14ac:dyDescent="0.25">
      <c r="O11204" s="42"/>
      <c r="R11204" s="42"/>
      <c r="AC11204" s="42"/>
    </row>
    <row r="11205" spans="15:29" x14ac:dyDescent="0.25">
      <c r="O11205" s="42"/>
      <c r="R11205" s="42"/>
      <c r="AC11205" s="42"/>
    </row>
    <row r="11206" spans="15:29" x14ac:dyDescent="0.25">
      <c r="O11206" s="42"/>
      <c r="R11206" s="42"/>
      <c r="AC11206" s="42"/>
    </row>
    <row r="11207" spans="15:29" x14ac:dyDescent="0.25">
      <c r="O11207" s="42"/>
      <c r="R11207" s="42"/>
      <c r="AC11207" s="42"/>
    </row>
    <row r="11208" spans="15:29" x14ac:dyDescent="0.25">
      <c r="O11208" s="42"/>
      <c r="R11208" s="42"/>
      <c r="AC11208" s="42"/>
    </row>
    <row r="11209" spans="15:29" x14ac:dyDescent="0.25">
      <c r="O11209" s="42"/>
      <c r="R11209" s="42"/>
      <c r="AC11209" s="42"/>
    </row>
    <row r="11210" spans="15:29" x14ac:dyDescent="0.25">
      <c r="O11210" s="42"/>
      <c r="R11210" s="42"/>
      <c r="AC11210" s="42"/>
    </row>
    <row r="11211" spans="15:29" x14ac:dyDescent="0.25">
      <c r="O11211" s="42"/>
      <c r="R11211" s="42"/>
      <c r="AC11211" s="42"/>
    </row>
    <row r="11212" spans="15:29" x14ac:dyDescent="0.25">
      <c r="O11212" s="42"/>
      <c r="R11212" s="42"/>
      <c r="AC11212" s="42"/>
    </row>
    <row r="11213" spans="15:29" x14ac:dyDescent="0.25">
      <c r="O11213" s="42"/>
      <c r="R11213" s="42"/>
      <c r="AC11213" s="42"/>
    </row>
    <row r="11214" spans="15:29" x14ac:dyDescent="0.25">
      <c r="O11214" s="42"/>
      <c r="R11214" s="42"/>
      <c r="AC11214" s="42"/>
    </row>
    <row r="11215" spans="15:29" x14ac:dyDescent="0.25">
      <c r="O11215" s="42"/>
      <c r="R11215" s="42"/>
      <c r="AC11215" s="42"/>
    </row>
    <row r="11216" spans="15:29" x14ac:dyDescent="0.25">
      <c r="O11216" s="42"/>
      <c r="R11216" s="42"/>
      <c r="AC11216" s="42"/>
    </row>
    <row r="11217" spans="15:29" x14ac:dyDescent="0.25">
      <c r="O11217" s="42"/>
      <c r="R11217" s="42"/>
      <c r="AC11217" s="42"/>
    </row>
    <row r="11218" spans="15:29" x14ac:dyDescent="0.25">
      <c r="O11218" s="42"/>
      <c r="R11218" s="42"/>
      <c r="AC11218" s="42"/>
    </row>
    <row r="11219" spans="15:29" x14ac:dyDescent="0.25">
      <c r="O11219" s="42"/>
      <c r="R11219" s="42"/>
      <c r="AC11219" s="42"/>
    </row>
    <row r="11220" spans="15:29" x14ac:dyDescent="0.25">
      <c r="O11220" s="42"/>
      <c r="R11220" s="42"/>
      <c r="AC11220" s="42"/>
    </row>
    <row r="11221" spans="15:29" x14ac:dyDescent="0.25">
      <c r="O11221" s="42"/>
      <c r="R11221" s="42"/>
      <c r="AC11221" s="42"/>
    </row>
    <row r="11222" spans="15:29" x14ac:dyDescent="0.25">
      <c r="O11222" s="42"/>
      <c r="R11222" s="42"/>
      <c r="AC11222" s="42"/>
    </row>
    <row r="11223" spans="15:29" x14ac:dyDescent="0.25">
      <c r="O11223" s="42"/>
      <c r="R11223" s="42"/>
      <c r="AC11223" s="42"/>
    </row>
    <row r="11224" spans="15:29" x14ac:dyDescent="0.25">
      <c r="O11224" s="42"/>
      <c r="R11224" s="42"/>
      <c r="AC11224" s="42"/>
    </row>
    <row r="11225" spans="15:29" x14ac:dyDescent="0.25">
      <c r="O11225" s="42"/>
      <c r="R11225" s="42"/>
      <c r="AC11225" s="42"/>
    </row>
    <row r="11226" spans="15:29" x14ac:dyDescent="0.25">
      <c r="O11226" s="42"/>
      <c r="R11226" s="42"/>
      <c r="AC11226" s="42"/>
    </row>
    <row r="11227" spans="15:29" x14ac:dyDescent="0.25">
      <c r="O11227" s="42"/>
      <c r="R11227" s="42"/>
      <c r="AC11227" s="42"/>
    </row>
    <row r="11228" spans="15:29" x14ac:dyDescent="0.25">
      <c r="O11228" s="42"/>
      <c r="R11228" s="42"/>
      <c r="AC11228" s="42"/>
    </row>
    <row r="11229" spans="15:29" x14ac:dyDescent="0.25">
      <c r="O11229" s="42"/>
      <c r="R11229" s="42"/>
      <c r="AC11229" s="42"/>
    </row>
    <row r="11230" spans="15:29" x14ac:dyDescent="0.25">
      <c r="O11230" s="42"/>
      <c r="R11230" s="42"/>
      <c r="AC11230" s="42"/>
    </row>
    <row r="11231" spans="15:29" x14ac:dyDescent="0.25">
      <c r="O11231" s="42"/>
      <c r="R11231" s="42"/>
      <c r="AC11231" s="42"/>
    </row>
    <row r="11232" spans="15:29" x14ac:dyDescent="0.25">
      <c r="O11232" s="42"/>
      <c r="R11232" s="42"/>
      <c r="AC11232" s="42"/>
    </row>
    <row r="11233" spans="15:29" x14ac:dyDescent="0.25">
      <c r="O11233" s="42"/>
      <c r="R11233" s="42"/>
      <c r="AC11233" s="42"/>
    </row>
    <row r="11234" spans="15:29" x14ac:dyDescent="0.25">
      <c r="O11234" s="42"/>
      <c r="R11234" s="42"/>
      <c r="AC11234" s="42"/>
    </row>
    <row r="11235" spans="15:29" x14ac:dyDescent="0.25">
      <c r="O11235" s="42"/>
      <c r="R11235" s="42"/>
      <c r="AC11235" s="42"/>
    </row>
    <row r="11236" spans="15:29" x14ac:dyDescent="0.25">
      <c r="O11236" s="42"/>
      <c r="R11236" s="42"/>
      <c r="AC11236" s="42"/>
    </row>
    <row r="11237" spans="15:29" x14ac:dyDescent="0.25">
      <c r="O11237" s="42"/>
      <c r="R11237" s="42"/>
      <c r="AC11237" s="42"/>
    </row>
    <row r="11238" spans="15:29" x14ac:dyDescent="0.25">
      <c r="O11238" s="42"/>
      <c r="R11238" s="42"/>
      <c r="AC11238" s="42"/>
    </row>
    <row r="11239" spans="15:29" x14ac:dyDescent="0.25">
      <c r="O11239" s="42"/>
      <c r="R11239" s="42"/>
      <c r="AC11239" s="42"/>
    </row>
    <row r="11240" spans="15:29" x14ac:dyDescent="0.25">
      <c r="O11240" s="42"/>
      <c r="R11240" s="42"/>
      <c r="AC11240" s="42"/>
    </row>
    <row r="11241" spans="15:29" x14ac:dyDescent="0.25">
      <c r="O11241" s="42"/>
      <c r="R11241" s="42"/>
      <c r="AC11241" s="42"/>
    </row>
    <row r="11242" spans="15:29" x14ac:dyDescent="0.25">
      <c r="O11242" s="42"/>
      <c r="R11242" s="42"/>
      <c r="AC11242" s="42"/>
    </row>
    <row r="11243" spans="15:29" x14ac:dyDescent="0.25">
      <c r="O11243" s="42"/>
      <c r="R11243" s="42"/>
      <c r="AC11243" s="42"/>
    </row>
    <row r="11244" spans="15:29" x14ac:dyDescent="0.25">
      <c r="O11244" s="42"/>
      <c r="R11244" s="42"/>
      <c r="AC11244" s="42"/>
    </row>
    <row r="11245" spans="15:29" x14ac:dyDescent="0.25">
      <c r="O11245" s="42"/>
      <c r="R11245" s="42"/>
      <c r="AC11245" s="42"/>
    </row>
    <row r="11246" spans="15:29" x14ac:dyDescent="0.25">
      <c r="O11246" s="42"/>
      <c r="R11246" s="42"/>
      <c r="AC11246" s="42"/>
    </row>
    <row r="11247" spans="15:29" x14ac:dyDescent="0.25">
      <c r="O11247" s="42"/>
      <c r="R11247" s="42"/>
      <c r="AC11247" s="42"/>
    </row>
    <row r="11248" spans="15:29" x14ac:dyDescent="0.25">
      <c r="O11248" s="42"/>
      <c r="R11248" s="42"/>
      <c r="AC11248" s="42"/>
    </row>
    <row r="11249" spans="15:29" x14ac:dyDescent="0.25">
      <c r="O11249" s="42"/>
      <c r="R11249" s="42"/>
      <c r="AC11249" s="42"/>
    </row>
    <row r="11250" spans="15:29" x14ac:dyDescent="0.25">
      <c r="O11250" s="42"/>
      <c r="R11250" s="42"/>
      <c r="AC11250" s="42"/>
    </row>
    <row r="11251" spans="15:29" x14ac:dyDescent="0.25">
      <c r="O11251" s="42"/>
      <c r="R11251" s="42"/>
      <c r="AC11251" s="42"/>
    </row>
    <row r="11252" spans="15:29" x14ac:dyDescent="0.25">
      <c r="O11252" s="42"/>
      <c r="R11252" s="42"/>
      <c r="AC11252" s="42"/>
    </row>
    <row r="11253" spans="15:29" x14ac:dyDescent="0.25">
      <c r="O11253" s="42"/>
      <c r="R11253" s="42"/>
      <c r="AC11253" s="42"/>
    </row>
    <row r="11254" spans="15:29" x14ac:dyDescent="0.25">
      <c r="O11254" s="42"/>
      <c r="R11254" s="42"/>
      <c r="AC11254" s="42"/>
    </row>
    <row r="11255" spans="15:29" x14ac:dyDescent="0.25">
      <c r="O11255" s="42"/>
      <c r="R11255" s="42"/>
      <c r="AC11255" s="42"/>
    </row>
    <row r="11256" spans="15:29" x14ac:dyDescent="0.25">
      <c r="O11256" s="42"/>
      <c r="R11256" s="42"/>
      <c r="AC11256" s="42"/>
    </row>
    <row r="11257" spans="15:29" x14ac:dyDescent="0.25">
      <c r="O11257" s="42"/>
      <c r="R11257" s="42"/>
      <c r="AC11257" s="42"/>
    </row>
    <row r="11258" spans="15:29" x14ac:dyDescent="0.25">
      <c r="O11258" s="42"/>
      <c r="R11258" s="42"/>
      <c r="AC11258" s="42"/>
    </row>
    <row r="11259" spans="15:29" x14ac:dyDescent="0.25">
      <c r="O11259" s="42"/>
      <c r="R11259" s="42"/>
      <c r="AC11259" s="42"/>
    </row>
    <row r="11260" spans="15:29" x14ac:dyDescent="0.25">
      <c r="O11260" s="42"/>
      <c r="R11260" s="42"/>
      <c r="AC11260" s="42"/>
    </row>
    <row r="11261" spans="15:29" x14ac:dyDescent="0.25">
      <c r="O11261" s="42"/>
      <c r="R11261" s="42"/>
      <c r="AC11261" s="42"/>
    </row>
    <row r="11262" spans="15:29" x14ac:dyDescent="0.25">
      <c r="O11262" s="42"/>
      <c r="R11262" s="42"/>
      <c r="AC11262" s="42"/>
    </row>
    <row r="11263" spans="15:29" x14ac:dyDescent="0.25">
      <c r="O11263" s="42"/>
      <c r="R11263" s="42"/>
      <c r="AC11263" s="42"/>
    </row>
    <row r="11264" spans="15:29" x14ac:dyDescent="0.25">
      <c r="O11264" s="42"/>
      <c r="R11264" s="42"/>
      <c r="AC11264" s="42"/>
    </row>
    <row r="11265" spans="15:29" x14ac:dyDescent="0.25">
      <c r="O11265" s="42"/>
      <c r="R11265" s="42"/>
      <c r="AC11265" s="42"/>
    </row>
    <row r="11266" spans="15:29" x14ac:dyDescent="0.25">
      <c r="O11266" s="42"/>
      <c r="R11266" s="42"/>
      <c r="AC11266" s="42"/>
    </row>
    <row r="11267" spans="15:29" x14ac:dyDescent="0.25">
      <c r="O11267" s="42"/>
      <c r="R11267" s="42"/>
      <c r="AC11267" s="42"/>
    </row>
    <row r="11268" spans="15:29" x14ac:dyDescent="0.25">
      <c r="O11268" s="42"/>
      <c r="R11268" s="42"/>
      <c r="AC11268" s="42"/>
    </row>
    <row r="11269" spans="15:29" x14ac:dyDescent="0.25">
      <c r="O11269" s="42"/>
      <c r="R11269" s="42"/>
      <c r="AC11269" s="42"/>
    </row>
    <row r="11270" spans="15:29" x14ac:dyDescent="0.25">
      <c r="O11270" s="42"/>
      <c r="R11270" s="42"/>
      <c r="AC11270" s="42"/>
    </row>
    <row r="11271" spans="15:29" x14ac:dyDescent="0.25">
      <c r="O11271" s="42"/>
      <c r="R11271" s="42"/>
      <c r="AC11271" s="42"/>
    </row>
    <row r="11272" spans="15:29" x14ac:dyDescent="0.25">
      <c r="O11272" s="42"/>
      <c r="R11272" s="42"/>
      <c r="AC11272" s="42"/>
    </row>
    <row r="11273" spans="15:29" x14ac:dyDescent="0.25">
      <c r="O11273" s="42"/>
      <c r="R11273" s="42"/>
      <c r="AC11273" s="42"/>
    </row>
    <row r="11274" spans="15:29" x14ac:dyDescent="0.25">
      <c r="O11274" s="42"/>
      <c r="R11274" s="42"/>
      <c r="AC11274" s="42"/>
    </row>
    <row r="11275" spans="15:29" x14ac:dyDescent="0.25">
      <c r="O11275" s="42"/>
      <c r="R11275" s="42"/>
      <c r="AC11275" s="42"/>
    </row>
    <row r="11276" spans="15:29" x14ac:dyDescent="0.25">
      <c r="O11276" s="42"/>
      <c r="R11276" s="42"/>
      <c r="AC11276" s="42"/>
    </row>
    <row r="11277" spans="15:29" x14ac:dyDescent="0.25">
      <c r="O11277" s="42"/>
      <c r="R11277" s="42"/>
      <c r="AC11277" s="42"/>
    </row>
    <row r="11278" spans="15:29" x14ac:dyDescent="0.25">
      <c r="O11278" s="42"/>
      <c r="R11278" s="42"/>
      <c r="AC11278" s="42"/>
    </row>
    <row r="11279" spans="15:29" x14ac:dyDescent="0.25">
      <c r="O11279" s="42"/>
      <c r="R11279" s="42"/>
      <c r="AC11279" s="42"/>
    </row>
    <row r="11280" spans="15:29" x14ac:dyDescent="0.25">
      <c r="O11280" s="42"/>
      <c r="R11280" s="42"/>
      <c r="AC11280" s="42"/>
    </row>
    <row r="11281" spans="15:29" x14ac:dyDescent="0.25">
      <c r="O11281" s="42"/>
      <c r="R11281" s="42"/>
      <c r="AC11281" s="42"/>
    </row>
    <row r="11282" spans="15:29" x14ac:dyDescent="0.25">
      <c r="O11282" s="42"/>
      <c r="R11282" s="42"/>
      <c r="AC11282" s="42"/>
    </row>
    <row r="11283" spans="15:29" x14ac:dyDescent="0.25">
      <c r="O11283" s="42"/>
      <c r="R11283" s="42"/>
      <c r="AC11283" s="42"/>
    </row>
    <row r="11284" spans="15:29" x14ac:dyDescent="0.25">
      <c r="O11284" s="42"/>
      <c r="R11284" s="42"/>
      <c r="AC11284" s="42"/>
    </row>
    <row r="11285" spans="15:29" x14ac:dyDescent="0.25">
      <c r="O11285" s="42"/>
      <c r="R11285" s="42"/>
      <c r="AC11285" s="42"/>
    </row>
    <row r="11286" spans="15:29" x14ac:dyDescent="0.25">
      <c r="O11286" s="42"/>
      <c r="R11286" s="42"/>
      <c r="AC11286" s="42"/>
    </row>
    <row r="11287" spans="15:29" x14ac:dyDescent="0.25">
      <c r="O11287" s="42"/>
      <c r="R11287" s="42"/>
      <c r="AC11287" s="42"/>
    </row>
    <row r="11288" spans="15:29" x14ac:dyDescent="0.25">
      <c r="O11288" s="42"/>
      <c r="R11288" s="42"/>
      <c r="AC11288" s="42"/>
    </row>
    <row r="11289" spans="15:29" x14ac:dyDescent="0.25">
      <c r="O11289" s="42"/>
      <c r="R11289" s="42"/>
      <c r="AC11289" s="42"/>
    </row>
    <row r="11290" spans="15:29" x14ac:dyDescent="0.25">
      <c r="O11290" s="42"/>
      <c r="R11290" s="42"/>
      <c r="AC11290" s="42"/>
    </row>
    <row r="11291" spans="15:29" x14ac:dyDescent="0.25">
      <c r="O11291" s="42"/>
      <c r="R11291" s="42"/>
      <c r="AC11291" s="42"/>
    </row>
    <row r="11292" spans="15:29" x14ac:dyDescent="0.25">
      <c r="O11292" s="42"/>
      <c r="R11292" s="42"/>
      <c r="AC11292" s="42"/>
    </row>
    <row r="11293" spans="15:29" x14ac:dyDescent="0.25">
      <c r="O11293" s="42"/>
      <c r="R11293" s="42"/>
      <c r="AC11293" s="42"/>
    </row>
    <row r="11294" spans="15:29" x14ac:dyDescent="0.25">
      <c r="O11294" s="42"/>
      <c r="R11294" s="42"/>
      <c r="AC11294" s="42"/>
    </row>
    <row r="11295" spans="15:29" x14ac:dyDescent="0.25">
      <c r="O11295" s="42"/>
      <c r="R11295" s="42"/>
      <c r="AC11295" s="42"/>
    </row>
    <row r="11296" spans="15:29" x14ac:dyDescent="0.25">
      <c r="O11296" s="42"/>
      <c r="R11296" s="42"/>
      <c r="AC11296" s="42"/>
    </row>
    <row r="11297" spans="15:29" x14ac:dyDescent="0.25">
      <c r="O11297" s="42"/>
      <c r="R11297" s="42"/>
      <c r="AC11297" s="42"/>
    </row>
    <row r="11298" spans="15:29" x14ac:dyDescent="0.25">
      <c r="O11298" s="42"/>
      <c r="R11298" s="42"/>
      <c r="AC11298" s="42"/>
    </row>
    <row r="11299" spans="15:29" x14ac:dyDescent="0.25">
      <c r="O11299" s="42"/>
      <c r="R11299" s="42"/>
      <c r="AC11299" s="42"/>
    </row>
    <row r="11300" spans="15:29" x14ac:dyDescent="0.25">
      <c r="O11300" s="42"/>
      <c r="R11300" s="42"/>
      <c r="AC11300" s="42"/>
    </row>
    <row r="11301" spans="15:29" x14ac:dyDescent="0.25">
      <c r="O11301" s="42"/>
      <c r="R11301" s="42"/>
      <c r="AC11301" s="42"/>
    </row>
    <row r="11302" spans="15:29" x14ac:dyDescent="0.25">
      <c r="O11302" s="42"/>
      <c r="R11302" s="42"/>
      <c r="AC11302" s="42"/>
    </row>
    <row r="11303" spans="15:29" x14ac:dyDescent="0.25">
      <c r="O11303" s="42"/>
      <c r="R11303" s="42"/>
      <c r="AC11303" s="42"/>
    </row>
    <row r="11304" spans="15:29" x14ac:dyDescent="0.25">
      <c r="O11304" s="42"/>
      <c r="R11304" s="42"/>
      <c r="AC11304" s="42"/>
    </row>
    <row r="11305" spans="15:29" x14ac:dyDescent="0.25">
      <c r="O11305" s="42"/>
      <c r="R11305" s="42"/>
      <c r="AC11305" s="42"/>
    </row>
    <row r="11306" spans="15:29" x14ac:dyDescent="0.25">
      <c r="O11306" s="42"/>
      <c r="R11306" s="42"/>
      <c r="AC11306" s="42"/>
    </row>
    <row r="11307" spans="15:29" x14ac:dyDescent="0.25">
      <c r="O11307" s="42"/>
      <c r="R11307" s="42"/>
      <c r="AC11307" s="42"/>
    </row>
    <row r="11308" spans="15:29" x14ac:dyDescent="0.25">
      <c r="O11308" s="42"/>
      <c r="R11308" s="42"/>
      <c r="AC11308" s="42"/>
    </row>
    <row r="11309" spans="15:29" x14ac:dyDescent="0.25">
      <c r="O11309" s="42"/>
      <c r="R11309" s="42"/>
      <c r="AC11309" s="42"/>
    </row>
    <row r="11310" spans="15:29" x14ac:dyDescent="0.25">
      <c r="O11310" s="42"/>
      <c r="R11310" s="42"/>
      <c r="AC11310" s="42"/>
    </row>
    <row r="11311" spans="15:29" x14ac:dyDescent="0.25">
      <c r="O11311" s="42"/>
      <c r="R11311" s="42"/>
      <c r="AC11311" s="42"/>
    </row>
    <row r="11312" spans="15:29" x14ac:dyDescent="0.25">
      <c r="O11312" s="42"/>
      <c r="R11312" s="42"/>
      <c r="AC11312" s="42"/>
    </row>
    <row r="11313" spans="15:29" x14ac:dyDescent="0.25">
      <c r="O11313" s="42"/>
      <c r="R11313" s="42"/>
      <c r="AC11313" s="42"/>
    </row>
    <row r="11314" spans="15:29" x14ac:dyDescent="0.25">
      <c r="O11314" s="42"/>
      <c r="R11314" s="42"/>
      <c r="AC11314" s="42"/>
    </row>
    <row r="11315" spans="15:29" x14ac:dyDescent="0.25">
      <c r="O11315" s="42"/>
      <c r="R11315" s="42"/>
      <c r="AC11315" s="42"/>
    </row>
    <row r="11316" spans="15:29" x14ac:dyDescent="0.25">
      <c r="O11316" s="42"/>
      <c r="R11316" s="42"/>
      <c r="AC11316" s="42"/>
    </row>
    <row r="11317" spans="15:29" x14ac:dyDescent="0.25">
      <c r="O11317" s="42"/>
      <c r="R11317" s="42"/>
      <c r="AC11317" s="42"/>
    </row>
    <row r="11318" spans="15:29" x14ac:dyDescent="0.25">
      <c r="O11318" s="42"/>
      <c r="R11318" s="42"/>
      <c r="AC11318" s="42"/>
    </row>
    <row r="11319" spans="15:29" x14ac:dyDescent="0.25">
      <c r="O11319" s="42"/>
      <c r="R11319" s="42"/>
      <c r="AC11319" s="42"/>
    </row>
    <row r="11320" spans="15:29" x14ac:dyDescent="0.25">
      <c r="O11320" s="42"/>
      <c r="R11320" s="42"/>
      <c r="AC11320" s="42"/>
    </row>
    <row r="11321" spans="15:29" x14ac:dyDescent="0.25">
      <c r="O11321" s="42"/>
      <c r="R11321" s="42"/>
      <c r="AC11321" s="42"/>
    </row>
    <row r="11322" spans="15:29" x14ac:dyDescent="0.25">
      <c r="O11322" s="42"/>
      <c r="R11322" s="42"/>
      <c r="AC11322" s="42"/>
    </row>
    <row r="11323" spans="15:29" x14ac:dyDescent="0.25">
      <c r="O11323" s="42"/>
      <c r="R11323" s="42"/>
      <c r="AC11323" s="42"/>
    </row>
    <row r="11324" spans="15:29" x14ac:dyDescent="0.25">
      <c r="O11324" s="42"/>
      <c r="R11324" s="42"/>
      <c r="AC11324" s="42"/>
    </row>
    <row r="11325" spans="15:29" x14ac:dyDescent="0.25">
      <c r="O11325" s="42"/>
      <c r="R11325" s="42"/>
      <c r="AC11325" s="42"/>
    </row>
    <row r="11326" spans="15:29" x14ac:dyDescent="0.25">
      <c r="O11326" s="42"/>
      <c r="R11326" s="42"/>
      <c r="AC11326" s="42"/>
    </row>
    <row r="11327" spans="15:29" x14ac:dyDescent="0.25">
      <c r="O11327" s="42"/>
      <c r="R11327" s="42"/>
      <c r="AC11327" s="42"/>
    </row>
    <row r="11328" spans="15:29" x14ac:dyDescent="0.25">
      <c r="O11328" s="42"/>
      <c r="R11328" s="42"/>
      <c r="AC11328" s="42"/>
    </row>
    <row r="11329" spans="15:29" x14ac:dyDescent="0.25">
      <c r="O11329" s="42"/>
      <c r="R11329" s="42"/>
      <c r="AC11329" s="42"/>
    </row>
    <row r="11330" spans="15:29" x14ac:dyDescent="0.25">
      <c r="O11330" s="42"/>
      <c r="R11330" s="42"/>
      <c r="AC11330" s="42"/>
    </row>
    <row r="11331" spans="15:29" x14ac:dyDescent="0.25">
      <c r="O11331" s="42"/>
      <c r="R11331" s="42"/>
      <c r="AC11331" s="42"/>
    </row>
    <row r="11332" spans="15:29" x14ac:dyDescent="0.25">
      <c r="O11332" s="42"/>
      <c r="R11332" s="42"/>
      <c r="AC11332" s="42"/>
    </row>
    <row r="11333" spans="15:29" x14ac:dyDescent="0.25">
      <c r="O11333" s="42"/>
      <c r="R11333" s="42"/>
      <c r="AC11333" s="42"/>
    </row>
    <row r="11334" spans="15:29" x14ac:dyDescent="0.25">
      <c r="O11334" s="42"/>
      <c r="R11334" s="42"/>
      <c r="AC11334" s="42"/>
    </row>
    <row r="11335" spans="15:29" x14ac:dyDescent="0.25">
      <c r="O11335" s="42"/>
      <c r="R11335" s="42"/>
      <c r="AC11335" s="42"/>
    </row>
    <row r="11336" spans="15:29" x14ac:dyDescent="0.25">
      <c r="O11336" s="42"/>
      <c r="R11336" s="42"/>
      <c r="AC11336" s="42"/>
    </row>
    <row r="11337" spans="15:29" x14ac:dyDescent="0.25">
      <c r="O11337" s="42"/>
      <c r="R11337" s="42"/>
      <c r="AC11337" s="42"/>
    </row>
    <row r="11338" spans="15:29" x14ac:dyDescent="0.25">
      <c r="O11338" s="42"/>
      <c r="R11338" s="42"/>
      <c r="AC11338" s="42"/>
    </row>
    <row r="11339" spans="15:29" x14ac:dyDescent="0.25">
      <c r="O11339" s="42"/>
      <c r="R11339" s="42"/>
      <c r="AC11339" s="42"/>
    </row>
    <row r="11340" spans="15:29" x14ac:dyDescent="0.25">
      <c r="O11340" s="42"/>
      <c r="R11340" s="42"/>
      <c r="AC11340" s="42"/>
    </row>
    <row r="11341" spans="15:29" x14ac:dyDescent="0.25">
      <c r="O11341" s="42"/>
      <c r="R11341" s="42"/>
      <c r="AC11341" s="42"/>
    </row>
    <row r="11342" spans="15:29" x14ac:dyDescent="0.25">
      <c r="O11342" s="42"/>
      <c r="R11342" s="42"/>
      <c r="AC11342" s="42"/>
    </row>
    <row r="11343" spans="15:29" x14ac:dyDescent="0.25">
      <c r="O11343" s="42"/>
      <c r="R11343" s="42"/>
      <c r="AC11343" s="42"/>
    </row>
    <row r="11344" spans="15:29" x14ac:dyDescent="0.25">
      <c r="O11344" s="42"/>
      <c r="R11344" s="42"/>
      <c r="AC11344" s="42"/>
    </row>
    <row r="11345" spans="15:29" x14ac:dyDescent="0.25">
      <c r="O11345" s="42"/>
      <c r="R11345" s="42"/>
      <c r="AC11345" s="42"/>
    </row>
    <row r="11346" spans="15:29" x14ac:dyDescent="0.25">
      <c r="O11346" s="42"/>
      <c r="R11346" s="42"/>
      <c r="AC11346" s="42"/>
    </row>
    <row r="11347" spans="15:29" x14ac:dyDescent="0.25">
      <c r="O11347" s="42"/>
      <c r="R11347" s="42"/>
      <c r="AC11347" s="42"/>
    </row>
    <row r="11348" spans="15:29" x14ac:dyDescent="0.25">
      <c r="O11348" s="42"/>
      <c r="R11348" s="42"/>
      <c r="AC11348" s="42"/>
    </row>
    <row r="11349" spans="15:29" x14ac:dyDescent="0.25">
      <c r="O11349" s="42"/>
      <c r="R11349" s="42"/>
      <c r="AC11349" s="42"/>
    </row>
    <row r="11350" spans="15:29" x14ac:dyDescent="0.25">
      <c r="O11350" s="42"/>
      <c r="R11350" s="42"/>
      <c r="AC11350" s="42"/>
    </row>
    <row r="11351" spans="15:29" x14ac:dyDescent="0.25">
      <c r="O11351" s="42"/>
      <c r="R11351" s="42"/>
      <c r="AC11351" s="42"/>
    </row>
    <row r="11352" spans="15:29" x14ac:dyDescent="0.25">
      <c r="O11352" s="42"/>
      <c r="R11352" s="42"/>
      <c r="AC11352" s="42"/>
    </row>
    <row r="11353" spans="15:29" x14ac:dyDescent="0.25">
      <c r="O11353" s="42"/>
      <c r="R11353" s="42"/>
      <c r="AC11353" s="42"/>
    </row>
    <row r="11354" spans="15:29" x14ac:dyDescent="0.25">
      <c r="O11354" s="42"/>
      <c r="R11354" s="42"/>
      <c r="AC11354" s="42"/>
    </row>
    <row r="11355" spans="15:29" x14ac:dyDescent="0.25">
      <c r="O11355" s="42"/>
      <c r="R11355" s="42"/>
      <c r="AC11355" s="42"/>
    </row>
    <row r="11356" spans="15:29" x14ac:dyDescent="0.25">
      <c r="O11356" s="42"/>
      <c r="R11356" s="42"/>
      <c r="AC11356" s="42"/>
    </row>
    <row r="11357" spans="15:29" x14ac:dyDescent="0.25">
      <c r="O11357" s="42"/>
      <c r="R11357" s="42"/>
      <c r="AC11357" s="42"/>
    </row>
    <row r="11358" spans="15:29" x14ac:dyDescent="0.25">
      <c r="O11358" s="42"/>
      <c r="R11358" s="42"/>
      <c r="AC11358" s="42"/>
    </row>
    <row r="11359" spans="15:29" x14ac:dyDescent="0.25">
      <c r="O11359" s="42"/>
      <c r="R11359" s="42"/>
      <c r="AC11359" s="42"/>
    </row>
    <row r="11360" spans="15:29" x14ac:dyDescent="0.25">
      <c r="O11360" s="42"/>
      <c r="R11360" s="42"/>
      <c r="AC11360" s="42"/>
    </row>
    <row r="11361" spans="15:29" x14ac:dyDescent="0.25">
      <c r="O11361" s="42"/>
      <c r="R11361" s="42"/>
      <c r="AC11361" s="42"/>
    </row>
    <row r="11362" spans="15:29" x14ac:dyDescent="0.25">
      <c r="O11362" s="42"/>
      <c r="R11362" s="42"/>
      <c r="AC11362" s="42"/>
    </row>
    <row r="11363" spans="15:29" x14ac:dyDescent="0.25">
      <c r="O11363" s="42"/>
      <c r="R11363" s="42"/>
      <c r="AC11363" s="42"/>
    </row>
    <row r="11364" spans="15:29" x14ac:dyDescent="0.25">
      <c r="O11364" s="42"/>
      <c r="R11364" s="42"/>
      <c r="AC11364" s="42"/>
    </row>
    <row r="11365" spans="15:29" x14ac:dyDescent="0.25">
      <c r="O11365" s="42"/>
      <c r="R11365" s="42"/>
      <c r="AC11365" s="42"/>
    </row>
    <row r="11366" spans="15:29" x14ac:dyDescent="0.25">
      <c r="O11366" s="42"/>
      <c r="R11366" s="42"/>
      <c r="AC11366" s="42"/>
    </row>
    <row r="11367" spans="15:29" x14ac:dyDescent="0.25">
      <c r="O11367" s="42"/>
      <c r="R11367" s="42"/>
      <c r="AC11367" s="42"/>
    </row>
    <row r="11368" spans="15:29" x14ac:dyDescent="0.25">
      <c r="O11368" s="42"/>
      <c r="R11368" s="42"/>
      <c r="AC11368" s="42"/>
    </row>
    <row r="11369" spans="15:29" x14ac:dyDescent="0.25">
      <c r="O11369" s="42"/>
      <c r="R11369" s="42"/>
      <c r="AC11369" s="42"/>
    </row>
    <row r="11370" spans="15:29" x14ac:dyDescent="0.25">
      <c r="O11370" s="42"/>
      <c r="R11370" s="42"/>
      <c r="AC11370" s="42"/>
    </row>
    <row r="11371" spans="15:29" x14ac:dyDescent="0.25">
      <c r="O11371" s="42"/>
      <c r="R11371" s="42"/>
      <c r="AC11371" s="42"/>
    </row>
    <row r="11372" spans="15:29" x14ac:dyDescent="0.25">
      <c r="O11372" s="42"/>
      <c r="R11372" s="42"/>
      <c r="AC11372" s="42"/>
    </row>
    <row r="11373" spans="15:29" x14ac:dyDescent="0.25">
      <c r="O11373" s="42"/>
      <c r="R11373" s="42"/>
      <c r="AC11373" s="42"/>
    </row>
    <row r="11374" spans="15:29" x14ac:dyDescent="0.25">
      <c r="O11374" s="42"/>
      <c r="R11374" s="42"/>
      <c r="AC11374" s="42"/>
    </row>
    <row r="11375" spans="15:29" x14ac:dyDescent="0.25">
      <c r="O11375" s="42"/>
      <c r="R11375" s="42"/>
      <c r="AC11375" s="42"/>
    </row>
    <row r="11376" spans="15:29" x14ac:dyDescent="0.25">
      <c r="O11376" s="42"/>
      <c r="R11376" s="42"/>
      <c r="AC11376" s="42"/>
    </row>
    <row r="11377" spans="15:29" x14ac:dyDescent="0.25">
      <c r="O11377" s="42"/>
      <c r="R11377" s="42"/>
      <c r="AC11377" s="42"/>
    </row>
    <row r="11378" spans="15:29" x14ac:dyDescent="0.25">
      <c r="O11378" s="42"/>
      <c r="R11378" s="42"/>
      <c r="AC11378" s="42"/>
    </row>
    <row r="11379" spans="15:29" x14ac:dyDescent="0.25">
      <c r="O11379" s="42"/>
      <c r="R11379" s="42"/>
      <c r="AC11379" s="42"/>
    </row>
    <row r="11380" spans="15:29" x14ac:dyDescent="0.25">
      <c r="O11380" s="42"/>
      <c r="R11380" s="42"/>
      <c r="AC11380" s="42"/>
    </row>
    <row r="11381" spans="15:29" x14ac:dyDescent="0.25">
      <c r="O11381" s="42"/>
      <c r="R11381" s="42"/>
      <c r="AC11381" s="42"/>
    </row>
    <row r="11382" spans="15:29" x14ac:dyDescent="0.25">
      <c r="O11382" s="42"/>
      <c r="R11382" s="42"/>
      <c r="AC11382" s="42"/>
    </row>
    <row r="11383" spans="15:29" x14ac:dyDescent="0.25">
      <c r="O11383" s="42"/>
      <c r="R11383" s="42"/>
      <c r="AC11383" s="42"/>
    </row>
    <row r="11384" spans="15:29" x14ac:dyDescent="0.25">
      <c r="O11384" s="42"/>
      <c r="R11384" s="42"/>
      <c r="AC11384" s="42"/>
    </row>
    <row r="11385" spans="15:29" x14ac:dyDescent="0.25">
      <c r="O11385" s="42"/>
      <c r="R11385" s="42"/>
      <c r="AC11385" s="42"/>
    </row>
    <row r="11386" spans="15:29" x14ac:dyDescent="0.25">
      <c r="O11386" s="42"/>
      <c r="R11386" s="42"/>
      <c r="AC11386" s="42"/>
    </row>
    <row r="11387" spans="15:29" x14ac:dyDescent="0.25">
      <c r="O11387" s="42"/>
      <c r="R11387" s="42"/>
      <c r="AC11387" s="42"/>
    </row>
    <row r="11388" spans="15:29" x14ac:dyDescent="0.25">
      <c r="O11388" s="42"/>
      <c r="R11388" s="42"/>
      <c r="AC11388" s="42"/>
    </row>
    <row r="11389" spans="15:29" x14ac:dyDescent="0.25">
      <c r="O11389" s="42"/>
      <c r="R11389" s="42"/>
      <c r="AC11389" s="42"/>
    </row>
    <row r="11390" spans="15:29" x14ac:dyDescent="0.25">
      <c r="O11390" s="42"/>
      <c r="R11390" s="42"/>
      <c r="AC11390" s="42"/>
    </row>
    <row r="11391" spans="15:29" x14ac:dyDescent="0.25">
      <c r="O11391" s="42"/>
      <c r="R11391" s="42"/>
      <c r="AC11391" s="42"/>
    </row>
    <row r="11392" spans="15:29" x14ac:dyDescent="0.25">
      <c r="O11392" s="42"/>
      <c r="R11392" s="42"/>
      <c r="AC11392" s="42"/>
    </row>
    <row r="11393" spans="15:29" x14ac:dyDescent="0.25">
      <c r="O11393" s="42"/>
      <c r="R11393" s="42"/>
      <c r="AC11393" s="42"/>
    </row>
    <row r="11394" spans="15:29" x14ac:dyDescent="0.25">
      <c r="O11394" s="42"/>
      <c r="R11394" s="42"/>
      <c r="AC11394" s="42"/>
    </row>
    <row r="11395" spans="15:29" x14ac:dyDescent="0.25">
      <c r="O11395" s="42"/>
      <c r="R11395" s="42"/>
      <c r="AC11395" s="42"/>
    </row>
    <row r="11396" spans="15:29" x14ac:dyDescent="0.25">
      <c r="O11396" s="42"/>
      <c r="R11396" s="42"/>
      <c r="AC11396" s="42"/>
    </row>
    <row r="11397" spans="15:29" x14ac:dyDescent="0.25">
      <c r="O11397" s="42"/>
      <c r="R11397" s="42"/>
      <c r="AC11397" s="42"/>
    </row>
    <row r="11398" spans="15:29" x14ac:dyDescent="0.25">
      <c r="O11398" s="42"/>
      <c r="R11398" s="42"/>
      <c r="AC11398" s="42"/>
    </row>
    <row r="11399" spans="15:29" x14ac:dyDescent="0.25">
      <c r="O11399" s="42"/>
      <c r="R11399" s="42"/>
      <c r="AC11399" s="42"/>
    </row>
    <row r="11400" spans="15:29" x14ac:dyDescent="0.25">
      <c r="O11400" s="42"/>
      <c r="R11400" s="42"/>
      <c r="AC11400" s="42"/>
    </row>
    <row r="11401" spans="15:29" x14ac:dyDescent="0.25">
      <c r="O11401" s="42"/>
      <c r="R11401" s="42"/>
      <c r="AC11401" s="42"/>
    </row>
    <row r="11402" spans="15:29" x14ac:dyDescent="0.25">
      <c r="O11402" s="42"/>
      <c r="R11402" s="42"/>
      <c r="AC11402" s="42"/>
    </row>
    <row r="11403" spans="15:29" x14ac:dyDescent="0.25">
      <c r="O11403" s="42"/>
      <c r="R11403" s="42"/>
      <c r="AC11403" s="42"/>
    </row>
    <row r="11404" spans="15:29" x14ac:dyDescent="0.25">
      <c r="O11404" s="42"/>
      <c r="R11404" s="42"/>
      <c r="AC11404" s="42"/>
    </row>
    <row r="11405" spans="15:29" x14ac:dyDescent="0.25">
      <c r="O11405" s="42"/>
      <c r="R11405" s="42"/>
      <c r="AC11405" s="42"/>
    </row>
    <row r="11406" spans="15:29" x14ac:dyDescent="0.25">
      <c r="O11406" s="42"/>
      <c r="R11406" s="42"/>
      <c r="AC11406" s="42"/>
    </row>
    <row r="11407" spans="15:29" x14ac:dyDescent="0.25">
      <c r="O11407" s="42"/>
      <c r="R11407" s="42"/>
      <c r="AC11407" s="42"/>
    </row>
    <row r="11408" spans="15:29" x14ac:dyDescent="0.25">
      <c r="O11408" s="42"/>
      <c r="R11408" s="42"/>
      <c r="AC11408" s="42"/>
    </row>
    <row r="11409" spans="15:29" x14ac:dyDescent="0.25">
      <c r="O11409" s="42"/>
      <c r="R11409" s="42"/>
      <c r="AC11409" s="42"/>
    </row>
    <row r="11410" spans="15:29" x14ac:dyDescent="0.25">
      <c r="O11410" s="42"/>
      <c r="R11410" s="42"/>
      <c r="AC11410" s="42"/>
    </row>
    <row r="11411" spans="15:29" x14ac:dyDescent="0.25">
      <c r="O11411" s="42"/>
      <c r="R11411" s="42"/>
      <c r="AC11411" s="42"/>
    </row>
    <row r="11412" spans="15:29" x14ac:dyDescent="0.25">
      <c r="O11412" s="42"/>
      <c r="R11412" s="42"/>
      <c r="AC11412" s="42"/>
    </row>
    <row r="11413" spans="15:29" x14ac:dyDescent="0.25">
      <c r="O11413" s="42"/>
      <c r="R11413" s="42"/>
      <c r="AC11413" s="42"/>
    </row>
    <row r="11414" spans="15:29" x14ac:dyDescent="0.25">
      <c r="O11414" s="42"/>
      <c r="R11414" s="42"/>
      <c r="AC11414" s="42"/>
    </row>
    <row r="11415" spans="15:29" x14ac:dyDescent="0.25">
      <c r="O11415" s="42"/>
      <c r="R11415" s="42"/>
      <c r="AC11415" s="42"/>
    </row>
    <row r="11416" spans="15:29" x14ac:dyDescent="0.25">
      <c r="O11416" s="42"/>
      <c r="R11416" s="42"/>
      <c r="AC11416" s="42"/>
    </row>
    <row r="11417" spans="15:29" x14ac:dyDescent="0.25">
      <c r="O11417" s="42"/>
      <c r="R11417" s="42"/>
      <c r="AC11417" s="42"/>
    </row>
    <row r="11418" spans="15:29" x14ac:dyDescent="0.25">
      <c r="O11418" s="42"/>
      <c r="R11418" s="42"/>
      <c r="AC11418" s="42"/>
    </row>
    <row r="11419" spans="15:29" x14ac:dyDescent="0.25">
      <c r="O11419" s="42"/>
      <c r="R11419" s="42"/>
      <c r="AC11419" s="42"/>
    </row>
    <row r="11420" spans="15:29" x14ac:dyDescent="0.25">
      <c r="O11420" s="42"/>
      <c r="R11420" s="42"/>
      <c r="AC11420" s="42"/>
    </row>
    <row r="11421" spans="15:29" x14ac:dyDescent="0.25">
      <c r="O11421" s="42"/>
      <c r="R11421" s="42"/>
      <c r="AC11421" s="42"/>
    </row>
    <row r="11422" spans="15:29" x14ac:dyDescent="0.25">
      <c r="O11422" s="42"/>
      <c r="R11422" s="42"/>
      <c r="AC11422" s="42"/>
    </row>
    <row r="11423" spans="15:29" x14ac:dyDescent="0.25">
      <c r="O11423" s="42"/>
      <c r="R11423" s="42"/>
      <c r="AC11423" s="42"/>
    </row>
    <row r="11424" spans="15:29" x14ac:dyDescent="0.25">
      <c r="O11424" s="42"/>
      <c r="R11424" s="42"/>
      <c r="AC11424" s="42"/>
    </row>
    <row r="11425" spans="15:29" x14ac:dyDescent="0.25">
      <c r="O11425" s="42"/>
      <c r="R11425" s="42"/>
      <c r="AC11425" s="42"/>
    </row>
    <row r="11426" spans="15:29" x14ac:dyDescent="0.25">
      <c r="O11426" s="42"/>
      <c r="R11426" s="42"/>
      <c r="AC11426" s="42"/>
    </row>
    <row r="11427" spans="15:29" x14ac:dyDescent="0.25">
      <c r="O11427" s="42"/>
      <c r="R11427" s="42"/>
      <c r="AC11427" s="42"/>
    </row>
    <row r="11428" spans="15:29" x14ac:dyDescent="0.25">
      <c r="O11428" s="42"/>
      <c r="R11428" s="42"/>
      <c r="AC11428" s="42"/>
    </row>
    <row r="11429" spans="15:29" x14ac:dyDescent="0.25">
      <c r="O11429" s="42"/>
      <c r="R11429" s="42"/>
      <c r="AC11429" s="42"/>
    </row>
    <row r="11430" spans="15:29" x14ac:dyDescent="0.25">
      <c r="O11430" s="42"/>
      <c r="R11430" s="42"/>
      <c r="AC11430" s="42"/>
    </row>
    <row r="11431" spans="15:29" x14ac:dyDescent="0.25">
      <c r="O11431" s="42"/>
      <c r="R11431" s="42"/>
      <c r="AC11431" s="42"/>
    </row>
    <row r="11432" spans="15:29" x14ac:dyDescent="0.25">
      <c r="O11432" s="42"/>
      <c r="R11432" s="42"/>
      <c r="AC11432" s="42"/>
    </row>
    <row r="11433" spans="15:29" x14ac:dyDescent="0.25">
      <c r="O11433" s="42"/>
      <c r="R11433" s="42"/>
      <c r="AC11433" s="42"/>
    </row>
    <row r="11434" spans="15:29" x14ac:dyDescent="0.25">
      <c r="O11434" s="42"/>
      <c r="R11434" s="42"/>
      <c r="AC11434" s="42"/>
    </row>
    <row r="11435" spans="15:29" x14ac:dyDescent="0.25">
      <c r="O11435" s="42"/>
      <c r="R11435" s="42"/>
      <c r="AC11435" s="42"/>
    </row>
    <row r="11436" spans="15:29" x14ac:dyDescent="0.25">
      <c r="O11436" s="42"/>
      <c r="R11436" s="42"/>
      <c r="AC11436" s="42"/>
    </row>
    <row r="11437" spans="15:29" x14ac:dyDescent="0.25">
      <c r="O11437" s="42"/>
      <c r="R11437" s="42"/>
      <c r="AC11437" s="42"/>
    </row>
    <row r="11438" spans="15:29" x14ac:dyDescent="0.25">
      <c r="O11438" s="42"/>
      <c r="R11438" s="42"/>
      <c r="AC11438" s="42"/>
    </row>
    <row r="11439" spans="15:29" x14ac:dyDescent="0.25">
      <c r="O11439" s="42"/>
      <c r="R11439" s="42"/>
      <c r="AC11439" s="42"/>
    </row>
    <row r="11440" spans="15:29" x14ac:dyDescent="0.25">
      <c r="O11440" s="42"/>
      <c r="R11440" s="42"/>
      <c r="AC11440" s="42"/>
    </row>
    <row r="11441" spans="15:29" x14ac:dyDescent="0.25">
      <c r="O11441" s="42"/>
      <c r="R11441" s="42"/>
      <c r="AC11441" s="42"/>
    </row>
    <row r="11442" spans="15:29" x14ac:dyDescent="0.25">
      <c r="O11442" s="42"/>
      <c r="R11442" s="42"/>
      <c r="AC11442" s="42"/>
    </row>
    <row r="11443" spans="15:29" x14ac:dyDescent="0.25">
      <c r="O11443" s="42"/>
      <c r="R11443" s="42"/>
      <c r="AC11443" s="42"/>
    </row>
    <row r="11444" spans="15:29" x14ac:dyDescent="0.25">
      <c r="O11444" s="42"/>
      <c r="R11444" s="42"/>
      <c r="AC11444" s="42"/>
    </row>
    <row r="11445" spans="15:29" x14ac:dyDescent="0.25">
      <c r="O11445" s="42"/>
      <c r="R11445" s="42"/>
      <c r="AC11445" s="42"/>
    </row>
    <row r="11446" spans="15:29" x14ac:dyDescent="0.25">
      <c r="O11446" s="42"/>
      <c r="R11446" s="42"/>
      <c r="AC11446" s="42"/>
    </row>
    <row r="11447" spans="15:29" x14ac:dyDescent="0.25">
      <c r="O11447" s="42"/>
      <c r="R11447" s="42"/>
      <c r="AC11447" s="42"/>
    </row>
    <row r="11448" spans="15:29" x14ac:dyDescent="0.25">
      <c r="O11448" s="42"/>
      <c r="R11448" s="42"/>
      <c r="AC11448" s="42"/>
    </row>
    <row r="11449" spans="15:29" x14ac:dyDescent="0.25">
      <c r="O11449" s="42"/>
      <c r="R11449" s="42"/>
      <c r="AC11449" s="42"/>
    </row>
    <row r="11450" spans="15:29" x14ac:dyDescent="0.25">
      <c r="O11450" s="42"/>
      <c r="R11450" s="42"/>
      <c r="AC11450" s="42"/>
    </row>
    <row r="11451" spans="15:29" x14ac:dyDescent="0.25">
      <c r="O11451" s="42"/>
      <c r="R11451" s="42"/>
      <c r="AC11451" s="42"/>
    </row>
    <row r="11452" spans="15:29" x14ac:dyDescent="0.25">
      <c r="O11452" s="42"/>
      <c r="R11452" s="42"/>
      <c r="AC11452" s="42"/>
    </row>
    <row r="11453" spans="15:29" x14ac:dyDescent="0.25">
      <c r="O11453" s="42"/>
      <c r="R11453" s="42"/>
      <c r="AC11453" s="42"/>
    </row>
    <row r="11454" spans="15:29" x14ac:dyDescent="0.25">
      <c r="O11454" s="42"/>
      <c r="R11454" s="42"/>
      <c r="AC11454" s="42"/>
    </row>
    <row r="11455" spans="15:29" x14ac:dyDescent="0.25">
      <c r="O11455" s="42"/>
      <c r="R11455" s="42"/>
      <c r="AC11455" s="42"/>
    </row>
    <row r="11456" spans="15:29" x14ac:dyDescent="0.25">
      <c r="O11456" s="42"/>
      <c r="R11456" s="42"/>
      <c r="AC11456" s="42"/>
    </row>
    <row r="11457" spans="15:29" x14ac:dyDescent="0.25">
      <c r="O11457" s="42"/>
      <c r="R11457" s="42"/>
      <c r="AC11457" s="42"/>
    </row>
    <row r="11458" spans="15:29" x14ac:dyDescent="0.25">
      <c r="O11458" s="42"/>
      <c r="R11458" s="42"/>
      <c r="AC11458" s="42"/>
    </row>
    <row r="11459" spans="15:29" x14ac:dyDescent="0.25">
      <c r="O11459" s="42"/>
      <c r="R11459" s="42"/>
      <c r="AC11459" s="42"/>
    </row>
    <row r="11460" spans="15:29" x14ac:dyDescent="0.25">
      <c r="O11460" s="42"/>
      <c r="R11460" s="42"/>
      <c r="AC11460" s="42"/>
    </row>
    <row r="11461" spans="15:29" x14ac:dyDescent="0.25">
      <c r="O11461" s="42"/>
      <c r="R11461" s="42"/>
      <c r="AC11461" s="42"/>
    </row>
    <row r="11462" spans="15:29" x14ac:dyDescent="0.25">
      <c r="O11462" s="42"/>
      <c r="R11462" s="42"/>
      <c r="AC11462" s="42"/>
    </row>
    <row r="11463" spans="15:29" x14ac:dyDescent="0.25">
      <c r="O11463" s="42"/>
      <c r="R11463" s="42"/>
      <c r="AC11463" s="42"/>
    </row>
    <row r="11464" spans="15:29" x14ac:dyDescent="0.25">
      <c r="O11464" s="42"/>
      <c r="R11464" s="42"/>
      <c r="AC11464" s="42"/>
    </row>
    <row r="11465" spans="15:29" x14ac:dyDescent="0.25">
      <c r="O11465" s="42"/>
      <c r="R11465" s="42"/>
      <c r="AC11465" s="42"/>
    </row>
    <row r="11466" spans="15:29" x14ac:dyDescent="0.25">
      <c r="O11466" s="42"/>
      <c r="R11466" s="42"/>
      <c r="AC11466" s="42"/>
    </row>
    <row r="11467" spans="15:29" x14ac:dyDescent="0.25">
      <c r="O11467" s="42"/>
      <c r="R11467" s="42"/>
      <c r="AC11467" s="42"/>
    </row>
    <row r="11468" spans="15:29" x14ac:dyDescent="0.25">
      <c r="O11468" s="42"/>
      <c r="R11468" s="42"/>
      <c r="AC11468" s="42"/>
    </row>
    <row r="11469" spans="15:29" x14ac:dyDescent="0.25">
      <c r="O11469" s="42"/>
      <c r="R11469" s="42"/>
      <c r="AC11469" s="42"/>
    </row>
    <row r="11470" spans="15:29" x14ac:dyDescent="0.25">
      <c r="O11470" s="42"/>
      <c r="R11470" s="42"/>
      <c r="AC11470" s="42"/>
    </row>
    <row r="11471" spans="15:29" x14ac:dyDescent="0.25">
      <c r="O11471" s="42"/>
      <c r="R11471" s="42"/>
      <c r="AC11471" s="42"/>
    </row>
    <row r="11472" spans="15:29" x14ac:dyDescent="0.25">
      <c r="O11472" s="42"/>
      <c r="R11472" s="42"/>
      <c r="AC11472" s="42"/>
    </row>
    <row r="11473" spans="15:29" x14ac:dyDescent="0.25">
      <c r="O11473" s="42"/>
      <c r="R11473" s="42"/>
      <c r="AC11473" s="42"/>
    </row>
    <row r="11474" spans="15:29" x14ac:dyDescent="0.25">
      <c r="O11474" s="42"/>
      <c r="R11474" s="42"/>
      <c r="AC11474" s="42"/>
    </row>
    <row r="11475" spans="15:29" x14ac:dyDescent="0.25">
      <c r="O11475" s="42"/>
      <c r="R11475" s="42"/>
      <c r="AC11475" s="42"/>
    </row>
    <row r="11476" spans="15:29" x14ac:dyDescent="0.25">
      <c r="O11476" s="42"/>
      <c r="R11476" s="42"/>
      <c r="AC11476" s="42"/>
    </row>
    <row r="11477" spans="15:29" x14ac:dyDescent="0.25">
      <c r="O11477" s="42"/>
      <c r="R11477" s="42"/>
      <c r="AC11477" s="42"/>
    </row>
    <row r="11478" spans="15:29" x14ac:dyDescent="0.25">
      <c r="O11478" s="42"/>
      <c r="R11478" s="42"/>
      <c r="AC11478" s="42"/>
    </row>
    <row r="11479" spans="15:29" x14ac:dyDescent="0.25">
      <c r="O11479" s="42"/>
      <c r="R11479" s="42"/>
      <c r="AC11479" s="42"/>
    </row>
    <row r="11480" spans="15:29" x14ac:dyDescent="0.25">
      <c r="O11480" s="42"/>
      <c r="R11480" s="42"/>
      <c r="AC11480" s="42"/>
    </row>
    <row r="11481" spans="15:29" x14ac:dyDescent="0.25">
      <c r="O11481" s="42"/>
      <c r="R11481" s="42"/>
      <c r="AC11481" s="42"/>
    </row>
    <row r="11482" spans="15:29" x14ac:dyDescent="0.25">
      <c r="O11482" s="42"/>
      <c r="R11482" s="42"/>
      <c r="AC11482" s="42"/>
    </row>
    <row r="11483" spans="15:29" x14ac:dyDescent="0.25">
      <c r="O11483" s="42"/>
      <c r="R11483" s="42"/>
      <c r="AC11483" s="42"/>
    </row>
    <row r="11484" spans="15:29" x14ac:dyDescent="0.25">
      <c r="O11484" s="42"/>
      <c r="R11484" s="42"/>
      <c r="AC11484" s="42"/>
    </row>
    <row r="11485" spans="15:29" x14ac:dyDescent="0.25">
      <c r="O11485" s="42"/>
      <c r="R11485" s="42"/>
      <c r="AC11485" s="42"/>
    </row>
    <row r="11486" spans="15:29" x14ac:dyDescent="0.25">
      <c r="O11486" s="42"/>
      <c r="R11486" s="42"/>
      <c r="AC11486" s="42"/>
    </row>
    <row r="11487" spans="15:29" x14ac:dyDescent="0.25">
      <c r="O11487" s="42"/>
      <c r="R11487" s="42"/>
      <c r="AC11487" s="42"/>
    </row>
    <row r="11488" spans="15:29" x14ac:dyDescent="0.25">
      <c r="O11488" s="42"/>
      <c r="R11488" s="42"/>
      <c r="AC11488" s="42"/>
    </row>
    <row r="11489" spans="15:29" x14ac:dyDescent="0.25">
      <c r="O11489" s="42"/>
      <c r="R11489" s="42"/>
      <c r="AC11489" s="42"/>
    </row>
    <row r="11490" spans="15:29" x14ac:dyDescent="0.25">
      <c r="O11490" s="42"/>
      <c r="R11490" s="42"/>
      <c r="AC11490" s="42"/>
    </row>
    <row r="11491" spans="15:29" x14ac:dyDescent="0.25">
      <c r="O11491" s="42"/>
      <c r="R11491" s="42"/>
      <c r="AC11491" s="42"/>
    </row>
    <row r="11492" spans="15:29" x14ac:dyDescent="0.25">
      <c r="O11492" s="42"/>
      <c r="R11492" s="42"/>
      <c r="AC11492" s="42"/>
    </row>
    <row r="11493" spans="15:29" x14ac:dyDescent="0.25">
      <c r="O11493" s="42"/>
      <c r="R11493" s="42"/>
      <c r="AC11493" s="42"/>
    </row>
    <row r="11494" spans="15:29" x14ac:dyDescent="0.25">
      <c r="O11494" s="42"/>
      <c r="R11494" s="42"/>
      <c r="AC11494" s="42"/>
    </row>
    <row r="11495" spans="15:29" x14ac:dyDescent="0.25">
      <c r="O11495" s="42"/>
      <c r="R11495" s="42"/>
      <c r="AC11495" s="42"/>
    </row>
    <row r="11496" spans="15:29" x14ac:dyDescent="0.25">
      <c r="O11496" s="42"/>
      <c r="R11496" s="42"/>
      <c r="AC11496" s="42"/>
    </row>
    <row r="11497" spans="15:29" x14ac:dyDescent="0.25">
      <c r="O11497" s="42"/>
      <c r="R11497" s="42"/>
      <c r="AC11497" s="42"/>
    </row>
    <row r="11498" spans="15:29" x14ac:dyDescent="0.25">
      <c r="O11498" s="42"/>
      <c r="R11498" s="42"/>
      <c r="AC11498" s="42"/>
    </row>
    <row r="11499" spans="15:29" x14ac:dyDescent="0.25">
      <c r="O11499" s="42"/>
      <c r="R11499" s="42"/>
      <c r="AC11499" s="42"/>
    </row>
    <row r="11500" spans="15:29" x14ac:dyDescent="0.25">
      <c r="O11500" s="42"/>
      <c r="R11500" s="42"/>
      <c r="AC11500" s="42"/>
    </row>
    <row r="11501" spans="15:29" x14ac:dyDescent="0.25">
      <c r="O11501" s="42"/>
      <c r="R11501" s="42"/>
      <c r="AC11501" s="42"/>
    </row>
    <row r="11502" spans="15:29" x14ac:dyDescent="0.25">
      <c r="O11502" s="42"/>
      <c r="R11502" s="42"/>
      <c r="AC11502" s="42"/>
    </row>
    <row r="11503" spans="15:29" x14ac:dyDescent="0.25">
      <c r="O11503" s="42"/>
      <c r="R11503" s="42"/>
      <c r="AC11503" s="42"/>
    </row>
    <row r="11504" spans="15:29" x14ac:dyDescent="0.25">
      <c r="O11504" s="42"/>
      <c r="R11504" s="42"/>
      <c r="AC11504" s="42"/>
    </row>
    <row r="11505" spans="15:29" x14ac:dyDescent="0.25">
      <c r="O11505" s="42"/>
      <c r="R11505" s="42"/>
      <c r="AC11505" s="42"/>
    </row>
    <row r="11506" spans="15:29" x14ac:dyDescent="0.25">
      <c r="O11506" s="42"/>
      <c r="R11506" s="42"/>
      <c r="AC11506" s="42"/>
    </row>
    <row r="11507" spans="15:29" x14ac:dyDescent="0.25">
      <c r="O11507" s="42"/>
      <c r="R11507" s="42"/>
      <c r="AC11507" s="42"/>
    </row>
    <row r="11508" spans="15:29" x14ac:dyDescent="0.25">
      <c r="O11508" s="42"/>
      <c r="R11508" s="42"/>
      <c r="AC11508" s="42"/>
    </row>
    <row r="11509" spans="15:29" x14ac:dyDescent="0.25">
      <c r="O11509" s="42"/>
      <c r="R11509" s="42"/>
      <c r="AC11509" s="42"/>
    </row>
    <row r="11510" spans="15:29" x14ac:dyDescent="0.25">
      <c r="O11510" s="42"/>
      <c r="R11510" s="42"/>
      <c r="AC11510" s="42"/>
    </row>
    <row r="11511" spans="15:29" x14ac:dyDescent="0.25">
      <c r="O11511" s="42"/>
      <c r="R11511" s="42"/>
      <c r="AC11511" s="42"/>
    </row>
    <row r="11512" spans="15:29" x14ac:dyDescent="0.25">
      <c r="O11512" s="42"/>
      <c r="R11512" s="42"/>
      <c r="AC11512" s="42"/>
    </row>
    <row r="11513" spans="15:29" x14ac:dyDescent="0.25">
      <c r="O11513" s="42"/>
      <c r="R11513" s="42"/>
      <c r="AC11513" s="42"/>
    </row>
    <row r="11514" spans="15:29" x14ac:dyDescent="0.25">
      <c r="O11514" s="42"/>
      <c r="R11514" s="42"/>
      <c r="AC11514" s="42"/>
    </row>
    <row r="11515" spans="15:29" x14ac:dyDescent="0.25">
      <c r="O11515" s="42"/>
      <c r="R11515" s="42"/>
      <c r="AC11515" s="42"/>
    </row>
    <row r="11516" spans="15:29" x14ac:dyDescent="0.25">
      <c r="O11516" s="42"/>
      <c r="R11516" s="42"/>
      <c r="AC11516" s="42"/>
    </row>
    <row r="11517" spans="15:29" x14ac:dyDescent="0.25">
      <c r="O11517" s="42"/>
      <c r="R11517" s="42"/>
      <c r="AC11517" s="42"/>
    </row>
    <row r="11518" spans="15:29" x14ac:dyDescent="0.25">
      <c r="O11518" s="42"/>
      <c r="R11518" s="42"/>
      <c r="AC11518" s="42"/>
    </row>
    <row r="11519" spans="15:29" x14ac:dyDescent="0.25">
      <c r="O11519" s="42"/>
      <c r="R11519" s="42"/>
      <c r="AC11519" s="42"/>
    </row>
    <row r="11520" spans="15:29" x14ac:dyDescent="0.25">
      <c r="O11520" s="42"/>
      <c r="R11520" s="42"/>
      <c r="AC11520" s="42"/>
    </row>
    <row r="11521" spans="15:29" x14ac:dyDescent="0.25">
      <c r="O11521" s="42"/>
      <c r="R11521" s="42"/>
      <c r="AC11521" s="42"/>
    </row>
    <row r="11522" spans="15:29" x14ac:dyDescent="0.25">
      <c r="O11522" s="42"/>
      <c r="R11522" s="42"/>
      <c r="AC11522" s="42"/>
    </row>
    <row r="11523" spans="15:29" x14ac:dyDescent="0.25">
      <c r="O11523" s="42"/>
      <c r="R11523" s="42"/>
      <c r="AC11523" s="42"/>
    </row>
    <row r="11524" spans="15:29" x14ac:dyDescent="0.25">
      <c r="O11524" s="42"/>
      <c r="R11524" s="42"/>
      <c r="AC11524" s="42"/>
    </row>
    <row r="11525" spans="15:29" x14ac:dyDescent="0.25">
      <c r="O11525" s="42"/>
      <c r="R11525" s="42"/>
      <c r="AC11525" s="42"/>
    </row>
    <row r="11526" spans="15:29" x14ac:dyDescent="0.25">
      <c r="O11526" s="42"/>
      <c r="R11526" s="42"/>
      <c r="AC11526" s="42"/>
    </row>
    <row r="11527" spans="15:29" x14ac:dyDescent="0.25">
      <c r="O11527" s="42"/>
      <c r="R11527" s="42"/>
      <c r="AC11527" s="42"/>
    </row>
    <row r="11528" spans="15:29" x14ac:dyDescent="0.25">
      <c r="O11528" s="42"/>
      <c r="R11528" s="42"/>
      <c r="AC11528" s="42"/>
    </row>
    <row r="11529" spans="15:29" x14ac:dyDescent="0.25">
      <c r="O11529" s="42"/>
      <c r="R11529" s="42"/>
      <c r="AC11529" s="42"/>
    </row>
    <row r="11530" spans="15:29" x14ac:dyDescent="0.25">
      <c r="O11530" s="42"/>
      <c r="R11530" s="42"/>
      <c r="AC11530" s="42"/>
    </row>
    <row r="11531" spans="15:29" x14ac:dyDescent="0.25">
      <c r="O11531" s="42"/>
      <c r="R11531" s="42"/>
      <c r="AC11531" s="42"/>
    </row>
    <row r="11532" spans="15:29" x14ac:dyDescent="0.25">
      <c r="O11532" s="42"/>
      <c r="R11532" s="42"/>
      <c r="AC11532" s="42"/>
    </row>
    <row r="11533" spans="15:29" x14ac:dyDescent="0.25">
      <c r="O11533" s="42"/>
      <c r="R11533" s="42"/>
      <c r="AC11533" s="42"/>
    </row>
    <row r="11534" spans="15:29" x14ac:dyDescent="0.25">
      <c r="O11534" s="42"/>
      <c r="R11534" s="42"/>
      <c r="AC11534" s="42"/>
    </row>
    <row r="11535" spans="15:29" x14ac:dyDescent="0.25">
      <c r="O11535" s="42"/>
      <c r="R11535" s="42"/>
      <c r="AC11535" s="42"/>
    </row>
    <row r="11536" spans="15:29" x14ac:dyDescent="0.25">
      <c r="O11536" s="42"/>
      <c r="R11536" s="42"/>
      <c r="AC11536" s="42"/>
    </row>
    <row r="11537" spans="15:29" x14ac:dyDescent="0.25">
      <c r="O11537" s="42"/>
      <c r="R11537" s="42"/>
      <c r="AC11537" s="42"/>
    </row>
    <row r="11538" spans="15:29" x14ac:dyDescent="0.25">
      <c r="O11538" s="42"/>
      <c r="R11538" s="42"/>
      <c r="AC11538" s="42"/>
    </row>
    <row r="11539" spans="15:29" x14ac:dyDescent="0.25">
      <c r="O11539" s="42"/>
      <c r="R11539" s="42"/>
      <c r="AC11539" s="42"/>
    </row>
    <row r="11540" spans="15:29" x14ac:dyDescent="0.25">
      <c r="O11540" s="42"/>
      <c r="R11540" s="42"/>
      <c r="AC11540" s="42"/>
    </row>
    <row r="11541" spans="15:29" x14ac:dyDescent="0.25">
      <c r="O11541" s="42"/>
      <c r="R11541" s="42"/>
      <c r="AC11541" s="42"/>
    </row>
    <row r="11542" spans="15:29" x14ac:dyDescent="0.25">
      <c r="O11542" s="42"/>
      <c r="R11542" s="42"/>
      <c r="AC11542" s="42"/>
    </row>
    <row r="11543" spans="15:29" x14ac:dyDescent="0.25">
      <c r="O11543" s="42"/>
      <c r="R11543" s="42"/>
      <c r="AC11543" s="42"/>
    </row>
    <row r="11544" spans="15:29" x14ac:dyDescent="0.25">
      <c r="O11544" s="42"/>
      <c r="R11544" s="42"/>
      <c r="AC11544" s="42"/>
    </row>
    <row r="11545" spans="15:29" x14ac:dyDescent="0.25">
      <c r="O11545" s="42"/>
      <c r="R11545" s="42"/>
      <c r="AC11545" s="42"/>
    </row>
    <row r="11546" spans="15:29" x14ac:dyDescent="0.25">
      <c r="O11546" s="42"/>
      <c r="R11546" s="42"/>
      <c r="AC11546" s="42"/>
    </row>
    <row r="11547" spans="15:29" x14ac:dyDescent="0.25">
      <c r="O11547" s="42"/>
      <c r="R11547" s="42"/>
      <c r="AC11547" s="42"/>
    </row>
    <row r="11548" spans="15:29" x14ac:dyDescent="0.25">
      <c r="O11548" s="42"/>
      <c r="R11548" s="42"/>
      <c r="AC11548" s="42"/>
    </row>
    <row r="11549" spans="15:29" x14ac:dyDescent="0.25">
      <c r="O11549" s="42"/>
      <c r="R11549" s="42"/>
      <c r="AC11549" s="42"/>
    </row>
    <row r="11550" spans="15:29" x14ac:dyDescent="0.25">
      <c r="O11550" s="42"/>
      <c r="R11550" s="42"/>
      <c r="AC11550" s="42"/>
    </row>
    <row r="11551" spans="15:29" x14ac:dyDescent="0.25">
      <c r="O11551" s="42"/>
      <c r="R11551" s="42"/>
      <c r="AC11551" s="42"/>
    </row>
    <row r="11552" spans="15:29" x14ac:dyDescent="0.25">
      <c r="O11552" s="42"/>
      <c r="R11552" s="42"/>
      <c r="AC11552" s="42"/>
    </row>
    <row r="11553" spans="15:29" x14ac:dyDescent="0.25">
      <c r="O11553" s="42"/>
      <c r="R11553" s="42"/>
      <c r="AC11553" s="42"/>
    </row>
    <row r="11554" spans="15:29" x14ac:dyDescent="0.25">
      <c r="O11554" s="42"/>
      <c r="R11554" s="42"/>
      <c r="AC11554" s="42"/>
    </row>
    <row r="11555" spans="15:29" x14ac:dyDescent="0.25">
      <c r="O11555" s="42"/>
      <c r="R11555" s="42"/>
      <c r="AC11555" s="42"/>
    </row>
    <row r="11556" spans="15:29" x14ac:dyDescent="0.25">
      <c r="O11556" s="42"/>
      <c r="R11556" s="42"/>
      <c r="AC11556" s="42"/>
    </row>
    <row r="11557" spans="15:29" x14ac:dyDescent="0.25">
      <c r="O11557" s="42"/>
      <c r="R11557" s="42"/>
      <c r="AC11557" s="42"/>
    </row>
    <row r="11558" spans="15:29" x14ac:dyDescent="0.25">
      <c r="O11558" s="42"/>
      <c r="R11558" s="42"/>
      <c r="AC11558" s="42"/>
    </row>
    <row r="11559" spans="15:29" x14ac:dyDescent="0.25">
      <c r="O11559" s="42"/>
      <c r="R11559" s="42"/>
      <c r="AC11559" s="42"/>
    </row>
    <row r="11560" spans="15:29" x14ac:dyDescent="0.25">
      <c r="O11560" s="42"/>
      <c r="R11560" s="42"/>
      <c r="AC11560" s="42"/>
    </row>
    <row r="11561" spans="15:29" x14ac:dyDescent="0.25">
      <c r="O11561" s="42"/>
      <c r="R11561" s="42"/>
      <c r="AC11561" s="42"/>
    </row>
    <row r="11562" spans="15:29" x14ac:dyDescent="0.25">
      <c r="O11562" s="42"/>
      <c r="R11562" s="42"/>
      <c r="AC11562" s="42"/>
    </row>
    <row r="11563" spans="15:29" x14ac:dyDescent="0.25">
      <c r="O11563" s="42"/>
      <c r="R11563" s="42"/>
      <c r="AC11563" s="42"/>
    </row>
    <row r="11564" spans="15:29" x14ac:dyDescent="0.25">
      <c r="O11564" s="42"/>
      <c r="R11564" s="42"/>
      <c r="AC11564" s="42"/>
    </row>
    <row r="11565" spans="15:29" x14ac:dyDescent="0.25">
      <c r="O11565" s="42"/>
      <c r="R11565" s="42"/>
      <c r="AC11565" s="42"/>
    </row>
    <row r="11566" spans="15:29" x14ac:dyDescent="0.25">
      <c r="O11566" s="42"/>
      <c r="R11566" s="42"/>
      <c r="AC11566" s="42"/>
    </row>
    <row r="11567" spans="15:29" x14ac:dyDescent="0.25">
      <c r="O11567" s="42"/>
      <c r="R11567" s="42"/>
      <c r="AC11567" s="42"/>
    </row>
    <row r="11568" spans="15:29" x14ac:dyDescent="0.25">
      <c r="O11568" s="42"/>
      <c r="R11568" s="42"/>
      <c r="AC11568" s="42"/>
    </row>
    <row r="11569" spans="15:29" x14ac:dyDescent="0.25">
      <c r="O11569" s="42"/>
      <c r="R11569" s="42"/>
      <c r="AC11569" s="42"/>
    </row>
    <row r="11570" spans="15:29" x14ac:dyDescent="0.25">
      <c r="O11570" s="42"/>
      <c r="R11570" s="42"/>
      <c r="AC11570" s="42"/>
    </row>
    <row r="11571" spans="15:29" x14ac:dyDescent="0.25">
      <c r="O11571" s="42"/>
      <c r="R11571" s="42"/>
      <c r="AC11571" s="42"/>
    </row>
    <row r="11572" spans="15:29" x14ac:dyDescent="0.25">
      <c r="O11572" s="42"/>
      <c r="R11572" s="42"/>
      <c r="AC11572" s="42"/>
    </row>
    <row r="11573" spans="15:29" x14ac:dyDescent="0.25">
      <c r="O11573" s="42"/>
      <c r="R11573" s="42"/>
      <c r="AC11573" s="42"/>
    </row>
    <row r="11574" spans="15:29" x14ac:dyDescent="0.25">
      <c r="O11574" s="42"/>
      <c r="R11574" s="42"/>
      <c r="AC11574" s="42"/>
    </row>
    <row r="11575" spans="15:29" x14ac:dyDescent="0.25">
      <c r="O11575" s="42"/>
      <c r="R11575" s="42"/>
      <c r="AC11575" s="42"/>
    </row>
    <row r="11576" spans="15:29" x14ac:dyDescent="0.25">
      <c r="O11576" s="42"/>
      <c r="R11576" s="42"/>
      <c r="AC11576" s="42"/>
    </row>
    <row r="11577" spans="15:29" x14ac:dyDescent="0.25">
      <c r="O11577" s="42"/>
      <c r="R11577" s="42"/>
      <c r="AC11577" s="42"/>
    </row>
    <row r="11578" spans="15:29" x14ac:dyDescent="0.25">
      <c r="O11578" s="42"/>
      <c r="R11578" s="42"/>
      <c r="AC11578" s="42"/>
    </row>
    <row r="11579" spans="15:29" x14ac:dyDescent="0.25">
      <c r="O11579" s="42"/>
      <c r="R11579" s="42"/>
      <c r="AC11579" s="42"/>
    </row>
    <row r="11580" spans="15:29" x14ac:dyDescent="0.25">
      <c r="O11580" s="42"/>
      <c r="R11580" s="42"/>
      <c r="AC11580" s="42"/>
    </row>
    <row r="11581" spans="15:29" x14ac:dyDescent="0.25">
      <c r="O11581" s="42"/>
      <c r="R11581" s="42"/>
      <c r="AC11581" s="42"/>
    </row>
    <row r="11582" spans="15:29" x14ac:dyDescent="0.25">
      <c r="O11582" s="42"/>
      <c r="R11582" s="42"/>
      <c r="AC11582" s="42"/>
    </row>
    <row r="11583" spans="15:29" x14ac:dyDescent="0.25">
      <c r="O11583" s="42"/>
      <c r="R11583" s="42"/>
      <c r="AC11583" s="42"/>
    </row>
    <row r="11584" spans="15:29" x14ac:dyDescent="0.25">
      <c r="O11584" s="42"/>
      <c r="R11584" s="42"/>
      <c r="AC11584" s="42"/>
    </row>
    <row r="11585" spans="15:29" x14ac:dyDescent="0.25">
      <c r="O11585" s="42"/>
      <c r="R11585" s="42"/>
      <c r="AC11585" s="42"/>
    </row>
    <row r="11586" spans="15:29" x14ac:dyDescent="0.25">
      <c r="O11586" s="42"/>
      <c r="R11586" s="42"/>
      <c r="AC11586" s="42"/>
    </row>
    <row r="11587" spans="15:29" x14ac:dyDescent="0.25">
      <c r="O11587" s="42"/>
      <c r="R11587" s="42"/>
      <c r="AC11587" s="42"/>
    </row>
    <row r="11588" spans="15:29" x14ac:dyDescent="0.25">
      <c r="O11588" s="42"/>
      <c r="R11588" s="42"/>
      <c r="AC11588" s="42"/>
    </row>
    <row r="11589" spans="15:29" x14ac:dyDescent="0.25">
      <c r="O11589" s="42"/>
      <c r="R11589" s="42"/>
      <c r="AC11589" s="42"/>
    </row>
    <row r="11590" spans="15:29" x14ac:dyDescent="0.25">
      <c r="O11590" s="42"/>
      <c r="R11590" s="42"/>
      <c r="AC11590" s="42"/>
    </row>
    <row r="11591" spans="15:29" x14ac:dyDescent="0.25">
      <c r="O11591" s="42"/>
      <c r="R11591" s="42"/>
      <c r="AC11591" s="42"/>
    </row>
    <row r="11592" spans="15:29" x14ac:dyDescent="0.25">
      <c r="O11592" s="42"/>
      <c r="R11592" s="42"/>
      <c r="AC11592" s="42"/>
    </row>
    <row r="11593" spans="15:29" x14ac:dyDescent="0.25">
      <c r="O11593" s="42"/>
      <c r="R11593" s="42"/>
      <c r="AC11593" s="42"/>
    </row>
    <row r="11594" spans="15:29" x14ac:dyDescent="0.25">
      <c r="O11594" s="42"/>
      <c r="R11594" s="42"/>
      <c r="AC11594" s="42"/>
    </row>
    <row r="11595" spans="15:29" x14ac:dyDescent="0.25">
      <c r="O11595" s="42"/>
      <c r="R11595" s="42"/>
      <c r="AC11595" s="42"/>
    </row>
    <row r="11596" spans="15:29" x14ac:dyDescent="0.25">
      <c r="O11596" s="42"/>
      <c r="R11596" s="42"/>
      <c r="AC11596" s="42"/>
    </row>
    <row r="11597" spans="15:29" x14ac:dyDescent="0.25">
      <c r="O11597" s="42"/>
      <c r="R11597" s="42"/>
      <c r="AC11597" s="42"/>
    </row>
    <row r="11598" spans="15:29" x14ac:dyDescent="0.25">
      <c r="O11598" s="42"/>
      <c r="R11598" s="42"/>
      <c r="AC11598" s="42"/>
    </row>
    <row r="11599" spans="15:29" x14ac:dyDescent="0.25">
      <c r="O11599" s="42"/>
      <c r="R11599" s="42"/>
      <c r="AC11599" s="42"/>
    </row>
    <row r="11600" spans="15:29" x14ac:dyDescent="0.25">
      <c r="O11600" s="42"/>
      <c r="R11600" s="42"/>
      <c r="AC11600" s="42"/>
    </row>
    <row r="11601" spans="15:29" x14ac:dyDescent="0.25">
      <c r="O11601" s="42"/>
      <c r="R11601" s="42"/>
      <c r="AC11601" s="42"/>
    </row>
    <row r="11602" spans="15:29" x14ac:dyDescent="0.25">
      <c r="O11602" s="42"/>
      <c r="R11602" s="42"/>
      <c r="AC11602" s="42"/>
    </row>
    <row r="11603" spans="15:29" x14ac:dyDescent="0.25">
      <c r="O11603" s="42"/>
      <c r="R11603" s="42"/>
      <c r="AC11603" s="42"/>
    </row>
    <row r="11604" spans="15:29" x14ac:dyDescent="0.25">
      <c r="O11604" s="42"/>
      <c r="R11604" s="42"/>
      <c r="AC11604" s="42"/>
    </row>
    <row r="11605" spans="15:29" x14ac:dyDescent="0.25">
      <c r="O11605" s="42"/>
      <c r="R11605" s="42"/>
      <c r="AC11605" s="42"/>
    </row>
    <row r="11606" spans="15:29" x14ac:dyDescent="0.25">
      <c r="O11606" s="42"/>
      <c r="R11606" s="42"/>
      <c r="AC11606" s="42"/>
    </row>
    <row r="11607" spans="15:29" x14ac:dyDescent="0.25">
      <c r="O11607" s="42"/>
      <c r="R11607" s="42"/>
      <c r="AC11607" s="42"/>
    </row>
    <row r="11608" spans="15:29" x14ac:dyDescent="0.25">
      <c r="O11608" s="42"/>
      <c r="R11608" s="42"/>
      <c r="AC11608" s="42"/>
    </row>
    <row r="11609" spans="15:29" x14ac:dyDescent="0.25">
      <c r="O11609" s="42"/>
      <c r="R11609" s="42"/>
      <c r="AC11609" s="42"/>
    </row>
    <row r="11610" spans="15:29" x14ac:dyDescent="0.25">
      <c r="O11610" s="42"/>
      <c r="R11610" s="42"/>
      <c r="AC11610" s="42"/>
    </row>
    <row r="11611" spans="15:29" x14ac:dyDescent="0.25">
      <c r="O11611" s="42"/>
      <c r="R11611" s="42"/>
      <c r="AC11611" s="42"/>
    </row>
    <row r="11612" spans="15:29" x14ac:dyDescent="0.25">
      <c r="O11612" s="42"/>
      <c r="R11612" s="42"/>
      <c r="AC11612" s="42"/>
    </row>
    <row r="11613" spans="15:29" x14ac:dyDescent="0.25">
      <c r="O11613" s="42"/>
      <c r="R11613" s="42"/>
      <c r="AC11613" s="42"/>
    </row>
    <row r="11614" spans="15:29" x14ac:dyDescent="0.25">
      <c r="O11614" s="42"/>
      <c r="R11614" s="42"/>
      <c r="AC11614" s="42"/>
    </row>
    <row r="11615" spans="15:29" x14ac:dyDescent="0.25">
      <c r="O11615" s="42"/>
      <c r="R11615" s="42"/>
      <c r="AC11615" s="42"/>
    </row>
    <row r="11616" spans="15:29" x14ac:dyDescent="0.25">
      <c r="O11616" s="42"/>
      <c r="R11616" s="42"/>
      <c r="AC11616" s="42"/>
    </row>
    <row r="11617" spans="15:29" x14ac:dyDescent="0.25">
      <c r="O11617" s="42"/>
      <c r="R11617" s="42"/>
      <c r="AC11617" s="42"/>
    </row>
    <row r="11618" spans="15:29" x14ac:dyDescent="0.25">
      <c r="O11618" s="42"/>
      <c r="R11618" s="42"/>
      <c r="AC11618" s="42"/>
    </row>
    <row r="11619" spans="15:29" x14ac:dyDescent="0.25">
      <c r="O11619" s="42"/>
      <c r="R11619" s="42"/>
      <c r="AC11619" s="42"/>
    </row>
    <row r="11620" spans="15:29" x14ac:dyDescent="0.25">
      <c r="O11620" s="42"/>
      <c r="R11620" s="42"/>
      <c r="AC11620" s="42"/>
    </row>
    <row r="11621" spans="15:29" x14ac:dyDescent="0.25">
      <c r="O11621" s="42"/>
      <c r="R11621" s="42"/>
      <c r="AC11621" s="42"/>
    </row>
    <row r="11622" spans="15:29" x14ac:dyDescent="0.25">
      <c r="O11622" s="42"/>
      <c r="R11622" s="42"/>
      <c r="AC11622" s="42"/>
    </row>
    <row r="11623" spans="15:29" x14ac:dyDescent="0.25">
      <c r="O11623" s="42"/>
      <c r="R11623" s="42"/>
      <c r="AC11623" s="42"/>
    </row>
    <row r="11624" spans="15:29" x14ac:dyDescent="0.25">
      <c r="O11624" s="42"/>
      <c r="R11624" s="42"/>
      <c r="AC11624" s="42"/>
    </row>
    <row r="11625" spans="15:29" x14ac:dyDescent="0.25">
      <c r="O11625" s="42"/>
      <c r="R11625" s="42"/>
      <c r="AC11625" s="42"/>
    </row>
    <row r="11626" spans="15:29" x14ac:dyDescent="0.25">
      <c r="O11626" s="42"/>
      <c r="R11626" s="42"/>
      <c r="AC11626" s="42"/>
    </row>
    <row r="11627" spans="15:29" x14ac:dyDescent="0.25">
      <c r="O11627" s="42"/>
      <c r="R11627" s="42"/>
      <c r="AC11627" s="42"/>
    </row>
    <row r="11628" spans="15:29" x14ac:dyDescent="0.25">
      <c r="O11628" s="42"/>
      <c r="R11628" s="42"/>
      <c r="AC11628" s="42"/>
    </row>
    <row r="11629" spans="15:29" x14ac:dyDescent="0.25">
      <c r="O11629" s="42"/>
      <c r="R11629" s="42"/>
      <c r="AC11629" s="42"/>
    </row>
    <row r="11630" spans="15:29" x14ac:dyDescent="0.25">
      <c r="O11630" s="42"/>
      <c r="R11630" s="42"/>
      <c r="AC11630" s="42"/>
    </row>
    <row r="11631" spans="15:29" x14ac:dyDescent="0.25">
      <c r="O11631" s="42"/>
      <c r="R11631" s="42"/>
      <c r="AC11631" s="42"/>
    </row>
    <row r="11632" spans="15:29" x14ac:dyDescent="0.25">
      <c r="O11632" s="42"/>
      <c r="R11632" s="42"/>
      <c r="AC11632" s="42"/>
    </row>
    <row r="11633" spans="15:29" x14ac:dyDescent="0.25">
      <c r="O11633" s="42"/>
      <c r="R11633" s="42"/>
      <c r="AC11633" s="42"/>
    </row>
    <row r="11634" spans="15:29" x14ac:dyDescent="0.25">
      <c r="O11634" s="42"/>
      <c r="R11634" s="42"/>
      <c r="AC11634" s="42"/>
    </row>
    <row r="11635" spans="15:29" x14ac:dyDescent="0.25">
      <c r="O11635" s="42"/>
      <c r="R11635" s="42"/>
      <c r="AC11635" s="42"/>
    </row>
    <row r="11636" spans="15:29" x14ac:dyDescent="0.25">
      <c r="O11636" s="42"/>
      <c r="R11636" s="42"/>
      <c r="AC11636" s="42"/>
    </row>
    <row r="11637" spans="15:29" x14ac:dyDescent="0.25">
      <c r="O11637" s="42"/>
      <c r="R11637" s="42"/>
      <c r="AC11637" s="42"/>
    </row>
    <row r="11638" spans="15:29" x14ac:dyDescent="0.25">
      <c r="O11638" s="42"/>
      <c r="R11638" s="42"/>
      <c r="AC11638" s="42"/>
    </row>
    <row r="11639" spans="15:29" x14ac:dyDescent="0.25">
      <c r="O11639" s="42"/>
      <c r="R11639" s="42"/>
      <c r="AC11639" s="42"/>
    </row>
    <row r="11640" spans="15:29" x14ac:dyDescent="0.25">
      <c r="O11640" s="42"/>
      <c r="R11640" s="42"/>
      <c r="AC11640" s="42"/>
    </row>
    <row r="11641" spans="15:29" x14ac:dyDescent="0.25">
      <c r="O11641" s="42"/>
      <c r="R11641" s="42"/>
      <c r="AC11641" s="42"/>
    </row>
    <row r="11642" spans="15:29" x14ac:dyDescent="0.25">
      <c r="O11642" s="42"/>
      <c r="R11642" s="42"/>
      <c r="AC11642" s="42"/>
    </row>
    <row r="11643" spans="15:29" x14ac:dyDescent="0.25">
      <c r="O11643" s="42"/>
      <c r="R11643" s="42"/>
      <c r="AC11643" s="42"/>
    </row>
    <row r="11644" spans="15:29" x14ac:dyDescent="0.25">
      <c r="O11644" s="42"/>
      <c r="R11644" s="42"/>
      <c r="AC11644" s="42"/>
    </row>
    <row r="11645" spans="15:29" x14ac:dyDescent="0.25">
      <c r="O11645" s="42"/>
      <c r="R11645" s="42"/>
      <c r="AC11645" s="42"/>
    </row>
    <row r="11646" spans="15:29" x14ac:dyDescent="0.25">
      <c r="O11646" s="42"/>
      <c r="R11646" s="42"/>
      <c r="AC11646" s="42"/>
    </row>
    <row r="11647" spans="15:29" x14ac:dyDescent="0.25">
      <c r="O11647" s="42"/>
      <c r="R11647" s="42"/>
      <c r="AC11647" s="42"/>
    </row>
    <row r="11648" spans="15:29" x14ac:dyDescent="0.25">
      <c r="O11648" s="42"/>
      <c r="R11648" s="42"/>
      <c r="AC11648" s="42"/>
    </row>
    <row r="11649" spans="15:29" x14ac:dyDescent="0.25">
      <c r="O11649" s="42"/>
      <c r="R11649" s="42"/>
      <c r="AC11649" s="42"/>
    </row>
    <row r="11650" spans="15:29" x14ac:dyDescent="0.25">
      <c r="O11650" s="42"/>
      <c r="R11650" s="42"/>
      <c r="AC11650" s="42"/>
    </row>
    <row r="11651" spans="15:29" x14ac:dyDescent="0.25">
      <c r="O11651" s="42"/>
      <c r="R11651" s="42"/>
      <c r="AC11651" s="42"/>
    </row>
    <row r="11652" spans="15:29" x14ac:dyDescent="0.25">
      <c r="O11652" s="42"/>
      <c r="R11652" s="42"/>
      <c r="AC11652" s="42"/>
    </row>
    <row r="11653" spans="15:29" x14ac:dyDescent="0.25">
      <c r="O11653" s="42"/>
      <c r="R11653" s="42"/>
      <c r="AC11653" s="42"/>
    </row>
    <row r="11654" spans="15:29" x14ac:dyDescent="0.25">
      <c r="O11654" s="42"/>
      <c r="R11654" s="42"/>
      <c r="AC11654" s="42"/>
    </row>
    <row r="11655" spans="15:29" x14ac:dyDescent="0.25">
      <c r="O11655" s="42"/>
      <c r="R11655" s="42"/>
      <c r="AC11655" s="42"/>
    </row>
    <row r="11656" spans="15:29" x14ac:dyDescent="0.25">
      <c r="O11656" s="42"/>
      <c r="R11656" s="42"/>
      <c r="AC11656" s="42"/>
    </row>
    <row r="11657" spans="15:29" x14ac:dyDescent="0.25">
      <c r="O11657" s="42"/>
      <c r="R11657" s="42"/>
      <c r="AC11657" s="42"/>
    </row>
    <row r="11658" spans="15:29" x14ac:dyDescent="0.25">
      <c r="O11658" s="42"/>
      <c r="R11658" s="42"/>
      <c r="AC11658" s="42"/>
    </row>
    <row r="11659" spans="15:29" x14ac:dyDescent="0.25">
      <c r="O11659" s="42"/>
      <c r="R11659" s="42"/>
      <c r="AC11659" s="42"/>
    </row>
    <row r="11660" spans="15:29" x14ac:dyDescent="0.25">
      <c r="O11660" s="42"/>
      <c r="R11660" s="42"/>
      <c r="AC11660" s="42"/>
    </row>
    <row r="11661" spans="15:29" x14ac:dyDescent="0.25">
      <c r="O11661" s="42"/>
      <c r="R11661" s="42"/>
      <c r="AC11661" s="42"/>
    </row>
    <row r="11662" spans="15:29" x14ac:dyDescent="0.25">
      <c r="O11662" s="42"/>
      <c r="R11662" s="42"/>
      <c r="AC11662" s="42"/>
    </row>
    <row r="11663" spans="15:29" x14ac:dyDescent="0.25">
      <c r="O11663" s="42"/>
      <c r="R11663" s="42"/>
      <c r="AC11663" s="42"/>
    </row>
    <row r="11664" spans="15:29" x14ac:dyDescent="0.25">
      <c r="O11664" s="42"/>
      <c r="R11664" s="42"/>
      <c r="AC11664" s="42"/>
    </row>
    <row r="11665" spans="15:29" x14ac:dyDescent="0.25">
      <c r="O11665" s="42"/>
      <c r="R11665" s="42"/>
      <c r="AC11665" s="42"/>
    </row>
    <row r="11666" spans="15:29" x14ac:dyDescent="0.25">
      <c r="O11666" s="42"/>
      <c r="R11666" s="42"/>
      <c r="AC11666" s="42"/>
    </row>
    <row r="11667" spans="15:29" x14ac:dyDescent="0.25">
      <c r="O11667" s="42"/>
      <c r="R11667" s="42"/>
      <c r="AC11667" s="42"/>
    </row>
    <row r="11668" spans="15:29" x14ac:dyDescent="0.25">
      <c r="O11668" s="42"/>
      <c r="R11668" s="42"/>
      <c r="AC11668" s="42"/>
    </row>
    <row r="11669" spans="15:29" x14ac:dyDescent="0.25">
      <c r="O11669" s="42"/>
      <c r="R11669" s="42"/>
      <c r="AC11669" s="42"/>
    </row>
    <row r="11670" spans="15:29" x14ac:dyDescent="0.25">
      <c r="O11670" s="42"/>
      <c r="R11670" s="42"/>
      <c r="AC11670" s="42"/>
    </row>
    <row r="11671" spans="15:29" x14ac:dyDescent="0.25">
      <c r="O11671" s="42"/>
      <c r="R11671" s="42"/>
      <c r="AC11671" s="42"/>
    </row>
    <row r="11672" spans="15:29" x14ac:dyDescent="0.25">
      <c r="O11672" s="42"/>
      <c r="R11672" s="42"/>
      <c r="AC11672" s="42"/>
    </row>
    <row r="11673" spans="15:29" x14ac:dyDescent="0.25">
      <c r="O11673" s="42"/>
      <c r="R11673" s="42"/>
      <c r="AC11673" s="42"/>
    </row>
    <row r="11674" spans="15:29" x14ac:dyDescent="0.25">
      <c r="O11674" s="42"/>
      <c r="R11674" s="42"/>
      <c r="AC11674" s="42"/>
    </row>
    <row r="11675" spans="15:29" x14ac:dyDescent="0.25">
      <c r="O11675" s="42"/>
      <c r="R11675" s="42"/>
      <c r="AC11675" s="42"/>
    </row>
    <row r="11676" spans="15:29" x14ac:dyDescent="0.25">
      <c r="O11676" s="42"/>
      <c r="R11676" s="42"/>
      <c r="AC11676" s="42"/>
    </row>
    <row r="11677" spans="15:29" x14ac:dyDescent="0.25">
      <c r="O11677" s="42"/>
      <c r="R11677" s="42"/>
      <c r="AC11677" s="42"/>
    </row>
    <row r="11678" spans="15:29" x14ac:dyDescent="0.25">
      <c r="O11678" s="42"/>
      <c r="R11678" s="42"/>
      <c r="AC11678" s="42"/>
    </row>
    <row r="11679" spans="15:29" x14ac:dyDescent="0.25">
      <c r="O11679" s="42"/>
      <c r="R11679" s="42"/>
      <c r="AC11679" s="42"/>
    </row>
    <row r="11680" spans="15:29" x14ac:dyDescent="0.25">
      <c r="O11680" s="42"/>
      <c r="R11680" s="42"/>
      <c r="AC11680" s="42"/>
    </row>
    <row r="11681" spans="15:29" x14ac:dyDescent="0.25">
      <c r="O11681" s="42"/>
      <c r="R11681" s="42"/>
      <c r="AC11681" s="42"/>
    </row>
    <row r="11682" spans="15:29" x14ac:dyDescent="0.25">
      <c r="O11682" s="42"/>
      <c r="R11682" s="42"/>
      <c r="AC11682" s="42"/>
    </row>
    <row r="11683" spans="15:29" x14ac:dyDescent="0.25">
      <c r="O11683" s="42"/>
      <c r="R11683" s="42"/>
      <c r="AC11683" s="42"/>
    </row>
    <row r="11684" spans="15:29" x14ac:dyDescent="0.25">
      <c r="O11684" s="42"/>
      <c r="R11684" s="42"/>
      <c r="AC11684" s="42"/>
    </row>
    <row r="11685" spans="15:29" x14ac:dyDescent="0.25">
      <c r="O11685" s="42"/>
      <c r="R11685" s="42"/>
      <c r="AC11685" s="42"/>
    </row>
    <row r="11686" spans="15:29" x14ac:dyDescent="0.25">
      <c r="O11686" s="42"/>
      <c r="R11686" s="42"/>
      <c r="AC11686" s="42"/>
    </row>
    <row r="11687" spans="15:29" x14ac:dyDescent="0.25">
      <c r="O11687" s="42"/>
      <c r="R11687" s="42"/>
      <c r="AC11687" s="42"/>
    </row>
    <row r="11688" spans="15:29" x14ac:dyDescent="0.25">
      <c r="O11688" s="42"/>
      <c r="R11688" s="42"/>
      <c r="AC11688" s="42"/>
    </row>
    <row r="11689" spans="15:29" x14ac:dyDescent="0.25">
      <c r="O11689" s="42"/>
      <c r="R11689" s="42"/>
      <c r="AC11689" s="42"/>
    </row>
    <row r="11690" spans="15:29" x14ac:dyDescent="0.25">
      <c r="O11690" s="42"/>
      <c r="R11690" s="42"/>
      <c r="AC11690" s="42"/>
    </row>
    <row r="11691" spans="15:29" x14ac:dyDescent="0.25">
      <c r="O11691" s="42"/>
      <c r="R11691" s="42"/>
      <c r="AC11691" s="42"/>
    </row>
    <row r="11692" spans="15:29" x14ac:dyDescent="0.25">
      <c r="O11692" s="42"/>
      <c r="R11692" s="42"/>
      <c r="AC11692" s="42"/>
    </row>
    <row r="11693" spans="15:29" x14ac:dyDescent="0.25">
      <c r="O11693" s="42"/>
      <c r="R11693" s="42"/>
      <c r="AC11693" s="42"/>
    </row>
    <row r="11694" spans="15:29" x14ac:dyDescent="0.25">
      <c r="O11694" s="42"/>
      <c r="R11694" s="42"/>
      <c r="AC11694" s="42"/>
    </row>
    <row r="11695" spans="15:29" x14ac:dyDescent="0.25">
      <c r="O11695" s="42"/>
      <c r="R11695" s="42"/>
      <c r="AC11695" s="42"/>
    </row>
    <row r="11696" spans="15:29" x14ac:dyDescent="0.25">
      <c r="O11696" s="42"/>
      <c r="R11696" s="42"/>
      <c r="AC11696" s="42"/>
    </row>
    <row r="11697" spans="15:29" x14ac:dyDescent="0.25">
      <c r="O11697" s="42"/>
      <c r="R11697" s="42"/>
      <c r="AC11697" s="42"/>
    </row>
    <row r="11698" spans="15:29" x14ac:dyDescent="0.25">
      <c r="O11698" s="42"/>
      <c r="R11698" s="42"/>
      <c r="AC11698" s="42"/>
    </row>
    <row r="11699" spans="15:29" x14ac:dyDescent="0.25">
      <c r="O11699" s="42"/>
      <c r="R11699" s="42"/>
      <c r="AC11699" s="42"/>
    </row>
    <row r="11700" spans="15:29" x14ac:dyDescent="0.25">
      <c r="O11700" s="42"/>
      <c r="R11700" s="42"/>
      <c r="AC11700" s="42"/>
    </row>
    <row r="11701" spans="15:29" x14ac:dyDescent="0.25">
      <c r="O11701" s="42"/>
      <c r="R11701" s="42"/>
      <c r="AC11701" s="42"/>
    </row>
    <row r="11702" spans="15:29" x14ac:dyDescent="0.25">
      <c r="O11702" s="42"/>
      <c r="R11702" s="42"/>
      <c r="AC11702" s="42"/>
    </row>
    <row r="11703" spans="15:29" x14ac:dyDescent="0.25">
      <c r="O11703" s="42"/>
      <c r="R11703" s="42"/>
      <c r="AC11703" s="42"/>
    </row>
    <row r="11704" spans="15:29" x14ac:dyDescent="0.25">
      <c r="O11704" s="42"/>
      <c r="R11704" s="42"/>
      <c r="AC11704" s="42"/>
    </row>
    <row r="11705" spans="15:29" x14ac:dyDescent="0.25">
      <c r="O11705" s="42"/>
      <c r="R11705" s="42"/>
      <c r="AC11705" s="42"/>
    </row>
    <row r="11706" spans="15:29" x14ac:dyDescent="0.25">
      <c r="O11706" s="42"/>
      <c r="R11706" s="42"/>
      <c r="AC11706" s="42"/>
    </row>
    <row r="11707" spans="15:29" x14ac:dyDescent="0.25">
      <c r="O11707" s="42"/>
      <c r="R11707" s="42"/>
      <c r="AC11707" s="42"/>
    </row>
    <row r="11708" spans="15:29" x14ac:dyDescent="0.25">
      <c r="O11708" s="42"/>
      <c r="R11708" s="42"/>
      <c r="AC11708" s="42"/>
    </row>
    <row r="11709" spans="15:29" x14ac:dyDescent="0.25">
      <c r="O11709" s="42"/>
      <c r="R11709" s="42"/>
      <c r="AC11709" s="42"/>
    </row>
    <row r="11710" spans="15:29" x14ac:dyDescent="0.25">
      <c r="O11710" s="42"/>
      <c r="R11710" s="42"/>
      <c r="AC11710" s="42"/>
    </row>
    <row r="11711" spans="15:29" x14ac:dyDescent="0.25">
      <c r="O11711" s="42"/>
      <c r="R11711" s="42"/>
      <c r="AC11711" s="42"/>
    </row>
    <row r="11712" spans="15:29" x14ac:dyDescent="0.25">
      <c r="O11712" s="42"/>
      <c r="R11712" s="42"/>
      <c r="AC11712" s="42"/>
    </row>
    <row r="11713" spans="15:29" x14ac:dyDescent="0.25">
      <c r="O11713" s="42"/>
      <c r="R11713" s="42"/>
      <c r="AC11713" s="42"/>
    </row>
    <row r="11714" spans="15:29" x14ac:dyDescent="0.25">
      <c r="O11714" s="42"/>
      <c r="R11714" s="42"/>
      <c r="AC11714" s="42"/>
    </row>
    <row r="11715" spans="15:29" x14ac:dyDescent="0.25">
      <c r="O11715" s="42"/>
      <c r="R11715" s="42"/>
      <c r="AC11715" s="42"/>
    </row>
    <row r="11716" spans="15:29" x14ac:dyDescent="0.25">
      <c r="O11716" s="42"/>
      <c r="R11716" s="42"/>
      <c r="AC11716" s="42"/>
    </row>
    <row r="11717" spans="15:29" x14ac:dyDescent="0.25">
      <c r="O11717" s="42"/>
      <c r="R11717" s="42"/>
      <c r="AC11717" s="42"/>
    </row>
    <row r="11718" spans="15:29" x14ac:dyDescent="0.25">
      <c r="O11718" s="42"/>
      <c r="R11718" s="42"/>
      <c r="AC11718" s="42"/>
    </row>
    <row r="11719" spans="15:29" x14ac:dyDescent="0.25">
      <c r="O11719" s="42"/>
      <c r="R11719" s="42"/>
      <c r="AC11719" s="42"/>
    </row>
    <row r="11720" spans="15:29" x14ac:dyDescent="0.25">
      <c r="O11720" s="42"/>
      <c r="R11720" s="42"/>
      <c r="AC11720" s="42"/>
    </row>
    <row r="11721" spans="15:29" x14ac:dyDescent="0.25">
      <c r="O11721" s="42"/>
      <c r="R11721" s="42"/>
      <c r="AC11721" s="42"/>
    </row>
    <row r="11722" spans="15:29" x14ac:dyDescent="0.25">
      <c r="O11722" s="42"/>
      <c r="R11722" s="42"/>
      <c r="AC11722" s="42"/>
    </row>
    <row r="11723" spans="15:29" x14ac:dyDescent="0.25">
      <c r="O11723" s="42"/>
      <c r="R11723" s="42"/>
      <c r="AC11723" s="42"/>
    </row>
    <row r="11724" spans="15:29" x14ac:dyDescent="0.25">
      <c r="O11724" s="42"/>
      <c r="R11724" s="42"/>
      <c r="AC11724" s="42"/>
    </row>
    <row r="11725" spans="15:29" x14ac:dyDescent="0.25">
      <c r="O11725" s="42"/>
      <c r="R11725" s="42"/>
      <c r="AC11725" s="42"/>
    </row>
    <row r="11726" spans="15:29" x14ac:dyDescent="0.25">
      <c r="O11726" s="42"/>
      <c r="R11726" s="42"/>
      <c r="AC11726" s="42"/>
    </row>
    <row r="11727" spans="15:29" x14ac:dyDescent="0.25">
      <c r="O11727" s="42"/>
      <c r="R11727" s="42"/>
      <c r="AC11727" s="42"/>
    </row>
    <row r="11728" spans="15:29" x14ac:dyDescent="0.25">
      <c r="O11728" s="42"/>
      <c r="R11728" s="42"/>
      <c r="AC11728" s="42"/>
    </row>
    <row r="11729" spans="15:29" x14ac:dyDescent="0.25">
      <c r="O11729" s="42"/>
      <c r="R11729" s="42"/>
      <c r="AC11729" s="42"/>
    </row>
    <row r="11730" spans="15:29" x14ac:dyDescent="0.25">
      <c r="O11730" s="42"/>
      <c r="R11730" s="42"/>
      <c r="AC11730" s="42"/>
    </row>
    <row r="11731" spans="15:29" x14ac:dyDescent="0.25">
      <c r="O11731" s="42"/>
      <c r="R11731" s="42"/>
      <c r="AC11731" s="42"/>
    </row>
    <row r="11732" spans="15:29" x14ac:dyDescent="0.25">
      <c r="O11732" s="42"/>
      <c r="R11732" s="42"/>
      <c r="AC11732" s="42"/>
    </row>
    <row r="11733" spans="15:29" x14ac:dyDescent="0.25">
      <c r="O11733" s="42"/>
      <c r="R11733" s="42"/>
      <c r="AC11733" s="42"/>
    </row>
    <row r="11734" spans="15:29" x14ac:dyDescent="0.25">
      <c r="O11734" s="42"/>
      <c r="R11734" s="42"/>
      <c r="AC11734" s="42"/>
    </row>
    <row r="11735" spans="15:29" x14ac:dyDescent="0.25">
      <c r="O11735" s="42"/>
      <c r="R11735" s="42"/>
      <c r="AC11735" s="42"/>
    </row>
    <row r="11736" spans="15:29" x14ac:dyDescent="0.25">
      <c r="O11736" s="42"/>
      <c r="R11736" s="42"/>
      <c r="AC11736" s="42"/>
    </row>
    <row r="11737" spans="15:29" x14ac:dyDescent="0.25">
      <c r="O11737" s="42"/>
      <c r="R11737" s="42"/>
      <c r="AC11737" s="42"/>
    </row>
    <row r="11738" spans="15:29" x14ac:dyDescent="0.25">
      <c r="O11738" s="42"/>
      <c r="R11738" s="42"/>
      <c r="AC11738" s="42"/>
    </row>
    <row r="11739" spans="15:29" x14ac:dyDescent="0.25">
      <c r="O11739" s="42"/>
      <c r="R11739" s="42"/>
      <c r="AC11739" s="42"/>
    </row>
    <row r="11740" spans="15:29" x14ac:dyDescent="0.25">
      <c r="O11740" s="42"/>
      <c r="R11740" s="42"/>
      <c r="AC11740" s="42"/>
    </row>
    <row r="11741" spans="15:29" x14ac:dyDescent="0.25">
      <c r="O11741" s="42"/>
      <c r="R11741" s="42"/>
      <c r="AC11741" s="42"/>
    </row>
    <row r="11742" spans="15:29" x14ac:dyDescent="0.25">
      <c r="O11742" s="42"/>
      <c r="R11742" s="42"/>
      <c r="AC11742" s="42"/>
    </row>
    <row r="11743" spans="15:29" x14ac:dyDescent="0.25">
      <c r="O11743" s="42"/>
      <c r="R11743" s="42"/>
      <c r="AC11743" s="42"/>
    </row>
    <row r="11744" spans="15:29" x14ac:dyDescent="0.25">
      <c r="O11744" s="42"/>
      <c r="R11744" s="42"/>
      <c r="AC11744" s="42"/>
    </row>
    <row r="11745" spans="15:29" x14ac:dyDescent="0.25">
      <c r="O11745" s="42"/>
      <c r="R11745" s="42"/>
      <c r="AC11745" s="42"/>
    </row>
    <row r="11746" spans="15:29" x14ac:dyDescent="0.25">
      <c r="O11746" s="42"/>
      <c r="R11746" s="42"/>
      <c r="AC11746" s="42"/>
    </row>
    <row r="11747" spans="15:29" x14ac:dyDescent="0.25">
      <c r="O11747" s="42"/>
      <c r="R11747" s="42"/>
      <c r="AC11747" s="42"/>
    </row>
    <row r="11748" spans="15:29" x14ac:dyDescent="0.25">
      <c r="O11748" s="42"/>
      <c r="R11748" s="42"/>
      <c r="AC11748" s="42"/>
    </row>
    <row r="11749" spans="15:29" x14ac:dyDescent="0.25">
      <c r="O11749" s="42"/>
      <c r="R11749" s="42"/>
      <c r="AC11749" s="42"/>
    </row>
    <row r="11750" spans="15:29" x14ac:dyDescent="0.25">
      <c r="O11750" s="42"/>
      <c r="R11750" s="42"/>
      <c r="AC11750" s="42"/>
    </row>
    <row r="11751" spans="15:29" x14ac:dyDescent="0.25">
      <c r="O11751" s="42"/>
      <c r="R11751" s="42"/>
      <c r="AC11751" s="42"/>
    </row>
    <row r="11752" spans="15:29" x14ac:dyDescent="0.25">
      <c r="O11752" s="42"/>
      <c r="R11752" s="42"/>
      <c r="AC11752" s="42"/>
    </row>
    <row r="11753" spans="15:29" x14ac:dyDescent="0.25">
      <c r="O11753" s="42"/>
      <c r="R11753" s="42"/>
      <c r="AC11753" s="42"/>
    </row>
    <row r="11754" spans="15:29" x14ac:dyDescent="0.25">
      <c r="O11754" s="42"/>
      <c r="R11754" s="42"/>
      <c r="AC11754" s="42"/>
    </row>
    <row r="11755" spans="15:29" x14ac:dyDescent="0.25">
      <c r="O11755" s="42"/>
      <c r="R11755" s="42"/>
      <c r="AC11755" s="42"/>
    </row>
    <row r="11756" spans="15:29" x14ac:dyDescent="0.25">
      <c r="O11756" s="42"/>
      <c r="R11756" s="42"/>
      <c r="AC11756" s="42"/>
    </row>
    <row r="11757" spans="15:29" x14ac:dyDescent="0.25">
      <c r="O11757" s="42"/>
      <c r="R11757" s="42"/>
      <c r="AC11757" s="42"/>
    </row>
    <row r="11758" spans="15:29" x14ac:dyDescent="0.25">
      <c r="O11758" s="42"/>
      <c r="R11758" s="42"/>
      <c r="AC11758" s="42"/>
    </row>
    <row r="11759" spans="15:29" x14ac:dyDescent="0.25">
      <c r="O11759" s="42"/>
      <c r="R11759" s="42"/>
      <c r="AC11759" s="42"/>
    </row>
    <row r="11760" spans="15:29" x14ac:dyDescent="0.25">
      <c r="O11760" s="42"/>
      <c r="R11760" s="42"/>
      <c r="AC11760" s="42"/>
    </row>
    <row r="11761" spans="15:29" x14ac:dyDescent="0.25">
      <c r="O11761" s="42"/>
      <c r="R11761" s="42"/>
      <c r="AC11761" s="42"/>
    </row>
    <row r="11762" spans="15:29" x14ac:dyDescent="0.25">
      <c r="O11762" s="42"/>
      <c r="R11762" s="42"/>
      <c r="AC11762" s="42"/>
    </row>
    <row r="11763" spans="15:29" x14ac:dyDescent="0.25">
      <c r="O11763" s="42"/>
      <c r="R11763" s="42"/>
      <c r="AC11763" s="42"/>
    </row>
    <row r="11764" spans="15:29" x14ac:dyDescent="0.25">
      <c r="O11764" s="42"/>
      <c r="R11764" s="42"/>
      <c r="AC11764" s="42"/>
    </row>
    <row r="11765" spans="15:29" x14ac:dyDescent="0.25">
      <c r="O11765" s="42"/>
      <c r="R11765" s="42"/>
      <c r="AC11765" s="42"/>
    </row>
    <row r="11766" spans="15:29" x14ac:dyDescent="0.25">
      <c r="O11766" s="42"/>
      <c r="R11766" s="42"/>
      <c r="AC11766" s="42"/>
    </row>
    <row r="11767" spans="15:29" x14ac:dyDescent="0.25">
      <c r="O11767" s="42"/>
      <c r="R11767" s="42"/>
      <c r="AC11767" s="42"/>
    </row>
    <row r="11768" spans="15:29" x14ac:dyDescent="0.25">
      <c r="O11768" s="42"/>
      <c r="R11768" s="42"/>
      <c r="AC11768" s="42"/>
    </row>
    <row r="11769" spans="15:29" x14ac:dyDescent="0.25">
      <c r="O11769" s="42"/>
      <c r="R11769" s="42"/>
      <c r="AC11769" s="42"/>
    </row>
    <row r="11770" spans="15:29" x14ac:dyDescent="0.25">
      <c r="O11770" s="42"/>
      <c r="R11770" s="42"/>
      <c r="AC11770" s="42"/>
    </row>
    <row r="11771" spans="15:29" x14ac:dyDescent="0.25">
      <c r="O11771" s="42"/>
      <c r="R11771" s="42"/>
      <c r="AC11771" s="42"/>
    </row>
    <row r="11772" spans="15:29" x14ac:dyDescent="0.25">
      <c r="O11772" s="42"/>
      <c r="R11772" s="42"/>
      <c r="AC11772" s="42"/>
    </row>
    <row r="11773" spans="15:29" x14ac:dyDescent="0.25">
      <c r="O11773" s="42"/>
      <c r="R11773" s="42"/>
      <c r="AC11773" s="42"/>
    </row>
    <row r="11774" spans="15:29" x14ac:dyDescent="0.25">
      <c r="O11774" s="42"/>
      <c r="R11774" s="42"/>
      <c r="AC11774" s="42"/>
    </row>
    <row r="11775" spans="15:29" x14ac:dyDescent="0.25">
      <c r="O11775" s="42"/>
      <c r="R11775" s="42"/>
      <c r="AC11775" s="42"/>
    </row>
    <row r="11776" spans="15:29" x14ac:dyDescent="0.25">
      <c r="O11776" s="42"/>
      <c r="R11776" s="42"/>
      <c r="AC11776" s="42"/>
    </row>
    <row r="11777" spans="15:29" x14ac:dyDescent="0.25">
      <c r="O11777" s="42"/>
      <c r="R11777" s="42"/>
      <c r="AC11777" s="42"/>
    </row>
    <row r="11778" spans="15:29" x14ac:dyDescent="0.25">
      <c r="O11778" s="42"/>
      <c r="R11778" s="42"/>
      <c r="AC11778" s="42"/>
    </row>
    <row r="11779" spans="15:29" x14ac:dyDescent="0.25">
      <c r="O11779" s="42"/>
      <c r="R11779" s="42"/>
      <c r="AC11779" s="42"/>
    </row>
    <row r="11780" spans="15:29" x14ac:dyDescent="0.25">
      <c r="O11780" s="42"/>
      <c r="R11780" s="42"/>
      <c r="AC11780" s="42"/>
    </row>
    <row r="11781" spans="15:29" x14ac:dyDescent="0.25">
      <c r="O11781" s="42"/>
      <c r="R11781" s="42"/>
      <c r="AC11781" s="42"/>
    </row>
    <row r="11782" spans="15:29" x14ac:dyDescent="0.25">
      <c r="O11782" s="42"/>
      <c r="R11782" s="42"/>
      <c r="AC11782" s="42"/>
    </row>
    <row r="11783" spans="15:29" x14ac:dyDescent="0.25">
      <c r="O11783" s="42"/>
      <c r="R11783" s="42"/>
      <c r="AC11783" s="42"/>
    </row>
    <row r="11784" spans="15:29" x14ac:dyDescent="0.25">
      <c r="O11784" s="42"/>
      <c r="R11784" s="42"/>
      <c r="AC11784" s="42"/>
    </row>
    <row r="11785" spans="15:29" x14ac:dyDescent="0.25">
      <c r="O11785" s="42"/>
      <c r="R11785" s="42"/>
      <c r="AC11785" s="42"/>
    </row>
    <row r="11786" spans="15:29" x14ac:dyDescent="0.25">
      <c r="O11786" s="42"/>
      <c r="R11786" s="42"/>
      <c r="AC11786" s="42"/>
    </row>
    <row r="11787" spans="15:29" x14ac:dyDescent="0.25">
      <c r="O11787" s="42"/>
      <c r="R11787" s="42"/>
      <c r="AC11787" s="42"/>
    </row>
    <row r="11788" spans="15:29" x14ac:dyDescent="0.25">
      <c r="O11788" s="42"/>
      <c r="R11788" s="42"/>
      <c r="AC11788" s="42"/>
    </row>
    <row r="11789" spans="15:29" x14ac:dyDescent="0.25">
      <c r="O11789" s="42"/>
      <c r="R11789" s="42"/>
      <c r="AC11789" s="42"/>
    </row>
    <row r="11790" spans="15:29" x14ac:dyDescent="0.25">
      <c r="O11790" s="42"/>
      <c r="R11790" s="42"/>
      <c r="AC11790" s="42"/>
    </row>
    <row r="11791" spans="15:29" x14ac:dyDescent="0.25">
      <c r="O11791" s="42"/>
      <c r="R11791" s="42"/>
      <c r="AC11791" s="42"/>
    </row>
    <row r="11792" spans="15:29" x14ac:dyDescent="0.25">
      <c r="O11792" s="42"/>
      <c r="R11792" s="42"/>
      <c r="AC11792" s="42"/>
    </row>
    <row r="11793" spans="15:29" x14ac:dyDescent="0.25">
      <c r="O11793" s="42"/>
      <c r="R11793" s="42"/>
      <c r="AC11793" s="42"/>
    </row>
    <row r="11794" spans="15:29" x14ac:dyDescent="0.25">
      <c r="O11794" s="42"/>
      <c r="R11794" s="42"/>
      <c r="AC11794" s="42"/>
    </row>
    <row r="11795" spans="15:29" x14ac:dyDescent="0.25">
      <c r="O11795" s="42"/>
      <c r="R11795" s="42"/>
      <c r="AC11795" s="42"/>
    </row>
    <row r="11796" spans="15:29" x14ac:dyDescent="0.25">
      <c r="O11796" s="42"/>
      <c r="R11796" s="42"/>
      <c r="AC11796" s="42"/>
    </row>
    <row r="11797" spans="15:29" x14ac:dyDescent="0.25">
      <c r="O11797" s="42"/>
      <c r="R11797" s="42"/>
      <c r="AC11797" s="42"/>
    </row>
    <row r="11798" spans="15:29" x14ac:dyDescent="0.25">
      <c r="O11798" s="42"/>
      <c r="R11798" s="42"/>
      <c r="AC11798" s="42"/>
    </row>
    <row r="11799" spans="15:29" x14ac:dyDescent="0.25">
      <c r="O11799" s="42"/>
      <c r="R11799" s="42"/>
      <c r="AC11799" s="42"/>
    </row>
    <row r="11800" spans="15:29" x14ac:dyDescent="0.25">
      <c r="O11800" s="42"/>
      <c r="R11800" s="42"/>
      <c r="AC11800" s="42"/>
    </row>
    <row r="11801" spans="15:29" x14ac:dyDescent="0.25">
      <c r="O11801" s="42"/>
      <c r="R11801" s="42"/>
      <c r="AC11801" s="42"/>
    </row>
    <row r="11802" spans="15:29" x14ac:dyDescent="0.25">
      <c r="O11802" s="42"/>
      <c r="R11802" s="42"/>
      <c r="AC11802" s="42"/>
    </row>
    <row r="11803" spans="15:29" x14ac:dyDescent="0.25">
      <c r="O11803" s="42"/>
      <c r="R11803" s="42"/>
      <c r="AC11803" s="42"/>
    </row>
    <row r="11804" spans="15:29" x14ac:dyDescent="0.25">
      <c r="O11804" s="42"/>
      <c r="R11804" s="42"/>
      <c r="AC11804" s="42"/>
    </row>
    <row r="11805" spans="15:29" x14ac:dyDescent="0.25">
      <c r="O11805" s="42"/>
      <c r="R11805" s="42"/>
      <c r="AC11805" s="42"/>
    </row>
    <row r="11806" spans="15:29" x14ac:dyDescent="0.25">
      <c r="O11806" s="42"/>
      <c r="R11806" s="42"/>
      <c r="AC11806" s="42"/>
    </row>
    <row r="11807" spans="15:29" x14ac:dyDescent="0.25">
      <c r="O11807" s="42"/>
      <c r="R11807" s="42"/>
      <c r="AC11807" s="42"/>
    </row>
    <row r="11808" spans="15:29" x14ac:dyDescent="0.25">
      <c r="O11808" s="42"/>
      <c r="R11808" s="42"/>
      <c r="AC11808" s="42"/>
    </row>
    <row r="11809" spans="15:29" x14ac:dyDescent="0.25">
      <c r="O11809" s="42"/>
      <c r="R11809" s="42"/>
      <c r="AC11809" s="42"/>
    </row>
    <row r="11810" spans="15:29" x14ac:dyDescent="0.25">
      <c r="O11810" s="42"/>
      <c r="R11810" s="42"/>
      <c r="AC11810" s="42"/>
    </row>
    <row r="11811" spans="15:29" x14ac:dyDescent="0.25">
      <c r="O11811" s="42"/>
      <c r="R11811" s="42"/>
      <c r="AC11811" s="42"/>
    </row>
    <row r="11812" spans="15:29" x14ac:dyDescent="0.25">
      <c r="O11812" s="42"/>
      <c r="R11812" s="42"/>
      <c r="AC11812" s="42"/>
    </row>
    <row r="11813" spans="15:29" x14ac:dyDescent="0.25">
      <c r="O11813" s="42"/>
      <c r="R11813" s="42"/>
      <c r="AC11813" s="42"/>
    </row>
    <row r="11814" spans="15:29" x14ac:dyDescent="0.25">
      <c r="O11814" s="42"/>
      <c r="R11814" s="42"/>
      <c r="AC11814" s="42"/>
    </row>
    <row r="11815" spans="15:29" x14ac:dyDescent="0.25">
      <c r="O11815" s="42"/>
      <c r="R11815" s="42"/>
      <c r="AC11815" s="42"/>
    </row>
    <row r="11816" spans="15:29" x14ac:dyDescent="0.25">
      <c r="O11816" s="42"/>
      <c r="R11816" s="42"/>
      <c r="AC11816" s="42"/>
    </row>
    <row r="11817" spans="15:29" x14ac:dyDescent="0.25">
      <c r="O11817" s="42"/>
      <c r="R11817" s="42"/>
      <c r="AC11817" s="42"/>
    </row>
    <row r="11818" spans="15:29" x14ac:dyDescent="0.25">
      <c r="O11818" s="42"/>
      <c r="R11818" s="42"/>
      <c r="AC11818" s="42"/>
    </row>
    <row r="11819" spans="15:29" x14ac:dyDescent="0.25">
      <c r="O11819" s="42"/>
      <c r="R11819" s="42"/>
      <c r="AC11819" s="42"/>
    </row>
    <row r="11820" spans="15:29" x14ac:dyDescent="0.25">
      <c r="O11820" s="42"/>
      <c r="R11820" s="42"/>
      <c r="AC11820" s="42"/>
    </row>
    <row r="11821" spans="15:29" x14ac:dyDescent="0.25">
      <c r="O11821" s="42"/>
      <c r="R11821" s="42"/>
      <c r="AC11821" s="42"/>
    </row>
    <row r="11822" spans="15:29" x14ac:dyDescent="0.25">
      <c r="O11822" s="42"/>
      <c r="R11822" s="42"/>
      <c r="AC11822" s="42"/>
    </row>
    <row r="11823" spans="15:29" x14ac:dyDescent="0.25">
      <c r="O11823" s="42"/>
      <c r="R11823" s="42"/>
      <c r="AC11823" s="42"/>
    </row>
    <row r="11824" spans="15:29" x14ac:dyDescent="0.25">
      <c r="O11824" s="42"/>
      <c r="R11824" s="42"/>
      <c r="AC11824" s="42"/>
    </row>
    <row r="11825" spans="15:29" x14ac:dyDescent="0.25">
      <c r="O11825" s="42"/>
      <c r="R11825" s="42"/>
      <c r="AC11825" s="42"/>
    </row>
    <row r="11826" spans="15:29" x14ac:dyDescent="0.25">
      <c r="O11826" s="42"/>
      <c r="R11826" s="42"/>
      <c r="AC11826" s="42"/>
    </row>
    <row r="11827" spans="15:29" x14ac:dyDescent="0.25">
      <c r="O11827" s="42"/>
      <c r="R11827" s="42"/>
      <c r="AC11827" s="42"/>
    </row>
    <row r="11828" spans="15:29" x14ac:dyDescent="0.25">
      <c r="O11828" s="42"/>
      <c r="R11828" s="42"/>
      <c r="AC11828" s="42"/>
    </row>
    <row r="11829" spans="15:29" x14ac:dyDescent="0.25">
      <c r="O11829" s="42"/>
      <c r="R11829" s="42"/>
      <c r="AC11829" s="42"/>
    </row>
    <row r="11830" spans="15:29" x14ac:dyDescent="0.25">
      <c r="O11830" s="42"/>
      <c r="R11830" s="42"/>
      <c r="AC11830" s="42"/>
    </row>
    <row r="11831" spans="15:29" x14ac:dyDescent="0.25">
      <c r="O11831" s="42"/>
      <c r="R11831" s="42"/>
      <c r="AC11831" s="42"/>
    </row>
    <row r="11832" spans="15:29" x14ac:dyDescent="0.25">
      <c r="O11832" s="42"/>
      <c r="R11832" s="42"/>
      <c r="AC11832" s="42"/>
    </row>
    <row r="11833" spans="15:29" x14ac:dyDescent="0.25">
      <c r="O11833" s="42"/>
      <c r="R11833" s="42"/>
      <c r="AC11833" s="42"/>
    </row>
    <row r="11834" spans="15:29" x14ac:dyDescent="0.25">
      <c r="O11834" s="42"/>
      <c r="R11834" s="42"/>
      <c r="AC11834" s="42"/>
    </row>
    <row r="11835" spans="15:29" x14ac:dyDescent="0.25">
      <c r="O11835" s="42"/>
      <c r="R11835" s="42"/>
      <c r="AC11835" s="42"/>
    </row>
    <row r="11836" spans="15:29" x14ac:dyDescent="0.25">
      <c r="O11836" s="42"/>
      <c r="R11836" s="42"/>
      <c r="AC11836" s="42"/>
    </row>
    <row r="11837" spans="15:29" x14ac:dyDescent="0.25">
      <c r="O11837" s="42"/>
      <c r="R11837" s="42"/>
      <c r="AC11837" s="42"/>
    </row>
    <row r="11838" spans="15:29" x14ac:dyDescent="0.25">
      <c r="O11838" s="42"/>
      <c r="R11838" s="42"/>
      <c r="AC11838" s="42"/>
    </row>
    <row r="11839" spans="15:29" x14ac:dyDescent="0.25">
      <c r="O11839" s="42"/>
      <c r="R11839" s="42"/>
      <c r="AC11839" s="42"/>
    </row>
    <row r="11840" spans="15:29" x14ac:dyDescent="0.25">
      <c r="O11840" s="42"/>
      <c r="R11840" s="42"/>
      <c r="AC11840" s="42"/>
    </row>
    <row r="11841" spans="15:29" x14ac:dyDescent="0.25">
      <c r="O11841" s="42"/>
      <c r="R11841" s="42"/>
      <c r="AC11841" s="42"/>
    </row>
    <row r="11842" spans="15:29" x14ac:dyDescent="0.25">
      <c r="O11842" s="42"/>
      <c r="R11842" s="42"/>
      <c r="AC11842" s="42"/>
    </row>
    <row r="11843" spans="15:29" x14ac:dyDescent="0.25">
      <c r="O11843" s="42"/>
      <c r="R11843" s="42"/>
      <c r="AC11843" s="42"/>
    </row>
    <row r="11844" spans="15:29" x14ac:dyDescent="0.25">
      <c r="O11844" s="42"/>
      <c r="R11844" s="42"/>
      <c r="AC11844" s="42"/>
    </row>
    <row r="11845" spans="15:29" x14ac:dyDescent="0.25">
      <c r="O11845" s="42"/>
      <c r="R11845" s="42"/>
      <c r="AC11845" s="42"/>
    </row>
    <row r="11846" spans="15:29" x14ac:dyDescent="0.25">
      <c r="O11846" s="42"/>
      <c r="R11846" s="42"/>
      <c r="AC11846" s="42"/>
    </row>
    <row r="11847" spans="15:29" x14ac:dyDescent="0.25">
      <c r="O11847" s="42"/>
      <c r="R11847" s="42"/>
      <c r="AC11847" s="42"/>
    </row>
    <row r="11848" spans="15:29" x14ac:dyDescent="0.25">
      <c r="O11848" s="42"/>
      <c r="R11848" s="42"/>
      <c r="AC11848" s="42"/>
    </row>
    <row r="11849" spans="15:29" x14ac:dyDescent="0.25">
      <c r="O11849" s="42"/>
      <c r="R11849" s="42"/>
      <c r="AC11849" s="42"/>
    </row>
    <row r="11850" spans="15:29" x14ac:dyDescent="0.25">
      <c r="O11850" s="42"/>
      <c r="R11850" s="42"/>
      <c r="AC11850" s="42"/>
    </row>
    <row r="11851" spans="15:29" x14ac:dyDescent="0.25">
      <c r="O11851" s="42"/>
      <c r="R11851" s="42"/>
      <c r="AC11851" s="42"/>
    </row>
    <row r="11852" spans="15:29" x14ac:dyDescent="0.25">
      <c r="O11852" s="42"/>
      <c r="R11852" s="42"/>
      <c r="AC11852" s="42"/>
    </row>
    <row r="11853" spans="15:29" x14ac:dyDescent="0.25">
      <c r="O11853" s="42"/>
      <c r="R11853" s="42"/>
      <c r="AC11853" s="42"/>
    </row>
    <row r="11854" spans="15:29" x14ac:dyDescent="0.25">
      <c r="O11854" s="42"/>
      <c r="R11854" s="42"/>
      <c r="AC11854" s="42"/>
    </row>
    <row r="11855" spans="15:29" x14ac:dyDescent="0.25">
      <c r="O11855" s="42"/>
      <c r="R11855" s="42"/>
      <c r="AC11855" s="42"/>
    </row>
    <row r="11856" spans="15:29" x14ac:dyDescent="0.25">
      <c r="O11856" s="42"/>
      <c r="R11856" s="42"/>
      <c r="AC11856" s="42"/>
    </row>
    <row r="11857" spans="15:29" x14ac:dyDescent="0.25">
      <c r="O11857" s="42"/>
      <c r="R11857" s="42"/>
      <c r="AC11857" s="42"/>
    </row>
    <row r="11858" spans="15:29" x14ac:dyDescent="0.25">
      <c r="O11858" s="42"/>
      <c r="R11858" s="42"/>
      <c r="AC11858" s="42"/>
    </row>
    <row r="11859" spans="15:29" x14ac:dyDescent="0.25">
      <c r="O11859" s="42"/>
      <c r="R11859" s="42"/>
      <c r="AC11859" s="42"/>
    </row>
    <row r="11860" spans="15:29" x14ac:dyDescent="0.25">
      <c r="O11860" s="42"/>
      <c r="R11860" s="42"/>
      <c r="AC11860" s="42"/>
    </row>
    <row r="11861" spans="15:29" x14ac:dyDescent="0.25">
      <c r="O11861" s="42"/>
      <c r="R11861" s="42"/>
      <c r="AC11861" s="42"/>
    </row>
    <row r="11862" spans="15:29" x14ac:dyDescent="0.25">
      <c r="O11862" s="42"/>
      <c r="R11862" s="42"/>
      <c r="AC11862" s="42"/>
    </row>
    <row r="11863" spans="15:29" x14ac:dyDescent="0.25">
      <c r="O11863" s="42"/>
      <c r="R11863" s="42"/>
      <c r="AC11863" s="42"/>
    </row>
    <row r="11864" spans="15:29" x14ac:dyDescent="0.25">
      <c r="O11864" s="42"/>
      <c r="R11864" s="42"/>
      <c r="AC11864" s="42"/>
    </row>
    <row r="11865" spans="15:29" x14ac:dyDescent="0.25">
      <c r="O11865" s="42"/>
      <c r="R11865" s="42"/>
      <c r="AC11865" s="42"/>
    </row>
    <row r="11866" spans="15:29" x14ac:dyDescent="0.25">
      <c r="O11866" s="42"/>
      <c r="R11866" s="42"/>
      <c r="AC11866" s="42"/>
    </row>
    <row r="11867" spans="15:29" x14ac:dyDescent="0.25">
      <c r="O11867" s="42"/>
      <c r="R11867" s="42"/>
      <c r="AC11867" s="42"/>
    </row>
    <row r="11868" spans="15:29" x14ac:dyDescent="0.25">
      <c r="O11868" s="42"/>
      <c r="R11868" s="42"/>
      <c r="AC11868" s="42"/>
    </row>
    <row r="11869" spans="15:29" x14ac:dyDescent="0.25">
      <c r="O11869" s="42"/>
      <c r="R11869" s="42"/>
      <c r="AC11869" s="42"/>
    </row>
    <row r="11870" spans="15:29" x14ac:dyDescent="0.25">
      <c r="O11870" s="42"/>
      <c r="R11870" s="42"/>
      <c r="AC11870" s="42"/>
    </row>
    <row r="11871" spans="15:29" x14ac:dyDescent="0.25">
      <c r="O11871" s="42"/>
      <c r="R11871" s="42"/>
      <c r="AC11871" s="42"/>
    </row>
    <row r="11872" spans="15:29" x14ac:dyDescent="0.25">
      <c r="O11872" s="42"/>
      <c r="R11872" s="42"/>
      <c r="AC11872" s="42"/>
    </row>
    <row r="11873" spans="15:29" x14ac:dyDescent="0.25">
      <c r="O11873" s="42"/>
      <c r="R11873" s="42"/>
      <c r="AC11873" s="42"/>
    </row>
    <row r="11874" spans="15:29" x14ac:dyDescent="0.25">
      <c r="O11874" s="42"/>
      <c r="R11874" s="42"/>
      <c r="AC11874" s="42"/>
    </row>
    <row r="11875" spans="15:29" x14ac:dyDescent="0.25">
      <c r="O11875" s="42"/>
      <c r="R11875" s="42"/>
      <c r="AC11875" s="42"/>
    </row>
    <row r="11876" spans="15:29" x14ac:dyDescent="0.25">
      <c r="O11876" s="42"/>
      <c r="R11876" s="42"/>
      <c r="AC11876" s="42"/>
    </row>
    <row r="11877" spans="15:29" x14ac:dyDescent="0.25">
      <c r="O11877" s="42"/>
      <c r="R11877" s="42"/>
      <c r="AC11877" s="42"/>
    </row>
    <row r="11878" spans="15:29" x14ac:dyDescent="0.25">
      <c r="O11878" s="42"/>
      <c r="R11878" s="42"/>
      <c r="AC11878" s="42"/>
    </row>
    <row r="11879" spans="15:29" x14ac:dyDescent="0.25">
      <c r="O11879" s="42"/>
      <c r="R11879" s="42"/>
      <c r="AC11879" s="42"/>
    </row>
    <row r="11880" spans="15:29" x14ac:dyDescent="0.25">
      <c r="O11880" s="42"/>
      <c r="R11880" s="42"/>
      <c r="AC11880" s="42"/>
    </row>
    <row r="11881" spans="15:29" x14ac:dyDescent="0.25">
      <c r="O11881" s="42"/>
      <c r="R11881" s="42"/>
      <c r="AC11881" s="42"/>
    </row>
    <row r="11882" spans="15:29" x14ac:dyDescent="0.25">
      <c r="O11882" s="42"/>
      <c r="R11882" s="42"/>
      <c r="AC11882" s="42"/>
    </row>
    <row r="11883" spans="15:29" x14ac:dyDescent="0.25">
      <c r="O11883" s="42"/>
      <c r="R11883" s="42"/>
      <c r="AC11883" s="42"/>
    </row>
    <row r="11884" spans="15:29" x14ac:dyDescent="0.25">
      <c r="O11884" s="42"/>
      <c r="R11884" s="42"/>
      <c r="AC11884" s="42"/>
    </row>
    <row r="11885" spans="15:29" x14ac:dyDescent="0.25">
      <c r="O11885" s="42"/>
      <c r="R11885" s="42"/>
      <c r="AC11885" s="42"/>
    </row>
    <row r="11886" spans="15:29" x14ac:dyDescent="0.25">
      <c r="O11886" s="42"/>
      <c r="R11886" s="42"/>
      <c r="AC11886" s="42"/>
    </row>
    <row r="11887" spans="15:29" x14ac:dyDescent="0.25">
      <c r="O11887" s="42"/>
      <c r="R11887" s="42"/>
      <c r="AC11887" s="42"/>
    </row>
    <row r="11888" spans="15:29" x14ac:dyDescent="0.25">
      <c r="O11888" s="42"/>
      <c r="R11888" s="42"/>
      <c r="AC11888" s="42"/>
    </row>
    <row r="11889" spans="15:29" x14ac:dyDescent="0.25">
      <c r="O11889" s="42"/>
      <c r="R11889" s="42"/>
      <c r="AC11889" s="42"/>
    </row>
    <row r="11890" spans="15:29" x14ac:dyDescent="0.25">
      <c r="O11890" s="42"/>
      <c r="R11890" s="42"/>
      <c r="AC11890" s="42"/>
    </row>
    <row r="11891" spans="15:29" x14ac:dyDescent="0.25">
      <c r="O11891" s="42"/>
      <c r="R11891" s="42"/>
      <c r="AC11891" s="42"/>
    </row>
    <row r="11892" spans="15:29" x14ac:dyDescent="0.25">
      <c r="O11892" s="42"/>
      <c r="R11892" s="42"/>
      <c r="AC11892" s="42"/>
    </row>
    <row r="11893" spans="15:29" x14ac:dyDescent="0.25">
      <c r="O11893" s="42"/>
      <c r="R11893" s="42"/>
      <c r="AC11893" s="42"/>
    </row>
    <row r="11894" spans="15:29" x14ac:dyDescent="0.25">
      <c r="O11894" s="42"/>
      <c r="R11894" s="42"/>
      <c r="AC11894" s="42"/>
    </row>
    <row r="11895" spans="15:29" x14ac:dyDescent="0.25">
      <c r="O11895" s="42"/>
      <c r="R11895" s="42"/>
      <c r="AC11895" s="42"/>
    </row>
    <row r="11896" spans="15:29" x14ac:dyDescent="0.25">
      <c r="O11896" s="42"/>
      <c r="R11896" s="42"/>
      <c r="AC11896" s="42"/>
    </row>
    <row r="11897" spans="15:29" x14ac:dyDescent="0.25">
      <c r="O11897" s="42"/>
      <c r="R11897" s="42"/>
      <c r="AC11897" s="42"/>
    </row>
    <row r="11898" spans="15:29" x14ac:dyDescent="0.25">
      <c r="O11898" s="42"/>
      <c r="R11898" s="42"/>
      <c r="AC11898" s="42"/>
    </row>
    <row r="11899" spans="15:29" x14ac:dyDescent="0.25">
      <c r="O11899" s="42"/>
      <c r="R11899" s="42"/>
      <c r="AC11899" s="42"/>
    </row>
    <row r="11900" spans="15:29" x14ac:dyDescent="0.25">
      <c r="O11900" s="42"/>
      <c r="R11900" s="42"/>
      <c r="AC11900" s="42"/>
    </row>
    <row r="11901" spans="15:29" x14ac:dyDescent="0.25">
      <c r="O11901" s="42"/>
      <c r="R11901" s="42"/>
      <c r="AC11901" s="42"/>
    </row>
    <row r="11902" spans="15:29" x14ac:dyDescent="0.25">
      <c r="O11902" s="42"/>
      <c r="R11902" s="42"/>
      <c r="AC11902" s="42"/>
    </row>
    <row r="11903" spans="15:29" x14ac:dyDescent="0.25">
      <c r="O11903" s="42"/>
      <c r="R11903" s="42"/>
      <c r="AC11903" s="42"/>
    </row>
    <row r="11904" spans="15:29" x14ac:dyDescent="0.25">
      <c r="O11904" s="42"/>
      <c r="R11904" s="42"/>
      <c r="AC11904" s="42"/>
    </row>
    <row r="11905" spans="15:29" x14ac:dyDescent="0.25">
      <c r="O11905" s="42"/>
      <c r="R11905" s="42"/>
      <c r="AC11905" s="42"/>
    </row>
    <row r="11906" spans="15:29" x14ac:dyDescent="0.25">
      <c r="O11906" s="42"/>
      <c r="R11906" s="42"/>
      <c r="AC11906" s="42"/>
    </row>
    <row r="11907" spans="15:29" x14ac:dyDescent="0.25">
      <c r="O11907" s="42"/>
      <c r="R11907" s="42"/>
      <c r="AC11907" s="42"/>
    </row>
    <row r="11908" spans="15:29" x14ac:dyDescent="0.25">
      <c r="O11908" s="42"/>
      <c r="R11908" s="42"/>
      <c r="AC11908" s="42"/>
    </row>
    <row r="11909" spans="15:29" x14ac:dyDescent="0.25">
      <c r="O11909" s="42"/>
      <c r="R11909" s="42"/>
      <c r="AC11909" s="42"/>
    </row>
    <row r="11910" spans="15:29" x14ac:dyDescent="0.25">
      <c r="O11910" s="42"/>
      <c r="R11910" s="42"/>
      <c r="AC11910" s="42"/>
    </row>
    <row r="11911" spans="15:29" x14ac:dyDescent="0.25">
      <c r="O11911" s="42"/>
      <c r="R11911" s="42"/>
      <c r="AC11911" s="42"/>
    </row>
    <row r="11912" spans="15:29" x14ac:dyDescent="0.25">
      <c r="O11912" s="42"/>
      <c r="R11912" s="42"/>
      <c r="AC11912" s="42"/>
    </row>
    <row r="11913" spans="15:29" x14ac:dyDescent="0.25">
      <c r="O11913" s="42"/>
      <c r="R11913" s="42"/>
      <c r="AC11913" s="42"/>
    </row>
    <row r="11914" spans="15:29" x14ac:dyDescent="0.25">
      <c r="O11914" s="42"/>
      <c r="R11914" s="42"/>
      <c r="AC11914" s="42"/>
    </row>
    <row r="11915" spans="15:29" x14ac:dyDescent="0.25">
      <c r="O11915" s="42"/>
      <c r="R11915" s="42"/>
      <c r="AC11915" s="42"/>
    </row>
    <row r="11916" spans="15:29" x14ac:dyDescent="0.25">
      <c r="O11916" s="42"/>
      <c r="R11916" s="42"/>
      <c r="AC11916" s="42"/>
    </row>
    <row r="11917" spans="15:29" x14ac:dyDescent="0.25">
      <c r="O11917" s="42"/>
      <c r="R11917" s="42"/>
      <c r="AC11917" s="42"/>
    </row>
    <row r="11918" spans="15:29" x14ac:dyDescent="0.25">
      <c r="O11918" s="42"/>
      <c r="R11918" s="42"/>
      <c r="AC11918" s="42"/>
    </row>
    <row r="11919" spans="15:29" x14ac:dyDescent="0.25">
      <c r="O11919" s="42"/>
      <c r="R11919" s="42"/>
      <c r="AC11919" s="42"/>
    </row>
    <row r="11920" spans="15:29" x14ac:dyDescent="0.25">
      <c r="O11920" s="42"/>
      <c r="R11920" s="42"/>
      <c r="AC11920" s="42"/>
    </row>
    <row r="11921" spans="15:29" x14ac:dyDescent="0.25">
      <c r="O11921" s="42"/>
      <c r="R11921" s="42"/>
      <c r="AC11921" s="42"/>
    </row>
    <row r="11922" spans="15:29" x14ac:dyDescent="0.25">
      <c r="O11922" s="42"/>
      <c r="R11922" s="42"/>
      <c r="AC11922" s="42"/>
    </row>
    <row r="11923" spans="15:29" x14ac:dyDescent="0.25">
      <c r="O11923" s="42"/>
      <c r="R11923" s="42"/>
      <c r="AC11923" s="42"/>
    </row>
    <row r="11924" spans="15:29" x14ac:dyDescent="0.25">
      <c r="O11924" s="42"/>
      <c r="R11924" s="42"/>
      <c r="AC11924" s="42"/>
    </row>
    <row r="11925" spans="15:29" x14ac:dyDescent="0.25">
      <c r="O11925" s="42"/>
      <c r="R11925" s="42"/>
      <c r="AC11925" s="42"/>
    </row>
    <row r="11926" spans="15:29" x14ac:dyDescent="0.25">
      <c r="O11926" s="42"/>
      <c r="R11926" s="42"/>
      <c r="AC11926" s="42"/>
    </row>
    <row r="11927" spans="15:29" x14ac:dyDescent="0.25">
      <c r="O11927" s="42"/>
      <c r="R11927" s="42"/>
      <c r="AC11927" s="42"/>
    </row>
    <row r="11928" spans="15:29" x14ac:dyDescent="0.25">
      <c r="O11928" s="42"/>
      <c r="R11928" s="42"/>
      <c r="AC11928" s="42"/>
    </row>
    <row r="11929" spans="15:29" x14ac:dyDescent="0.25">
      <c r="O11929" s="42"/>
      <c r="R11929" s="42"/>
      <c r="AC11929" s="42"/>
    </row>
    <row r="11930" spans="15:29" x14ac:dyDescent="0.25">
      <c r="O11930" s="42"/>
      <c r="R11930" s="42"/>
      <c r="AC11930" s="42"/>
    </row>
    <row r="11931" spans="15:29" x14ac:dyDescent="0.25">
      <c r="O11931" s="42"/>
      <c r="R11931" s="42"/>
      <c r="AC11931" s="42"/>
    </row>
    <row r="11932" spans="15:29" x14ac:dyDescent="0.25">
      <c r="O11932" s="42"/>
      <c r="R11932" s="42"/>
      <c r="AC11932" s="42"/>
    </row>
    <row r="11933" spans="15:29" x14ac:dyDescent="0.25">
      <c r="O11933" s="42"/>
      <c r="R11933" s="42"/>
      <c r="AC11933" s="42"/>
    </row>
    <row r="11934" spans="15:29" x14ac:dyDescent="0.25">
      <c r="O11934" s="42"/>
      <c r="R11934" s="42"/>
      <c r="AC11934" s="42"/>
    </row>
    <row r="11935" spans="15:29" x14ac:dyDescent="0.25">
      <c r="O11935" s="42"/>
      <c r="R11935" s="42"/>
      <c r="AC11935" s="42"/>
    </row>
    <row r="11936" spans="15:29" x14ac:dyDescent="0.25">
      <c r="O11936" s="42"/>
      <c r="R11936" s="42"/>
      <c r="AC11936" s="42"/>
    </row>
    <row r="11937" spans="15:29" x14ac:dyDescent="0.25">
      <c r="O11937" s="42"/>
      <c r="R11937" s="42"/>
      <c r="AC11937" s="42"/>
    </row>
    <row r="11938" spans="15:29" x14ac:dyDescent="0.25">
      <c r="O11938" s="42"/>
      <c r="R11938" s="42"/>
      <c r="AC11938" s="42"/>
    </row>
    <row r="11939" spans="15:29" x14ac:dyDescent="0.25">
      <c r="O11939" s="42"/>
      <c r="R11939" s="42"/>
      <c r="AC11939" s="42"/>
    </row>
    <row r="11940" spans="15:29" x14ac:dyDescent="0.25">
      <c r="O11940" s="42"/>
      <c r="R11940" s="42"/>
      <c r="AC11940" s="42"/>
    </row>
    <row r="11941" spans="15:29" x14ac:dyDescent="0.25">
      <c r="O11941" s="42"/>
      <c r="R11941" s="42"/>
      <c r="AC11941" s="42"/>
    </row>
    <row r="11942" spans="15:29" x14ac:dyDescent="0.25">
      <c r="O11942" s="42"/>
      <c r="R11942" s="42"/>
      <c r="AC11942" s="42"/>
    </row>
    <row r="11943" spans="15:29" x14ac:dyDescent="0.25">
      <c r="O11943" s="42"/>
      <c r="R11943" s="42"/>
      <c r="AC11943" s="42"/>
    </row>
    <row r="11944" spans="15:29" x14ac:dyDescent="0.25">
      <c r="O11944" s="42"/>
      <c r="R11944" s="42"/>
      <c r="AC11944" s="42"/>
    </row>
    <row r="11945" spans="15:29" x14ac:dyDescent="0.25">
      <c r="O11945" s="42"/>
      <c r="R11945" s="42"/>
      <c r="AC11945" s="42"/>
    </row>
    <row r="11946" spans="15:29" x14ac:dyDescent="0.25">
      <c r="O11946" s="42"/>
      <c r="R11946" s="42"/>
      <c r="AC11946" s="42"/>
    </row>
    <row r="11947" spans="15:29" x14ac:dyDescent="0.25">
      <c r="O11947" s="42"/>
      <c r="R11947" s="42"/>
      <c r="AC11947" s="42"/>
    </row>
    <row r="11948" spans="15:29" x14ac:dyDescent="0.25">
      <c r="O11948" s="42"/>
      <c r="R11948" s="42"/>
      <c r="AC11948" s="42"/>
    </row>
    <row r="11949" spans="15:29" x14ac:dyDescent="0.25">
      <c r="O11949" s="42"/>
      <c r="R11949" s="42"/>
      <c r="AC11949" s="42"/>
    </row>
    <row r="11950" spans="15:29" x14ac:dyDescent="0.25">
      <c r="O11950" s="42"/>
      <c r="R11950" s="42"/>
      <c r="AC11950" s="42"/>
    </row>
    <row r="11951" spans="15:29" x14ac:dyDescent="0.25">
      <c r="O11951" s="42"/>
      <c r="R11951" s="42"/>
      <c r="AC11951" s="42"/>
    </row>
    <row r="11952" spans="15:29" x14ac:dyDescent="0.25">
      <c r="O11952" s="42"/>
      <c r="R11952" s="42"/>
      <c r="AC11952" s="42"/>
    </row>
    <row r="11953" spans="15:29" x14ac:dyDescent="0.25">
      <c r="O11953" s="42"/>
      <c r="R11953" s="42"/>
      <c r="AC11953" s="42"/>
    </row>
    <row r="11954" spans="15:29" x14ac:dyDescent="0.25">
      <c r="O11954" s="42"/>
      <c r="R11954" s="42"/>
      <c r="AC11954" s="42"/>
    </row>
    <row r="11955" spans="15:29" x14ac:dyDescent="0.25">
      <c r="O11955" s="42"/>
      <c r="R11955" s="42"/>
      <c r="AC11955" s="42"/>
    </row>
    <row r="11956" spans="15:29" x14ac:dyDescent="0.25">
      <c r="O11956" s="42"/>
      <c r="R11956" s="42"/>
      <c r="AC11956" s="42"/>
    </row>
    <row r="11957" spans="15:29" x14ac:dyDescent="0.25">
      <c r="O11957" s="42"/>
      <c r="R11957" s="42"/>
      <c r="AC11957" s="42"/>
    </row>
    <row r="11958" spans="15:29" x14ac:dyDescent="0.25">
      <c r="O11958" s="42"/>
      <c r="R11958" s="42"/>
      <c r="AC11958" s="42"/>
    </row>
    <row r="11959" spans="15:29" x14ac:dyDescent="0.25">
      <c r="O11959" s="42"/>
      <c r="R11959" s="42"/>
      <c r="AC11959" s="42"/>
    </row>
    <row r="11960" spans="15:29" x14ac:dyDescent="0.25">
      <c r="O11960" s="42"/>
      <c r="R11960" s="42"/>
      <c r="AC11960" s="42"/>
    </row>
    <row r="11961" spans="15:29" x14ac:dyDescent="0.25">
      <c r="O11961" s="42"/>
      <c r="R11961" s="42"/>
      <c r="AC11961" s="42"/>
    </row>
    <row r="11962" spans="15:29" x14ac:dyDescent="0.25">
      <c r="O11962" s="42"/>
      <c r="R11962" s="42"/>
      <c r="AC11962" s="42"/>
    </row>
    <row r="11963" spans="15:29" x14ac:dyDescent="0.25">
      <c r="O11963" s="42"/>
      <c r="R11963" s="42"/>
      <c r="AC11963" s="42"/>
    </row>
    <row r="11964" spans="15:29" x14ac:dyDescent="0.25">
      <c r="O11964" s="42"/>
      <c r="R11964" s="42"/>
      <c r="AC11964" s="42"/>
    </row>
    <row r="11965" spans="15:29" x14ac:dyDescent="0.25">
      <c r="O11965" s="42"/>
      <c r="R11965" s="42"/>
      <c r="AC11965" s="42"/>
    </row>
    <row r="11966" spans="15:29" x14ac:dyDescent="0.25">
      <c r="O11966" s="42"/>
      <c r="R11966" s="42"/>
      <c r="AC11966" s="42"/>
    </row>
    <row r="11967" spans="15:29" x14ac:dyDescent="0.25">
      <c r="O11967" s="42"/>
      <c r="R11967" s="42"/>
      <c r="AC11967" s="42"/>
    </row>
    <row r="11968" spans="15:29" x14ac:dyDescent="0.25">
      <c r="O11968" s="42"/>
      <c r="R11968" s="42"/>
      <c r="AC11968" s="42"/>
    </row>
    <row r="11969" spans="15:29" x14ac:dyDescent="0.25">
      <c r="O11969" s="42"/>
      <c r="R11969" s="42"/>
      <c r="AC11969" s="42"/>
    </row>
    <row r="11970" spans="15:29" x14ac:dyDescent="0.25">
      <c r="O11970" s="42"/>
      <c r="R11970" s="42"/>
      <c r="AC11970" s="42"/>
    </row>
    <row r="11971" spans="15:29" x14ac:dyDescent="0.25">
      <c r="O11971" s="42"/>
      <c r="R11971" s="42"/>
      <c r="AC11971" s="42"/>
    </row>
    <row r="11972" spans="15:29" x14ac:dyDescent="0.25">
      <c r="O11972" s="42"/>
      <c r="R11972" s="42"/>
      <c r="AC11972" s="42"/>
    </row>
    <row r="11973" spans="15:29" x14ac:dyDescent="0.25">
      <c r="O11973" s="42"/>
      <c r="R11973" s="42"/>
      <c r="AC11973" s="42"/>
    </row>
    <row r="11974" spans="15:29" x14ac:dyDescent="0.25">
      <c r="O11974" s="42"/>
      <c r="R11974" s="42"/>
      <c r="AC11974" s="42"/>
    </row>
    <row r="11975" spans="15:29" x14ac:dyDescent="0.25">
      <c r="O11975" s="42"/>
      <c r="R11975" s="42"/>
      <c r="AC11975" s="42"/>
    </row>
    <row r="11976" spans="15:29" x14ac:dyDescent="0.25">
      <c r="O11976" s="42"/>
      <c r="R11976" s="42"/>
      <c r="AC11976" s="42"/>
    </row>
    <row r="11977" spans="15:29" x14ac:dyDescent="0.25">
      <c r="O11977" s="42"/>
      <c r="R11977" s="42"/>
      <c r="AC11977" s="42"/>
    </row>
    <row r="11978" spans="15:29" x14ac:dyDescent="0.25">
      <c r="O11978" s="42"/>
      <c r="R11978" s="42"/>
      <c r="AC11978" s="42"/>
    </row>
    <row r="11979" spans="15:29" x14ac:dyDescent="0.25">
      <c r="O11979" s="42"/>
      <c r="R11979" s="42"/>
      <c r="AC11979" s="42"/>
    </row>
    <row r="11980" spans="15:29" x14ac:dyDescent="0.25">
      <c r="O11980" s="42"/>
      <c r="R11980" s="42"/>
      <c r="AC11980" s="42"/>
    </row>
    <row r="11981" spans="15:29" x14ac:dyDescent="0.25">
      <c r="O11981" s="42"/>
      <c r="R11981" s="42"/>
      <c r="AC11981" s="42"/>
    </row>
    <row r="11982" spans="15:29" x14ac:dyDescent="0.25">
      <c r="O11982" s="42"/>
      <c r="R11982" s="42"/>
      <c r="AC11982" s="42"/>
    </row>
    <row r="11983" spans="15:29" x14ac:dyDescent="0.25">
      <c r="O11983" s="42"/>
      <c r="R11983" s="42"/>
      <c r="AC11983" s="42"/>
    </row>
    <row r="11984" spans="15:29" x14ac:dyDescent="0.25">
      <c r="O11984" s="42"/>
      <c r="R11984" s="42"/>
      <c r="AC11984" s="42"/>
    </row>
    <row r="11985" spans="15:29" x14ac:dyDescent="0.25">
      <c r="O11985" s="42"/>
      <c r="R11985" s="42"/>
      <c r="AC11985" s="42"/>
    </row>
    <row r="11986" spans="15:29" x14ac:dyDescent="0.25">
      <c r="O11986" s="42"/>
      <c r="R11986" s="42"/>
      <c r="AC11986" s="42"/>
    </row>
    <row r="11987" spans="15:29" x14ac:dyDescent="0.25">
      <c r="O11987" s="42"/>
      <c r="R11987" s="42"/>
      <c r="AC11987" s="42"/>
    </row>
    <row r="11988" spans="15:29" x14ac:dyDescent="0.25">
      <c r="O11988" s="42"/>
      <c r="R11988" s="42"/>
      <c r="AC11988" s="42"/>
    </row>
    <row r="11989" spans="15:29" x14ac:dyDescent="0.25">
      <c r="O11989" s="42"/>
      <c r="R11989" s="42"/>
      <c r="AC11989" s="42"/>
    </row>
    <row r="11990" spans="15:29" x14ac:dyDescent="0.25">
      <c r="O11990" s="42"/>
      <c r="R11990" s="42"/>
      <c r="AC11990" s="42"/>
    </row>
    <row r="11991" spans="15:29" x14ac:dyDescent="0.25">
      <c r="O11991" s="42"/>
      <c r="R11991" s="42"/>
      <c r="AC11991" s="42"/>
    </row>
    <row r="11992" spans="15:29" x14ac:dyDescent="0.25">
      <c r="O11992" s="42"/>
      <c r="R11992" s="42"/>
      <c r="AC11992" s="42"/>
    </row>
    <row r="11993" spans="15:29" x14ac:dyDescent="0.25">
      <c r="O11993" s="42"/>
      <c r="R11993" s="42"/>
      <c r="AC11993" s="42"/>
    </row>
    <row r="11994" spans="15:29" x14ac:dyDescent="0.25">
      <c r="O11994" s="42"/>
      <c r="R11994" s="42"/>
      <c r="AC11994" s="42"/>
    </row>
    <row r="11995" spans="15:29" x14ac:dyDescent="0.25">
      <c r="O11995" s="42"/>
      <c r="R11995" s="42"/>
      <c r="AC11995" s="42"/>
    </row>
    <row r="11996" spans="15:29" x14ac:dyDescent="0.25">
      <c r="O11996" s="42"/>
      <c r="R11996" s="42"/>
      <c r="AC11996" s="42"/>
    </row>
    <row r="11997" spans="15:29" x14ac:dyDescent="0.25">
      <c r="O11997" s="42"/>
      <c r="R11997" s="42"/>
      <c r="AC11997" s="42"/>
    </row>
    <row r="11998" spans="15:29" x14ac:dyDescent="0.25">
      <c r="O11998" s="42"/>
      <c r="R11998" s="42"/>
      <c r="AC11998" s="42"/>
    </row>
    <row r="11999" spans="15:29" x14ac:dyDescent="0.25">
      <c r="O11999" s="42"/>
      <c r="R11999" s="42"/>
      <c r="AC11999" s="42"/>
    </row>
    <row r="12000" spans="15:29" x14ac:dyDescent="0.25">
      <c r="O12000" s="42"/>
      <c r="R12000" s="42"/>
      <c r="AC12000" s="42"/>
    </row>
    <row r="12001" spans="15:29" x14ac:dyDescent="0.25">
      <c r="O12001" s="42"/>
      <c r="R12001" s="42"/>
      <c r="AC12001" s="42"/>
    </row>
    <row r="12002" spans="15:29" x14ac:dyDescent="0.25">
      <c r="O12002" s="42"/>
      <c r="R12002" s="42"/>
      <c r="AC12002" s="42"/>
    </row>
    <row r="12003" spans="15:29" x14ac:dyDescent="0.25">
      <c r="O12003" s="42"/>
      <c r="R12003" s="42"/>
      <c r="AC12003" s="42"/>
    </row>
    <row r="12004" spans="15:29" x14ac:dyDescent="0.25">
      <c r="O12004" s="42"/>
      <c r="R12004" s="42"/>
      <c r="AC12004" s="42"/>
    </row>
    <row r="12005" spans="15:29" x14ac:dyDescent="0.25">
      <c r="O12005" s="42"/>
      <c r="R12005" s="42"/>
      <c r="AC12005" s="42"/>
    </row>
    <row r="12006" spans="15:29" x14ac:dyDescent="0.25">
      <c r="O12006" s="42"/>
      <c r="R12006" s="42"/>
      <c r="AC12006" s="42"/>
    </row>
    <row r="12007" spans="15:29" x14ac:dyDescent="0.25">
      <c r="O12007" s="42"/>
      <c r="R12007" s="42"/>
      <c r="AC12007" s="42"/>
    </row>
    <row r="12008" spans="15:29" x14ac:dyDescent="0.25">
      <c r="O12008" s="42"/>
      <c r="R12008" s="42"/>
      <c r="AC12008" s="42"/>
    </row>
    <row r="12009" spans="15:29" x14ac:dyDescent="0.25">
      <c r="O12009" s="42"/>
      <c r="R12009" s="42"/>
      <c r="AC12009" s="42"/>
    </row>
    <row r="12010" spans="15:29" x14ac:dyDescent="0.25">
      <c r="O12010" s="42"/>
      <c r="R12010" s="42"/>
      <c r="AC12010" s="42"/>
    </row>
    <row r="12011" spans="15:29" x14ac:dyDescent="0.25">
      <c r="O12011" s="42"/>
      <c r="R12011" s="42"/>
      <c r="AC12011" s="42"/>
    </row>
    <row r="12012" spans="15:29" x14ac:dyDescent="0.25">
      <c r="O12012" s="42"/>
      <c r="R12012" s="42"/>
      <c r="AC12012" s="42"/>
    </row>
    <row r="12013" spans="15:29" x14ac:dyDescent="0.25">
      <c r="O12013" s="42"/>
      <c r="R12013" s="42"/>
      <c r="AC12013" s="42"/>
    </row>
    <row r="12014" spans="15:29" x14ac:dyDescent="0.25">
      <c r="O12014" s="42"/>
      <c r="R12014" s="42"/>
      <c r="AC12014" s="42"/>
    </row>
    <row r="12015" spans="15:29" x14ac:dyDescent="0.25">
      <c r="O12015" s="42"/>
      <c r="R12015" s="42"/>
      <c r="AC12015" s="42"/>
    </row>
    <row r="12016" spans="15:29" x14ac:dyDescent="0.25">
      <c r="O12016" s="42"/>
      <c r="R12016" s="42"/>
      <c r="AC12016" s="42"/>
    </row>
    <row r="12017" spans="15:29" x14ac:dyDescent="0.25">
      <c r="O12017" s="42"/>
      <c r="R12017" s="42"/>
      <c r="AC12017" s="42"/>
    </row>
    <row r="12018" spans="15:29" x14ac:dyDescent="0.25">
      <c r="O12018" s="42"/>
      <c r="R12018" s="42"/>
      <c r="AC12018" s="42"/>
    </row>
    <row r="12019" spans="15:29" x14ac:dyDescent="0.25">
      <c r="O12019" s="42"/>
      <c r="R12019" s="42"/>
      <c r="AC12019" s="42"/>
    </row>
    <row r="12020" spans="15:29" x14ac:dyDescent="0.25">
      <c r="O12020" s="42"/>
      <c r="R12020" s="42"/>
      <c r="AC12020" s="42"/>
    </row>
    <row r="12021" spans="15:29" x14ac:dyDescent="0.25">
      <c r="O12021" s="42"/>
      <c r="R12021" s="42"/>
      <c r="AC12021" s="42"/>
    </row>
    <row r="12022" spans="15:29" x14ac:dyDescent="0.25">
      <c r="O12022" s="42"/>
      <c r="R12022" s="42"/>
      <c r="AC12022" s="42"/>
    </row>
    <row r="12023" spans="15:29" x14ac:dyDescent="0.25">
      <c r="O12023" s="42"/>
      <c r="R12023" s="42"/>
      <c r="AC12023" s="42"/>
    </row>
    <row r="12024" spans="15:29" x14ac:dyDescent="0.25">
      <c r="O12024" s="42"/>
      <c r="R12024" s="42"/>
      <c r="AC12024" s="42"/>
    </row>
    <row r="12025" spans="15:29" x14ac:dyDescent="0.25">
      <c r="O12025" s="42"/>
      <c r="R12025" s="42"/>
      <c r="AC12025" s="42"/>
    </row>
    <row r="12026" spans="15:29" x14ac:dyDescent="0.25">
      <c r="O12026" s="42"/>
      <c r="R12026" s="42"/>
      <c r="AC12026" s="42"/>
    </row>
    <row r="12027" spans="15:29" x14ac:dyDescent="0.25">
      <c r="O12027" s="42"/>
      <c r="R12027" s="42"/>
      <c r="AC12027" s="42"/>
    </row>
    <row r="12028" spans="15:29" x14ac:dyDescent="0.25">
      <c r="O12028" s="42"/>
      <c r="R12028" s="42"/>
      <c r="AC12028" s="42"/>
    </row>
    <row r="12029" spans="15:29" x14ac:dyDescent="0.25">
      <c r="O12029" s="42"/>
      <c r="R12029" s="42"/>
      <c r="AC12029" s="42"/>
    </row>
    <row r="12030" spans="15:29" x14ac:dyDescent="0.25">
      <c r="O12030" s="42"/>
      <c r="R12030" s="42"/>
      <c r="AC12030" s="42"/>
    </row>
    <row r="12031" spans="15:29" x14ac:dyDescent="0.25">
      <c r="O12031" s="42"/>
      <c r="R12031" s="42"/>
      <c r="AC12031" s="42"/>
    </row>
    <row r="12032" spans="15:29" x14ac:dyDescent="0.25">
      <c r="O12032" s="42"/>
      <c r="R12032" s="42"/>
      <c r="AC12032" s="42"/>
    </row>
    <row r="12033" spans="15:29" x14ac:dyDescent="0.25">
      <c r="O12033" s="42"/>
      <c r="R12033" s="42"/>
      <c r="AC12033" s="42"/>
    </row>
    <row r="12034" spans="15:29" x14ac:dyDescent="0.25">
      <c r="O12034" s="42"/>
      <c r="R12034" s="42"/>
      <c r="AC12034" s="42"/>
    </row>
    <row r="12035" spans="15:29" x14ac:dyDescent="0.25">
      <c r="O12035" s="42"/>
      <c r="R12035" s="42"/>
      <c r="AC12035" s="42"/>
    </row>
    <row r="12036" spans="15:29" x14ac:dyDescent="0.25">
      <c r="O12036" s="42"/>
      <c r="R12036" s="42"/>
      <c r="AC12036" s="42"/>
    </row>
    <row r="12037" spans="15:29" x14ac:dyDescent="0.25">
      <c r="O12037" s="42"/>
      <c r="R12037" s="42"/>
      <c r="AC12037" s="42"/>
    </row>
    <row r="12038" spans="15:29" x14ac:dyDescent="0.25">
      <c r="O12038" s="42"/>
      <c r="R12038" s="42"/>
      <c r="AC12038" s="42"/>
    </row>
    <row r="12039" spans="15:29" x14ac:dyDescent="0.25">
      <c r="O12039" s="42"/>
      <c r="R12039" s="42"/>
      <c r="AC12039" s="42"/>
    </row>
    <row r="12040" spans="15:29" x14ac:dyDescent="0.25">
      <c r="O12040" s="42"/>
      <c r="R12040" s="42"/>
      <c r="AC12040" s="42"/>
    </row>
    <row r="12041" spans="15:29" x14ac:dyDescent="0.25">
      <c r="O12041" s="42"/>
      <c r="R12041" s="42"/>
      <c r="AC12041" s="42"/>
    </row>
    <row r="12042" spans="15:29" x14ac:dyDescent="0.25">
      <c r="O12042" s="42"/>
      <c r="R12042" s="42"/>
      <c r="AC12042" s="42"/>
    </row>
    <row r="12043" spans="15:29" x14ac:dyDescent="0.25">
      <c r="O12043" s="42"/>
      <c r="R12043" s="42"/>
      <c r="AC12043" s="42"/>
    </row>
    <row r="12044" spans="15:29" x14ac:dyDescent="0.25">
      <c r="O12044" s="42"/>
      <c r="R12044" s="42"/>
      <c r="AC12044" s="42"/>
    </row>
    <row r="12045" spans="15:29" x14ac:dyDescent="0.25">
      <c r="O12045" s="42"/>
      <c r="R12045" s="42"/>
      <c r="AC12045" s="42"/>
    </row>
    <row r="12046" spans="15:29" x14ac:dyDescent="0.25">
      <c r="O12046" s="42"/>
      <c r="R12046" s="42"/>
      <c r="AC12046" s="42"/>
    </row>
    <row r="12047" spans="15:29" x14ac:dyDescent="0.25">
      <c r="O12047" s="42"/>
      <c r="R12047" s="42"/>
      <c r="AC12047" s="42"/>
    </row>
    <row r="12048" spans="15:29" x14ac:dyDescent="0.25">
      <c r="O12048" s="42"/>
      <c r="R12048" s="42"/>
      <c r="AC12048" s="42"/>
    </row>
    <row r="12049" spans="15:29" x14ac:dyDescent="0.25">
      <c r="O12049" s="42"/>
      <c r="R12049" s="42"/>
      <c r="AC12049" s="42"/>
    </row>
    <row r="12050" spans="15:29" x14ac:dyDescent="0.25">
      <c r="O12050" s="42"/>
      <c r="R12050" s="42"/>
      <c r="AC12050" s="42"/>
    </row>
    <row r="12051" spans="15:29" x14ac:dyDescent="0.25">
      <c r="O12051" s="42"/>
      <c r="R12051" s="42"/>
      <c r="AC12051" s="42"/>
    </row>
    <row r="12052" spans="15:29" x14ac:dyDescent="0.25">
      <c r="O12052" s="42"/>
      <c r="R12052" s="42"/>
      <c r="AC12052" s="42"/>
    </row>
    <row r="12053" spans="15:29" x14ac:dyDescent="0.25">
      <c r="O12053" s="42"/>
      <c r="R12053" s="42"/>
      <c r="AC12053" s="42"/>
    </row>
    <row r="12054" spans="15:29" x14ac:dyDescent="0.25">
      <c r="O12054" s="42"/>
      <c r="R12054" s="42"/>
      <c r="AC12054" s="42"/>
    </row>
    <row r="12055" spans="15:29" x14ac:dyDescent="0.25">
      <c r="O12055" s="42"/>
      <c r="R12055" s="42"/>
      <c r="AC12055" s="42"/>
    </row>
    <row r="12056" spans="15:29" x14ac:dyDescent="0.25">
      <c r="O12056" s="42"/>
      <c r="R12056" s="42"/>
      <c r="AC12056" s="42"/>
    </row>
    <row r="12057" spans="15:29" x14ac:dyDescent="0.25">
      <c r="O12057" s="42"/>
      <c r="R12057" s="42"/>
      <c r="AC12057" s="42"/>
    </row>
    <row r="12058" spans="15:29" x14ac:dyDescent="0.25">
      <c r="O12058" s="42"/>
      <c r="R12058" s="42"/>
      <c r="AC12058" s="42"/>
    </row>
    <row r="12059" spans="15:29" x14ac:dyDescent="0.25">
      <c r="O12059" s="42"/>
      <c r="R12059" s="42"/>
      <c r="AC12059" s="42"/>
    </row>
    <row r="12060" spans="15:29" x14ac:dyDescent="0.25">
      <c r="O12060" s="42"/>
      <c r="R12060" s="42"/>
      <c r="AC12060" s="42"/>
    </row>
    <row r="12061" spans="15:29" x14ac:dyDescent="0.25">
      <c r="O12061" s="42"/>
      <c r="R12061" s="42"/>
      <c r="AC12061" s="42"/>
    </row>
    <row r="12062" spans="15:29" x14ac:dyDescent="0.25">
      <c r="O12062" s="42"/>
      <c r="R12062" s="42"/>
      <c r="AC12062" s="42"/>
    </row>
    <row r="12063" spans="15:29" x14ac:dyDescent="0.25">
      <c r="O12063" s="42"/>
      <c r="R12063" s="42"/>
      <c r="AC12063" s="42"/>
    </row>
    <row r="12064" spans="15:29" x14ac:dyDescent="0.25">
      <c r="O12064" s="42"/>
      <c r="R12064" s="42"/>
      <c r="AC12064" s="42"/>
    </row>
    <row r="12065" spans="15:29" x14ac:dyDescent="0.25">
      <c r="O12065" s="42"/>
      <c r="R12065" s="42"/>
      <c r="AC12065" s="42"/>
    </row>
    <row r="12066" spans="15:29" x14ac:dyDescent="0.25">
      <c r="O12066" s="42"/>
      <c r="R12066" s="42"/>
      <c r="AC12066" s="42"/>
    </row>
    <row r="12067" spans="15:29" x14ac:dyDescent="0.25">
      <c r="O12067" s="42"/>
      <c r="R12067" s="42"/>
      <c r="AC12067" s="42"/>
    </row>
    <row r="12068" spans="15:29" x14ac:dyDescent="0.25">
      <c r="O12068" s="42"/>
      <c r="R12068" s="42"/>
      <c r="AC12068" s="42"/>
    </row>
    <row r="12069" spans="15:29" x14ac:dyDescent="0.25">
      <c r="O12069" s="42"/>
      <c r="R12069" s="42"/>
      <c r="AC12069" s="42"/>
    </row>
    <row r="12070" spans="15:29" x14ac:dyDescent="0.25">
      <c r="O12070" s="42"/>
      <c r="R12070" s="42"/>
      <c r="AC12070" s="42"/>
    </row>
    <row r="12071" spans="15:29" x14ac:dyDescent="0.25">
      <c r="O12071" s="42"/>
      <c r="R12071" s="42"/>
      <c r="AC12071" s="42"/>
    </row>
    <row r="12072" spans="15:29" x14ac:dyDescent="0.25">
      <c r="O12072" s="42"/>
      <c r="R12072" s="42"/>
      <c r="AC12072" s="42"/>
    </row>
    <row r="12073" spans="15:29" x14ac:dyDescent="0.25">
      <c r="O12073" s="42"/>
      <c r="R12073" s="42"/>
      <c r="AC12073" s="42"/>
    </row>
    <row r="12074" spans="15:29" x14ac:dyDescent="0.25">
      <c r="O12074" s="42"/>
      <c r="R12074" s="42"/>
      <c r="AC12074" s="42"/>
    </row>
    <row r="12075" spans="15:29" x14ac:dyDescent="0.25">
      <c r="O12075" s="42"/>
      <c r="R12075" s="42"/>
      <c r="AC12075" s="42"/>
    </row>
    <row r="12076" spans="15:29" x14ac:dyDescent="0.25">
      <c r="O12076" s="42"/>
      <c r="R12076" s="42"/>
      <c r="AC12076" s="42"/>
    </row>
    <row r="12077" spans="15:29" x14ac:dyDescent="0.25">
      <c r="O12077" s="42"/>
      <c r="R12077" s="42"/>
      <c r="AC12077" s="42"/>
    </row>
    <row r="12078" spans="15:29" x14ac:dyDescent="0.25">
      <c r="O12078" s="42"/>
      <c r="R12078" s="42"/>
      <c r="AC12078" s="42"/>
    </row>
    <row r="12079" spans="15:29" x14ac:dyDescent="0.25">
      <c r="O12079" s="42"/>
      <c r="R12079" s="42"/>
      <c r="AC12079" s="42"/>
    </row>
    <row r="12080" spans="15:29" x14ac:dyDescent="0.25">
      <c r="O12080" s="42"/>
      <c r="R12080" s="42"/>
      <c r="AC12080" s="42"/>
    </row>
    <row r="12081" spans="15:29" x14ac:dyDescent="0.25">
      <c r="O12081" s="42"/>
      <c r="R12081" s="42"/>
      <c r="AC12081" s="42"/>
    </row>
    <row r="12082" spans="15:29" x14ac:dyDescent="0.25">
      <c r="O12082" s="42"/>
      <c r="R12082" s="42"/>
      <c r="AC12082" s="42"/>
    </row>
    <row r="12083" spans="15:29" x14ac:dyDescent="0.25">
      <c r="O12083" s="42"/>
      <c r="R12083" s="42"/>
      <c r="AC12083" s="42"/>
    </row>
    <row r="12084" spans="15:29" x14ac:dyDescent="0.25">
      <c r="O12084" s="42"/>
      <c r="R12084" s="42"/>
      <c r="AC12084" s="42"/>
    </row>
    <row r="12085" spans="15:29" x14ac:dyDescent="0.25">
      <c r="O12085" s="42"/>
      <c r="R12085" s="42"/>
      <c r="AC12085" s="42"/>
    </row>
    <row r="12086" spans="15:29" x14ac:dyDescent="0.25">
      <c r="O12086" s="42"/>
      <c r="R12086" s="42"/>
      <c r="AC12086" s="42"/>
    </row>
    <row r="12087" spans="15:29" x14ac:dyDescent="0.25">
      <c r="O12087" s="42"/>
      <c r="R12087" s="42"/>
      <c r="AC12087" s="42"/>
    </row>
    <row r="12088" spans="15:29" x14ac:dyDescent="0.25">
      <c r="O12088" s="42"/>
      <c r="R12088" s="42"/>
      <c r="AC12088" s="42"/>
    </row>
    <row r="12089" spans="15:29" x14ac:dyDescent="0.25">
      <c r="O12089" s="42"/>
      <c r="R12089" s="42"/>
      <c r="AC12089" s="42"/>
    </row>
    <row r="12090" spans="15:29" x14ac:dyDescent="0.25">
      <c r="O12090" s="42"/>
      <c r="R12090" s="42"/>
      <c r="AC12090" s="42"/>
    </row>
    <row r="12091" spans="15:29" x14ac:dyDescent="0.25">
      <c r="O12091" s="42"/>
      <c r="R12091" s="42"/>
      <c r="AC12091" s="42"/>
    </row>
    <row r="12092" spans="15:29" x14ac:dyDescent="0.25">
      <c r="O12092" s="42"/>
      <c r="R12092" s="42"/>
      <c r="AC12092" s="42"/>
    </row>
    <row r="12093" spans="15:29" x14ac:dyDescent="0.25">
      <c r="O12093" s="42"/>
      <c r="R12093" s="42"/>
      <c r="AC12093" s="42"/>
    </row>
    <row r="12094" spans="15:29" x14ac:dyDescent="0.25">
      <c r="O12094" s="42"/>
      <c r="R12094" s="42"/>
      <c r="AC12094" s="42"/>
    </row>
    <row r="12095" spans="15:29" x14ac:dyDescent="0.25">
      <c r="O12095" s="42"/>
      <c r="R12095" s="42"/>
      <c r="AC12095" s="42"/>
    </row>
    <row r="12096" spans="15:29" x14ac:dyDescent="0.25">
      <c r="O12096" s="42"/>
      <c r="R12096" s="42"/>
      <c r="AC12096" s="42"/>
    </row>
    <row r="12097" spans="15:29" x14ac:dyDescent="0.25">
      <c r="O12097" s="42"/>
      <c r="R12097" s="42"/>
      <c r="AC12097" s="42"/>
    </row>
    <row r="12098" spans="15:29" x14ac:dyDescent="0.25">
      <c r="O12098" s="42"/>
      <c r="R12098" s="42"/>
      <c r="AC12098" s="42"/>
    </row>
    <row r="12099" spans="15:29" x14ac:dyDescent="0.25">
      <c r="O12099" s="42"/>
      <c r="R12099" s="42"/>
      <c r="AC12099" s="42"/>
    </row>
    <row r="12100" spans="15:29" x14ac:dyDescent="0.25">
      <c r="O12100" s="42"/>
      <c r="R12100" s="42"/>
      <c r="AC12100" s="42"/>
    </row>
    <row r="12101" spans="15:29" x14ac:dyDescent="0.25">
      <c r="O12101" s="42"/>
      <c r="R12101" s="42"/>
      <c r="AC12101" s="42"/>
    </row>
    <row r="12102" spans="15:29" x14ac:dyDescent="0.25">
      <c r="O12102" s="42"/>
      <c r="R12102" s="42"/>
      <c r="AC12102" s="42"/>
    </row>
    <row r="12103" spans="15:29" x14ac:dyDescent="0.25">
      <c r="O12103" s="42"/>
      <c r="R12103" s="42"/>
      <c r="AC12103" s="42"/>
    </row>
    <row r="12104" spans="15:29" x14ac:dyDescent="0.25">
      <c r="O12104" s="42"/>
      <c r="R12104" s="42"/>
      <c r="AC12104" s="42"/>
    </row>
    <row r="12105" spans="15:29" x14ac:dyDescent="0.25">
      <c r="O12105" s="42"/>
      <c r="R12105" s="42"/>
      <c r="AC12105" s="42"/>
    </row>
    <row r="12106" spans="15:29" x14ac:dyDescent="0.25">
      <c r="O12106" s="42"/>
      <c r="R12106" s="42"/>
      <c r="AC12106" s="42"/>
    </row>
    <row r="12107" spans="15:29" x14ac:dyDescent="0.25">
      <c r="O12107" s="42"/>
      <c r="R12107" s="42"/>
      <c r="AC12107" s="42"/>
    </row>
    <row r="12108" spans="15:29" x14ac:dyDescent="0.25">
      <c r="O12108" s="42"/>
      <c r="R12108" s="42"/>
      <c r="AC12108" s="42"/>
    </row>
    <row r="12109" spans="15:29" x14ac:dyDescent="0.25">
      <c r="O12109" s="42"/>
      <c r="R12109" s="42"/>
      <c r="AC12109" s="42"/>
    </row>
    <row r="12110" spans="15:29" x14ac:dyDescent="0.25">
      <c r="O12110" s="42"/>
      <c r="R12110" s="42"/>
      <c r="AC12110" s="42"/>
    </row>
    <row r="12111" spans="15:29" x14ac:dyDescent="0.25">
      <c r="O12111" s="42"/>
      <c r="R12111" s="42"/>
      <c r="AC12111" s="42"/>
    </row>
    <row r="12112" spans="15:29" x14ac:dyDescent="0.25">
      <c r="O12112" s="42"/>
      <c r="R12112" s="42"/>
      <c r="AC12112" s="42"/>
    </row>
    <row r="12113" spans="15:29" x14ac:dyDescent="0.25">
      <c r="O12113" s="42"/>
      <c r="R12113" s="42"/>
      <c r="AC12113" s="42"/>
    </row>
    <row r="12114" spans="15:29" x14ac:dyDescent="0.25">
      <c r="O12114" s="42"/>
      <c r="R12114" s="42"/>
      <c r="AC12114" s="42"/>
    </row>
    <row r="12115" spans="15:29" x14ac:dyDescent="0.25">
      <c r="O12115" s="42"/>
      <c r="R12115" s="42"/>
      <c r="AC12115" s="42"/>
    </row>
    <row r="12116" spans="15:29" x14ac:dyDescent="0.25">
      <c r="O12116" s="42"/>
      <c r="R12116" s="42"/>
      <c r="AC12116" s="42"/>
    </row>
    <row r="12117" spans="15:29" x14ac:dyDescent="0.25">
      <c r="O12117" s="42"/>
      <c r="R12117" s="42"/>
      <c r="AC12117" s="42"/>
    </row>
    <row r="12118" spans="15:29" x14ac:dyDescent="0.25">
      <c r="O12118" s="42"/>
      <c r="R12118" s="42"/>
      <c r="AC12118" s="42"/>
    </row>
    <row r="12119" spans="15:29" x14ac:dyDescent="0.25">
      <c r="O12119" s="42"/>
      <c r="R12119" s="42"/>
      <c r="AC12119" s="42"/>
    </row>
    <row r="12120" spans="15:29" x14ac:dyDescent="0.25">
      <c r="O12120" s="42"/>
      <c r="R12120" s="42"/>
      <c r="AC12120" s="42"/>
    </row>
    <row r="12121" spans="15:29" x14ac:dyDescent="0.25">
      <c r="O12121" s="42"/>
      <c r="R12121" s="42"/>
      <c r="AC12121" s="42"/>
    </row>
    <row r="12122" spans="15:29" x14ac:dyDescent="0.25">
      <c r="O12122" s="42"/>
      <c r="R12122" s="42"/>
      <c r="AC12122" s="42"/>
    </row>
    <row r="12123" spans="15:29" x14ac:dyDescent="0.25">
      <c r="O12123" s="42"/>
      <c r="R12123" s="42"/>
      <c r="AC12123" s="42"/>
    </row>
    <row r="12124" spans="15:29" x14ac:dyDescent="0.25">
      <c r="O12124" s="42"/>
      <c r="R12124" s="42"/>
      <c r="AC12124" s="42"/>
    </row>
    <row r="12125" spans="15:29" x14ac:dyDescent="0.25">
      <c r="O12125" s="42"/>
      <c r="R12125" s="42"/>
      <c r="AC12125" s="42"/>
    </row>
    <row r="12126" spans="15:29" x14ac:dyDescent="0.25">
      <c r="O12126" s="42"/>
      <c r="R12126" s="42"/>
      <c r="AC12126" s="42"/>
    </row>
    <row r="12127" spans="15:29" x14ac:dyDescent="0.25">
      <c r="O12127" s="42"/>
      <c r="R12127" s="42"/>
      <c r="AC12127" s="42"/>
    </row>
    <row r="12128" spans="15:29" x14ac:dyDescent="0.25">
      <c r="O12128" s="42"/>
      <c r="R12128" s="42"/>
      <c r="AC12128" s="42"/>
    </row>
    <row r="12129" spans="15:29" x14ac:dyDescent="0.25">
      <c r="O12129" s="42"/>
      <c r="R12129" s="42"/>
      <c r="AC12129" s="42"/>
    </row>
    <row r="12130" spans="15:29" x14ac:dyDescent="0.25">
      <c r="O12130" s="42"/>
      <c r="R12130" s="42"/>
      <c r="AC12130" s="42"/>
    </row>
    <row r="12131" spans="15:29" x14ac:dyDescent="0.25">
      <c r="O12131" s="42"/>
      <c r="R12131" s="42"/>
      <c r="AC12131" s="42"/>
    </row>
    <row r="12132" spans="15:29" x14ac:dyDescent="0.25">
      <c r="O12132" s="42"/>
      <c r="R12132" s="42"/>
      <c r="AC12132" s="42"/>
    </row>
    <row r="12133" spans="15:29" x14ac:dyDescent="0.25">
      <c r="O12133" s="42"/>
      <c r="R12133" s="42"/>
      <c r="AC12133" s="42"/>
    </row>
    <row r="12134" spans="15:29" x14ac:dyDescent="0.25">
      <c r="O12134" s="42"/>
      <c r="R12134" s="42"/>
      <c r="AC12134" s="42"/>
    </row>
    <row r="12135" spans="15:29" x14ac:dyDescent="0.25">
      <c r="O12135" s="42"/>
      <c r="R12135" s="42"/>
      <c r="AC12135" s="42"/>
    </row>
    <row r="12136" spans="15:29" x14ac:dyDescent="0.25">
      <c r="O12136" s="42"/>
      <c r="R12136" s="42"/>
      <c r="AC12136" s="42"/>
    </row>
    <row r="12137" spans="15:29" x14ac:dyDescent="0.25">
      <c r="O12137" s="42"/>
      <c r="R12137" s="42"/>
      <c r="AC12137" s="42"/>
    </row>
    <row r="12138" spans="15:29" x14ac:dyDescent="0.25">
      <c r="O12138" s="42"/>
      <c r="R12138" s="42"/>
      <c r="AC12138" s="42"/>
    </row>
    <row r="12139" spans="15:29" x14ac:dyDescent="0.25">
      <c r="O12139" s="42"/>
      <c r="R12139" s="42"/>
      <c r="AC12139" s="42"/>
    </row>
    <row r="12140" spans="15:29" x14ac:dyDescent="0.25">
      <c r="O12140" s="42"/>
      <c r="R12140" s="42"/>
      <c r="AC12140" s="42"/>
    </row>
    <row r="12141" spans="15:29" x14ac:dyDescent="0.25">
      <c r="O12141" s="42"/>
      <c r="R12141" s="42"/>
      <c r="AC12141" s="42"/>
    </row>
    <row r="12142" spans="15:29" x14ac:dyDescent="0.25">
      <c r="O12142" s="42"/>
      <c r="R12142" s="42"/>
      <c r="AC12142" s="42"/>
    </row>
    <row r="12143" spans="15:29" x14ac:dyDescent="0.25">
      <c r="O12143" s="42"/>
      <c r="R12143" s="42"/>
      <c r="AC12143" s="42"/>
    </row>
    <row r="12144" spans="15:29" x14ac:dyDescent="0.25">
      <c r="O12144" s="42"/>
      <c r="R12144" s="42"/>
      <c r="AC12144" s="42"/>
    </row>
    <row r="12145" spans="15:29" x14ac:dyDescent="0.25">
      <c r="O12145" s="42"/>
      <c r="R12145" s="42"/>
      <c r="AC12145" s="42"/>
    </row>
    <row r="12146" spans="15:29" x14ac:dyDescent="0.25">
      <c r="O12146" s="42"/>
      <c r="R12146" s="42"/>
      <c r="AC12146" s="42"/>
    </row>
    <row r="12147" spans="15:29" x14ac:dyDescent="0.25">
      <c r="O12147" s="42"/>
      <c r="R12147" s="42"/>
      <c r="AC12147" s="42"/>
    </row>
    <row r="12148" spans="15:29" x14ac:dyDescent="0.25">
      <c r="O12148" s="42"/>
      <c r="R12148" s="42"/>
      <c r="AC12148" s="42"/>
    </row>
    <row r="12149" spans="15:29" x14ac:dyDescent="0.25">
      <c r="O12149" s="42"/>
      <c r="R12149" s="42"/>
      <c r="AC12149" s="42"/>
    </row>
    <row r="12150" spans="15:29" x14ac:dyDescent="0.25">
      <c r="O12150" s="42"/>
      <c r="R12150" s="42"/>
      <c r="AC12150" s="42"/>
    </row>
    <row r="12151" spans="15:29" x14ac:dyDescent="0.25">
      <c r="O12151" s="42"/>
      <c r="R12151" s="42"/>
      <c r="AC12151" s="42"/>
    </row>
    <row r="12152" spans="15:29" x14ac:dyDescent="0.25">
      <c r="O12152" s="42"/>
      <c r="R12152" s="42"/>
      <c r="AC12152" s="42"/>
    </row>
    <row r="12153" spans="15:29" x14ac:dyDescent="0.25">
      <c r="O12153" s="42"/>
      <c r="R12153" s="42"/>
      <c r="AC12153" s="42"/>
    </row>
    <row r="12154" spans="15:29" x14ac:dyDescent="0.25">
      <c r="O12154" s="42"/>
      <c r="R12154" s="42"/>
      <c r="AC12154" s="42"/>
    </row>
    <row r="12155" spans="15:29" x14ac:dyDescent="0.25">
      <c r="O12155" s="42"/>
      <c r="R12155" s="42"/>
      <c r="AC12155" s="42"/>
    </row>
    <row r="12156" spans="15:29" x14ac:dyDescent="0.25">
      <c r="O12156" s="42"/>
      <c r="R12156" s="42"/>
      <c r="AC12156" s="42"/>
    </row>
    <row r="12157" spans="15:29" x14ac:dyDescent="0.25">
      <c r="O12157" s="42"/>
      <c r="R12157" s="42"/>
      <c r="AC12157" s="42"/>
    </row>
    <row r="12158" spans="15:29" x14ac:dyDescent="0.25">
      <c r="O12158" s="42"/>
      <c r="R12158" s="42"/>
      <c r="AC12158" s="42"/>
    </row>
    <row r="12159" spans="15:29" x14ac:dyDescent="0.25">
      <c r="O12159" s="42"/>
      <c r="R12159" s="42"/>
      <c r="AC12159" s="42"/>
    </row>
    <row r="12160" spans="15:29" x14ac:dyDescent="0.25">
      <c r="O12160" s="42"/>
      <c r="R12160" s="42"/>
      <c r="AC12160" s="42"/>
    </row>
    <row r="12161" spans="15:29" x14ac:dyDescent="0.25">
      <c r="O12161" s="42"/>
      <c r="R12161" s="42"/>
      <c r="AC12161" s="42"/>
    </row>
    <row r="12162" spans="15:29" x14ac:dyDescent="0.25">
      <c r="O12162" s="42"/>
      <c r="R12162" s="42"/>
      <c r="AC12162" s="42"/>
    </row>
    <row r="12163" spans="15:29" x14ac:dyDescent="0.25">
      <c r="O12163" s="42"/>
      <c r="R12163" s="42"/>
      <c r="AC12163" s="42"/>
    </row>
    <row r="12164" spans="15:29" x14ac:dyDescent="0.25">
      <c r="O12164" s="42"/>
      <c r="R12164" s="42"/>
      <c r="AC12164" s="42"/>
    </row>
    <row r="12165" spans="15:29" x14ac:dyDescent="0.25">
      <c r="O12165" s="42"/>
      <c r="R12165" s="42"/>
      <c r="AC12165" s="42"/>
    </row>
    <row r="12166" spans="15:29" x14ac:dyDescent="0.25">
      <c r="O12166" s="42"/>
      <c r="R12166" s="42"/>
      <c r="AC12166" s="42"/>
    </row>
    <row r="12167" spans="15:29" x14ac:dyDescent="0.25">
      <c r="O12167" s="42"/>
      <c r="R12167" s="42"/>
      <c r="AC12167" s="42"/>
    </row>
    <row r="12168" spans="15:29" x14ac:dyDescent="0.25">
      <c r="O12168" s="42"/>
      <c r="R12168" s="42"/>
      <c r="AC12168" s="42"/>
    </row>
    <row r="12169" spans="15:29" x14ac:dyDescent="0.25">
      <c r="O12169" s="42"/>
      <c r="R12169" s="42"/>
      <c r="AC12169" s="42"/>
    </row>
    <row r="12170" spans="15:29" x14ac:dyDescent="0.25">
      <c r="O12170" s="42"/>
      <c r="R12170" s="42"/>
      <c r="AC12170" s="42"/>
    </row>
    <row r="12171" spans="15:29" x14ac:dyDescent="0.25">
      <c r="O12171" s="42"/>
      <c r="R12171" s="42"/>
      <c r="AC12171" s="42"/>
    </row>
    <row r="12172" spans="15:29" x14ac:dyDescent="0.25">
      <c r="O12172" s="42"/>
      <c r="R12172" s="42"/>
      <c r="AC12172" s="42"/>
    </row>
    <row r="12173" spans="15:29" x14ac:dyDescent="0.25">
      <c r="O12173" s="42"/>
      <c r="R12173" s="42"/>
      <c r="AC12173" s="42"/>
    </row>
    <row r="12174" spans="15:29" x14ac:dyDescent="0.25">
      <c r="O12174" s="42"/>
      <c r="R12174" s="42"/>
      <c r="AC12174" s="42"/>
    </row>
    <row r="12175" spans="15:29" x14ac:dyDescent="0.25">
      <c r="O12175" s="42"/>
      <c r="R12175" s="42"/>
      <c r="AC12175" s="42"/>
    </row>
    <row r="12176" spans="15:29" x14ac:dyDescent="0.25">
      <c r="O12176" s="42"/>
      <c r="R12176" s="42"/>
      <c r="AC12176" s="42"/>
    </row>
    <row r="12177" spans="15:29" x14ac:dyDescent="0.25">
      <c r="O12177" s="42"/>
      <c r="R12177" s="42"/>
      <c r="AC12177" s="42"/>
    </row>
    <row r="12178" spans="15:29" x14ac:dyDescent="0.25">
      <c r="O12178" s="42"/>
      <c r="R12178" s="42"/>
      <c r="AC12178" s="42"/>
    </row>
    <row r="12179" spans="15:29" x14ac:dyDescent="0.25">
      <c r="O12179" s="42"/>
      <c r="R12179" s="42"/>
      <c r="AC12179" s="42"/>
    </row>
    <row r="12180" spans="15:29" x14ac:dyDescent="0.25">
      <c r="O12180" s="42"/>
      <c r="R12180" s="42"/>
      <c r="AC12180" s="42"/>
    </row>
    <row r="12181" spans="15:29" x14ac:dyDescent="0.25">
      <c r="O12181" s="42"/>
      <c r="R12181" s="42"/>
      <c r="AC12181" s="42"/>
    </row>
    <row r="12182" spans="15:29" x14ac:dyDescent="0.25">
      <c r="O12182" s="42"/>
      <c r="R12182" s="42"/>
      <c r="AC12182" s="42"/>
    </row>
    <row r="12183" spans="15:29" x14ac:dyDescent="0.25">
      <c r="O12183" s="42"/>
      <c r="R12183" s="42"/>
      <c r="AC12183" s="42"/>
    </row>
    <row r="12184" spans="15:29" x14ac:dyDescent="0.25">
      <c r="O12184" s="42"/>
      <c r="R12184" s="42"/>
      <c r="AC12184" s="42"/>
    </row>
    <row r="12185" spans="15:29" x14ac:dyDescent="0.25">
      <c r="O12185" s="42"/>
      <c r="R12185" s="42"/>
      <c r="AC12185" s="42"/>
    </row>
    <row r="12186" spans="15:29" x14ac:dyDescent="0.25">
      <c r="O12186" s="42"/>
      <c r="R12186" s="42"/>
      <c r="AC12186" s="42"/>
    </row>
    <row r="12187" spans="15:29" x14ac:dyDescent="0.25">
      <c r="O12187" s="42"/>
      <c r="R12187" s="42"/>
      <c r="AC12187" s="42"/>
    </row>
    <row r="12188" spans="15:29" x14ac:dyDescent="0.25">
      <c r="O12188" s="42"/>
      <c r="R12188" s="42"/>
      <c r="AC12188" s="42"/>
    </row>
    <row r="12189" spans="15:29" x14ac:dyDescent="0.25">
      <c r="O12189" s="42"/>
      <c r="R12189" s="42"/>
      <c r="AC12189" s="42"/>
    </row>
    <row r="12190" spans="15:29" x14ac:dyDescent="0.25">
      <c r="O12190" s="42"/>
      <c r="R12190" s="42"/>
      <c r="AC12190" s="42"/>
    </row>
    <row r="12191" spans="15:29" x14ac:dyDescent="0.25">
      <c r="O12191" s="42"/>
      <c r="R12191" s="42"/>
      <c r="AC12191" s="42"/>
    </row>
    <row r="12192" spans="15:29" x14ac:dyDescent="0.25">
      <c r="O12192" s="42"/>
      <c r="R12192" s="42"/>
      <c r="AC12192" s="42"/>
    </row>
    <row r="12193" spans="15:29" x14ac:dyDescent="0.25">
      <c r="O12193" s="42"/>
      <c r="R12193" s="42"/>
      <c r="AC12193" s="42"/>
    </row>
    <row r="12194" spans="15:29" x14ac:dyDescent="0.25">
      <c r="O12194" s="42"/>
      <c r="R12194" s="42"/>
      <c r="AC12194" s="42"/>
    </row>
    <row r="12195" spans="15:29" x14ac:dyDescent="0.25">
      <c r="O12195" s="42"/>
      <c r="R12195" s="42"/>
      <c r="AC12195" s="42"/>
    </row>
    <row r="12196" spans="15:29" x14ac:dyDescent="0.25">
      <c r="O12196" s="42"/>
      <c r="R12196" s="42"/>
      <c r="AC12196" s="42"/>
    </row>
    <row r="12197" spans="15:29" x14ac:dyDescent="0.25">
      <c r="O12197" s="42"/>
      <c r="R12197" s="42"/>
      <c r="AC12197" s="42"/>
    </row>
    <row r="12198" spans="15:29" x14ac:dyDescent="0.25">
      <c r="O12198" s="42"/>
      <c r="R12198" s="42"/>
      <c r="AC12198" s="42"/>
    </row>
    <row r="12199" spans="15:29" x14ac:dyDescent="0.25">
      <c r="O12199" s="42"/>
      <c r="R12199" s="42"/>
      <c r="AC12199" s="42"/>
    </row>
    <row r="12200" spans="15:29" x14ac:dyDescent="0.25">
      <c r="O12200" s="42"/>
      <c r="R12200" s="42"/>
      <c r="AC12200" s="42"/>
    </row>
    <row r="12201" spans="15:29" x14ac:dyDescent="0.25">
      <c r="O12201" s="42"/>
      <c r="R12201" s="42"/>
      <c r="AC12201" s="42"/>
    </row>
    <row r="12202" spans="15:29" x14ac:dyDescent="0.25">
      <c r="O12202" s="42"/>
      <c r="R12202" s="42"/>
      <c r="AC12202" s="42"/>
    </row>
    <row r="12203" spans="15:29" x14ac:dyDescent="0.25">
      <c r="O12203" s="42"/>
      <c r="R12203" s="42"/>
      <c r="AC12203" s="42"/>
    </row>
    <row r="12204" spans="15:29" x14ac:dyDescent="0.25">
      <c r="O12204" s="42"/>
      <c r="R12204" s="42"/>
      <c r="AC12204" s="42"/>
    </row>
    <row r="12205" spans="15:29" x14ac:dyDescent="0.25">
      <c r="O12205" s="42"/>
      <c r="R12205" s="42"/>
      <c r="AC12205" s="42"/>
    </row>
    <row r="12206" spans="15:29" x14ac:dyDescent="0.25">
      <c r="O12206" s="42"/>
      <c r="R12206" s="42"/>
      <c r="AC12206" s="42"/>
    </row>
    <row r="12207" spans="15:29" x14ac:dyDescent="0.25">
      <c r="O12207" s="42"/>
      <c r="R12207" s="42"/>
      <c r="AC12207" s="42"/>
    </row>
    <row r="12208" spans="15:29" x14ac:dyDescent="0.25">
      <c r="O12208" s="42"/>
      <c r="R12208" s="42"/>
      <c r="AC12208" s="42"/>
    </row>
    <row r="12209" spans="15:29" x14ac:dyDescent="0.25">
      <c r="O12209" s="42"/>
      <c r="R12209" s="42"/>
      <c r="AC12209" s="42"/>
    </row>
    <row r="12210" spans="15:29" x14ac:dyDescent="0.25">
      <c r="O12210" s="42"/>
      <c r="R12210" s="42"/>
      <c r="AC12210" s="42"/>
    </row>
    <row r="12211" spans="15:29" x14ac:dyDescent="0.25">
      <c r="O12211" s="42"/>
      <c r="R12211" s="42"/>
      <c r="AC12211" s="42"/>
    </row>
    <row r="12212" spans="15:29" x14ac:dyDescent="0.25">
      <c r="O12212" s="42"/>
      <c r="R12212" s="42"/>
      <c r="AC12212" s="42"/>
    </row>
    <row r="12213" spans="15:29" x14ac:dyDescent="0.25">
      <c r="O12213" s="42"/>
      <c r="R12213" s="42"/>
      <c r="AC12213" s="42"/>
    </row>
    <row r="12214" spans="15:29" x14ac:dyDescent="0.25">
      <c r="O12214" s="42"/>
      <c r="R12214" s="42"/>
      <c r="AC12214" s="42"/>
    </row>
    <row r="12215" spans="15:29" x14ac:dyDescent="0.25">
      <c r="O12215" s="42"/>
      <c r="R12215" s="42"/>
      <c r="AC12215" s="42"/>
    </row>
    <row r="12216" spans="15:29" x14ac:dyDescent="0.25">
      <c r="O12216" s="42"/>
      <c r="R12216" s="42"/>
      <c r="AC12216" s="42"/>
    </row>
    <row r="12217" spans="15:29" x14ac:dyDescent="0.25">
      <c r="O12217" s="42"/>
      <c r="R12217" s="42"/>
      <c r="AC12217" s="42"/>
    </row>
    <row r="12218" spans="15:29" x14ac:dyDescent="0.25">
      <c r="O12218" s="42"/>
      <c r="R12218" s="42"/>
      <c r="AC12218" s="42"/>
    </row>
    <row r="12219" spans="15:29" x14ac:dyDescent="0.25">
      <c r="O12219" s="42"/>
      <c r="R12219" s="42"/>
      <c r="AC12219" s="42"/>
    </row>
    <row r="12220" spans="15:29" x14ac:dyDescent="0.25">
      <c r="O12220" s="42"/>
      <c r="R12220" s="42"/>
      <c r="AC12220" s="42"/>
    </row>
    <row r="12221" spans="15:29" x14ac:dyDescent="0.25">
      <c r="O12221" s="42"/>
      <c r="R12221" s="42"/>
      <c r="AC12221" s="42"/>
    </row>
    <row r="12222" spans="15:29" x14ac:dyDescent="0.25">
      <c r="O12222" s="42"/>
      <c r="R12222" s="42"/>
      <c r="AC12222" s="42"/>
    </row>
    <row r="12223" spans="15:29" x14ac:dyDescent="0.25">
      <c r="O12223" s="42"/>
      <c r="R12223" s="42"/>
      <c r="AC12223" s="42"/>
    </row>
    <row r="12224" spans="15:29" x14ac:dyDescent="0.25">
      <c r="O12224" s="42"/>
      <c r="R12224" s="42"/>
      <c r="AC12224" s="42"/>
    </row>
    <row r="12225" spans="15:29" x14ac:dyDescent="0.25">
      <c r="O12225" s="42"/>
      <c r="R12225" s="42"/>
      <c r="AC12225" s="42"/>
    </row>
    <row r="12226" spans="15:29" x14ac:dyDescent="0.25">
      <c r="O12226" s="42"/>
      <c r="R12226" s="42"/>
      <c r="AC12226" s="42"/>
    </row>
    <row r="12227" spans="15:29" x14ac:dyDescent="0.25">
      <c r="O12227" s="42"/>
      <c r="R12227" s="42"/>
      <c r="AC12227" s="42"/>
    </row>
    <row r="12228" spans="15:29" x14ac:dyDescent="0.25">
      <c r="O12228" s="42"/>
      <c r="R12228" s="42"/>
      <c r="AC12228" s="42"/>
    </row>
    <row r="12229" spans="15:29" x14ac:dyDescent="0.25">
      <c r="O12229" s="42"/>
      <c r="R12229" s="42"/>
      <c r="AC12229" s="42"/>
    </row>
    <row r="12230" spans="15:29" x14ac:dyDescent="0.25">
      <c r="O12230" s="42"/>
      <c r="R12230" s="42"/>
      <c r="AC12230" s="42"/>
    </row>
    <row r="12231" spans="15:29" x14ac:dyDescent="0.25">
      <c r="O12231" s="42"/>
      <c r="R12231" s="42"/>
      <c r="AC12231" s="42"/>
    </row>
    <row r="12232" spans="15:29" x14ac:dyDescent="0.25">
      <c r="O12232" s="42"/>
      <c r="R12232" s="42"/>
      <c r="AC12232" s="42"/>
    </row>
    <row r="12233" spans="15:29" x14ac:dyDescent="0.25">
      <c r="O12233" s="42"/>
      <c r="R12233" s="42"/>
      <c r="AC12233" s="42"/>
    </row>
    <row r="12234" spans="15:29" x14ac:dyDescent="0.25">
      <c r="O12234" s="42"/>
      <c r="R12234" s="42"/>
      <c r="AC12234" s="42"/>
    </row>
    <row r="12235" spans="15:29" x14ac:dyDescent="0.25">
      <c r="O12235" s="42"/>
      <c r="R12235" s="42"/>
      <c r="AC12235" s="42"/>
    </row>
    <row r="12236" spans="15:29" x14ac:dyDescent="0.25">
      <c r="O12236" s="42"/>
      <c r="R12236" s="42"/>
      <c r="AC12236" s="42"/>
    </row>
    <row r="12237" spans="15:29" x14ac:dyDescent="0.25">
      <c r="O12237" s="42"/>
      <c r="R12237" s="42"/>
      <c r="AC12237" s="42"/>
    </row>
    <row r="12238" spans="15:29" x14ac:dyDescent="0.25">
      <c r="O12238" s="42"/>
      <c r="R12238" s="42"/>
      <c r="AC12238" s="42"/>
    </row>
    <row r="12239" spans="15:29" x14ac:dyDescent="0.25">
      <c r="O12239" s="42"/>
      <c r="R12239" s="42"/>
      <c r="AC12239" s="42"/>
    </row>
    <row r="12240" spans="15:29" x14ac:dyDescent="0.25">
      <c r="O12240" s="42"/>
      <c r="R12240" s="42"/>
      <c r="AC12240" s="42"/>
    </row>
    <row r="12241" spans="15:29" x14ac:dyDescent="0.25">
      <c r="O12241" s="42"/>
      <c r="R12241" s="42"/>
      <c r="AC12241" s="42"/>
    </row>
    <row r="12242" spans="15:29" x14ac:dyDescent="0.25">
      <c r="O12242" s="42"/>
      <c r="R12242" s="42"/>
      <c r="AC12242" s="42"/>
    </row>
    <row r="12243" spans="15:29" x14ac:dyDescent="0.25">
      <c r="O12243" s="42"/>
      <c r="R12243" s="42"/>
      <c r="AC12243" s="42"/>
    </row>
    <row r="12244" spans="15:29" x14ac:dyDescent="0.25">
      <c r="O12244" s="42"/>
      <c r="R12244" s="42"/>
      <c r="AC12244" s="42"/>
    </row>
    <row r="12245" spans="15:29" x14ac:dyDescent="0.25">
      <c r="O12245" s="42"/>
      <c r="R12245" s="42"/>
      <c r="AC12245" s="42"/>
    </row>
    <row r="12246" spans="15:29" x14ac:dyDescent="0.25">
      <c r="O12246" s="42"/>
      <c r="R12246" s="42"/>
      <c r="AC12246" s="42"/>
    </row>
    <row r="12247" spans="15:29" x14ac:dyDescent="0.25">
      <c r="O12247" s="42"/>
      <c r="R12247" s="42"/>
      <c r="AC12247" s="42"/>
    </row>
    <row r="12248" spans="15:29" x14ac:dyDescent="0.25">
      <c r="O12248" s="42"/>
      <c r="R12248" s="42"/>
      <c r="AC12248" s="42"/>
    </row>
    <row r="12249" spans="15:29" x14ac:dyDescent="0.25">
      <c r="O12249" s="42"/>
      <c r="R12249" s="42"/>
      <c r="AC12249" s="42"/>
    </row>
    <row r="12250" spans="15:29" x14ac:dyDescent="0.25">
      <c r="O12250" s="42"/>
      <c r="R12250" s="42"/>
      <c r="AC12250" s="42"/>
    </row>
    <row r="12251" spans="15:29" x14ac:dyDescent="0.25">
      <c r="O12251" s="42"/>
      <c r="R12251" s="42"/>
      <c r="AC12251" s="42"/>
    </row>
    <row r="12252" spans="15:29" x14ac:dyDescent="0.25">
      <c r="O12252" s="42"/>
      <c r="R12252" s="42"/>
      <c r="AC12252" s="42"/>
    </row>
    <row r="12253" spans="15:29" x14ac:dyDescent="0.25">
      <c r="O12253" s="42"/>
      <c r="R12253" s="42"/>
      <c r="AC12253" s="42"/>
    </row>
    <row r="12254" spans="15:29" x14ac:dyDescent="0.25">
      <c r="O12254" s="42"/>
      <c r="R12254" s="42"/>
      <c r="AC12254" s="42"/>
    </row>
    <row r="12255" spans="15:29" x14ac:dyDescent="0.25">
      <c r="O12255" s="42"/>
      <c r="R12255" s="42"/>
      <c r="AC12255" s="42"/>
    </row>
    <row r="12256" spans="15:29" x14ac:dyDescent="0.25">
      <c r="O12256" s="42"/>
      <c r="R12256" s="42"/>
      <c r="AC12256" s="42"/>
    </row>
    <row r="12257" spans="15:29" x14ac:dyDescent="0.25">
      <c r="O12257" s="42"/>
      <c r="R12257" s="42"/>
      <c r="AC12257" s="42"/>
    </row>
    <row r="12258" spans="15:29" x14ac:dyDescent="0.25">
      <c r="O12258" s="42"/>
      <c r="R12258" s="42"/>
      <c r="AC12258" s="42"/>
    </row>
    <row r="12259" spans="15:29" x14ac:dyDescent="0.25">
      <c r="O12259" s="42"/>
      <c r="R12259" s="42"/>
      <c r="AC12259" s="42"/>
    </row>
    <row r="12260" spans="15:29" x14ac:dyDescent="0.25">
      <c r="O12260" s="42"/>
      <c r="R12260" s="42"/>
      <c r="AC12260" s="42"/>
    </row>
    <row r="12261" spans="15:29" x14ac:dyDescent="0.25">
      <c r="O12261" s="42"/>
      <c r="R12261" s="42"/>
      <c r="AC12261" s="42"/>
    </row>
    <row r="12262" spans="15:29" x14ac:dyDescent="0.25">
      <c r="O12262" s="42"/>
      <c r="R12262" s="42"/>
      <c r="AC12262" s="42"/>
    </row>
    <row r="12263" spans="15:29" x14ac:dyDescent="0.25">
      <c r="O12263" s="42"/>
      <c r="R12263" s="42"/>
      <c r="AC12263" s="42"/>
    </row>
    <row r="12264" spans="15:29" x14ac:dyDescent="0.25">
      <c r="O12264" s="42"/>
      <c r="R12264" s="42"/>
      <c r="AC12264" s="42"/>
    </row>
    <row r="12265" spans="15:29" x14ac:dyDescent="0.25">
      <c r="O12265" s="42"/>
      <c r="R12265" s="42"/>
      <c r="AC12265" s="42"/>
    </row>
    <row r="12266" spans="15:29" x14ac:dyDescent="0.25">
      <c r="O12266" s="42"/>
      <c r="R12266" s="42"/>
      <c r="AC12266" s="42"/>
    </row>
    <row r="12267" spans="15:29" x14ac:dyDescent="0.25">
      <c r="O12267" s="42"/>
      <c r="R12267" s="42"/>
      <c r="AC12267" s="42"/>
    </row>
    <row r="12268" spans="15:29" x14ac:dyDescent="0.25">
      <c r="O12268" s="42"/>
      <c r="R12268" s="42"/>
      <c r="AC12268" s="42"/>
    </row>
    <row r="12269" spans="15:29" x14ac:dyDescent="0.25">
      <c r="O12269" s="42"/>
      <c r="R12269" s="42"/>
      <c r="AC12269" s="42"/>
    </row>
    <row r="12270" spans="15:29" x14ac:dyDescent="0.25">
      <c r="O12270" s="42"/>
      <c r="R12270" s="42"/>
      <c r="AC12270" s="42"/>
    </row>
    <row r="12271" spans="15:29" x14ac:dyDescent="0.25">
      <c r="O12271" s="42"/>
      <c r="R12271" s="42"/>
      <c r="AC12271" s="42"/>
    </row>
    <row r="12272" spans="15:29" x14ac:dyDescent="0.25">
      <c r="O12272" s="42"/>
      <c r="R12272" s="42"/>
      <c r="AC12272" s="42"/>
    </row>
    <row r="12273" spans="15:29" x14ac:dyDescent="0.25">
      <c r="O12273" s="42"/>
      <c r="R12273" s="42"/>
      <c r="AC12273" s="42"/>
    </row>
    <row r="12274" spans="15:29" x14ac:dyDescent="0.25">
      <c r="O12274" s="42"/>
      <c r="R12274" s="42"/>
      <c r="AC12274" s="42"/>
    </row>
    <row r="12275" spans="15:29" x14ac:dyDescent="0.25">
      <c r="O12275" s="42"/>
      <c r="R12275" s="42"/>
      <c r="AC12275" s="42"/>
    </row>
    <row r="12276" spans="15:29" x14ac:dyDescent="0.25">
      <c r="O12276" s="42"/>
      <c r="R12276" s="42"/>
      <c r="AC12276" s="42"/>
    </row>
    <row r="12277" spans="15:29" x14ac:dyDescent="0.25">
      <c r="O12277" s="42"/>
      <c r="R12277" s="42"/>
      <c r="AC12277" s="42"/>
    </row>
    <row r="12278" spans="15:29" x14ac:dyDescent="0.25">
      <c r="O12278" s="42"/>
      <c r="R12278" s="42"/>
      <c r="AC12278" s="42"/>
    </row>
    <row r="12279" spans="15:29" x14ac:dyDescent="0.25">
      <c r="O12279" s="42"/>
      <c r="R12279" s="42"/>
      <c r="AC12279" s="42"/>
    </row>
    <row r="12280" spans="15:29" x14ac:dyDescent="0.25">
      <c r="O12280" s="42"/>
      <c r="R12280" s="42"/>
      <c r="AC12280" s="42"/>
    </row>
    <row r="12281" spans="15:29" x14ac:dyDescent="0.25">
      <c r="O12281" s="42"/>
      <c r="R12281" s="42"/>
      <c r="AC12281" s="42"/>
    </row>
    <row r="12282" spans="15:29" x14ac:dyDescent="0.25">
      <c r="O12282" s="42"/>
      <c r="R12282" s="42"/>
      <c r="AC12282" s="42"/>
    </row>
    <row r="12283" spans="15:29" x14ac:dyDescent="0.25">
      <c r="O12283" s="42"/>
      <c r="R12283" s="42"/>
      <c r="AC12283" s="42"/>
    </row>
    <row r="12284" spans="15:29" x14ac:dyDescent="0.25">
      <c r="O12284" s="42"/>
      <c r="R12284" s="42"/>
      <c r="AC12284" s="42"/>
    </row>
    <row r="12285" spans="15:29" x14ac:dyDescent="0.25">
      <c r="O12285" s="42"/>
      <c r="R12285" s="42"/>
      <c r="AC12285" s="42"/>
    </row>
    <row r="12286" spans="15:29" x14ac:dyDescent="0.25">
      <c r="O12286" s="42"/>
      <c r="R12286" s="42"/>
      <c r="AC12286" s="42"/>
    </row>
    <row r="12287" spans="15:29" x14ac:dyDescent="0.25">
      <c r="O12287" s="42"/>
      <c r="R12287" s="42"/>
      <c r="AC12287" s="42"/>
    </row>
    <row r="12288" spans="15:29" x14ac:dyDescent="0.25">
      <c r="O12288" s="42"/>
      <c r="R12288" s="42"/>
      <c r="AC12288" s="42"/>
    </row>
    <row r="12289" spans="15:29" x14ac:dyDescent="0.25">
      <c r="O12289" s="42"/>
      <c r="R12289" s="42"/>
      <c r="AC12289" s="42"/>
    </row>
    <row r="12290" spans="15:29" x14ac:dyDescent="0.25">
      <c r="O12290" s="42"/>
      <c r="R12290" s="42"/>
      <c r="AC12290" s="42"/>
    </row>
    <row r="12291" spans="15:29" x14ac:dyDescent="0.25">
      <c r="O12291" s="42"/>
      <c r="R12291" s="42"/>
      <c r="AC12291" s="42"/>
    </row>
    <row r="12292" spans="15:29" x14ac:dyDescent="0.25">
      <c r="O12292" s="42"/>
      <c r="R12292" s="42"/>
      <c r="AC12292" s="42"/>
    </row>
    <row r="12293" spans="15:29" x14ac:dyDescent="0.25">
      <c r="O12293" s="42"/>
      <c r="R12293" s="42"/>
      <c r="AC12293" s="42"/>
    </row>
    <row r="12294" spans="15:29" x14ac:dyDescent="0.25">
      <c r="O12294" s="42"/>
      <c r="R12294" s="42"/>
      <c r="AC12294" s="42"/>
    </row>
    <row r="12295" spans="15:29" x14ac:dyDescent="0.25">
      <c r="O12295" s="42"/>
      <c r="R12295" s="42"/>
      <c r="AC12295" s="42"/>
    </row>
    <row r="12296" spans="15:29" x14ac:dyDescent="0.25">
      <c r="O12296" s="42"/>
      <c r="R12296" s="42"/>
      <c r="AC12296" s="42"/>
    </row>
    <row r="12297" spans="15:29" x14ac:dyDescent="0.25">
      <c r="O12297" s="42"/>
      <c r="R12297" s="42"/>
      <c r="AC12297" s="42"/>
    </row>
    <row r="12298" spans="15:29" x14ac:dyDescent="0.25">
      <c r="O12298" s="42"/>
      <c r="R12298" s="42"/>
      <c r="AC12298" s="42"/>
    </row>
    <row r="12299" spans="15:29" x14ac:dyDescent="0.25">
      <c r="O12299" s="42"/>
      <c r="R12299" s="42"/>
      <c r="AC12299" s="42"/>
    </row>
    <row r="12300" spans="15:29" x14ac:dyDescent="0.25">
      <c r="O12300" s="42"/>
      <c r="R12300" s="42"/>
      <c r="AC12300" s="42"/>
    </row>
    <row r="12301" spans="15:29" x14ac:dyDescent="0.25">
      <c r="O12301" s="42"/>
      <c r="R12301" s="42"/>
      <c r="AC12301" s="42"/>
    </row>
    <row r="12302" spans="15:29" x14ac:dyDescent="0.25">
      <c r="O12302" s="42"/>
      <c r="R12302" s="42"/>
      <c r="AC12302" s="42"/>
    </row>
    <row r="12303" spans="15:29" x14ac:dyDescent="0.25">
      <c r="O12303" s="42"/>
      <c r="R12303" s="42"/>
      <c r="AC12303" s="42"/>
    </row>
    <row r="12304" spans="15:29" x14ac:dyDescent="0.25">
      <c r="O12304" s="42"/>
      <c r="R12304" s="42"/>
      <c r="AC12304" s="42"/>
    </row>
    <row r="12305" spans="15:29" x14ac:dyDescent="0.25">
      <c r="O12305" s="42"/>
      <c r="R12305" s="42"/>
      <c r="AC12305" s="42"/>
    </row>
    <row r="12306" spans="15:29" x14ac:dyDescent="0.25">
      <c r="O12306" s="42"/>
      <c r="R12306" s="42"/>
      <c r="AC12306" s="42"/>
    </row>
    <row r="12307" spans="15:29" x14ac:dyDescent="0.25">
      <c r="O12307" s="42"/>
      <c r="R12307" s="42"/>
      <c r="AC12307" s="42"/>
    </row>
    <row r="12308" spans="15:29" x14ac:dyDescent="0.25">
      <c r="O12308" s="42"/>
      <c r="R12308" s="42"/>
      <c r="AC12308" s="42"/>
    </row>
    <row r="12309" spans="15:29" x14ac:dyDescent="0.25">
      <c r="O12309" s="42"/>
      <c r="R12309" s="42"/>
      <c r="AC12309" s="42"/>
    </row>
    <row r="12310" spans="15:29" x14ac:dyDescent="0.25">
      <c r="O12310" s="42"/>
      <c r="R12310" s="42"/>
      <c r="AC12310" s="42"/>
    </row>
    <row r="12311" spans="15:29" x14ac:dyDescent="0.25">
      <c r="O12311" s="42"/>
      <c r="R12311" s="42"/>
      <c r="AC12311" s="42"/>
    </row>
    <row r="12312" spans="15:29" x14ac:dyDescent="0.25">
      <c r="O12312" s="42"/>
      <c r="R12312" s="42"/>
      <c r="AC12312" s="42"/>
    </row>
    <row r="12313" spans="15:29" x14ac:dyDescent="0.25">
      <c r="O12313" s="42"/>
      <c r="R12313" s="42"/>
      <c r="AC12313" s="42"/>
    </row>
    <row r="12314" spans="15:29" x14ac:dyDescent="0.25">
      <c r="O12314" s="42"/>
      <c r="R12314" s="42"/>
      <c r="AC12314" s="42"/>
    </row>
    <row r="12315" spans="15:29" x14ac:dyDescent="0.25">
      <c r="O12315" s="42"/>
      <c r="R12315" s="42"/>
      <c r="AC12315" s="42"/>
    </row>
    <row r="12316" spans="15:29" x14ac:dyDescent="0.25">
      <c r="O12316" s="42"/>
      <c r="R12316" s="42"/>
      <c r="AC12316" s="42"/>
    </row>
    <row r="12317" spans="15:29" x14ac:dyDescent="0.25">
      <c r="O12317" s="42"/>
      <c r="R12317" s="42"/>
      <c r="AC12317" s="42"/>
    </row>
    <row r="12318" spans="15:29" x14ac:dyDescent="0.25">
      <c r="O12318" s="42"/>
      <c r="R12318" s="42"/>
      <c r="AC12318" s="42"/>
    </row>
    <row r="12319" spans="15:29" x14ac:dyDescent="0.25">
      <c r="O12319" s="42"/>
      <c r="R12319" s="42"/>
      <c r="AC12319" s="42"/>
    </row>
    <row r="12320" spans="15:29" x14ac:dyDescent="0.25">
      <c r="O12320" s="42"/>
      <c r="R12320" s="42"/>
      <c r="AC12320" s="42"/>
    </row>
    <row r="12321" spans="15:29" x14ac:dyDescent="0.25">
      <c r="O12321" s="42"/>
      <c r="R12321" s="42"/>
      <c r="AC12321" s="42"/>
    </row>
    <row r="12322" spans="15:29" x14ac:dyDescent="0.25">
      <c r="O12322" s="42"/>
      <c r="R12322" s="42"/>
      <c r="AC12322" s="42"/>
    </row>
    <row r="12323" spans="15:29" x14ac:dyDescent="0.25">
      <c r="O12323" s="42"/>
      <c r="R12323" s="42"/>
      <c r="AC12323" s="42"/>
    </row>
    <row r="12324" spans="15:29" x14ac:dyDescent="0.25">
      <c r="O12324" s="42"/>
      <c r="R12324" s="42"/>
      <c r="AC12324" s="42"/>
    </row>
    <row r="12325" spans="15:29" x14ac:dyDescent="0.25">
      <c r="O12325" s="42"/>
      <c r="R12325" s="42"/>
      <c r="AC12325" s="42"/>
    </row>
    <row r="12326" spans="15:29" x14ac:dyDescent="0.25">
      <c r="O12326" s="42"/>
      <c r="R12326" s="42"/>
      <c r="AC12326" s="42"/>
    </row>
    <row r="12327" spans="15:29" x14ac:dyDescent="0.25">
      <c r="O12327" s="42"/>
      <c r="R12327" s="42"/>
      <c r="AC12327" s="42"/>
    </row>
    <row r="12328" spans="15:29" x14ac:dyDescent="0.25">
      <c r="O12328" s="42"/>
      <c r="R12328" s="42"/>
      <c r="AC12328" s="42"/>
    </row>
    <row r="12329" spans="15:29" x14ac:dyDescent="0.25">
      <c r="O12329" s="42"/>
      <c r="R12329" s="42"/>
      <c r="AC12329" s="42"/>
    </row>
    <row r="12330" spans="15:29" x14ac:dyDescent="0.25">
      <c r="O12330" s="42"/>
      <c r="R12330" s="42"/>
      <c r="AC12330" s="42"/>
    </row>
    <row r="12331" spans="15:29" x14ac:dyDescent="0.25">
      <c r="O12331" s="42"/>
      <c r="R12331" s="42"/>
      <c r="AC12331" s="42"/>
    </row>
    <row r="12332" spans="15:29" x14ac:dyDescent="0.25">
      <c r="O12332" s="42"/>
      <c r="R12332" s="42"/>
      <c r="AC12332" s="42"/>
    </row>
    <row r="12333" spans="15:29" x14ac:dyDescent="0.25">
      <c r="O12333" s="42"/>
      <c r="R12333" s="42"/>
      <c r="AC12333" s="42"/>
    </row>
    <row r="12334" spans="15:29" x14ac:dyDescent="0.25">
      <c r="O12334" s="42"/>
      <c r="R12334" s="42"/>
      <c r="AC12334" s="42"/>
    </row>
    <row r="12335" spans="15:29" x14ac:dyDescent="0.25">
      <c r="O12335" s="42"/>
      <c r="R12335" s="42"/>
      <c r="AC12335" s="42"/>
    </row>
    <row r="12336" spans="15:29" x14ac:dyDescent="0.25">
      <c r="O12336" s="42"/>
      <c r="R12336" s="42"/>
      <c r="AC12336" s="42"/>
    </row>
    <row r="12337" spans="15:29" x14ac:dyDescent="0.25">
      <c r="O12337" s="42"/>
      <c r="R12337" s="42"/>
      <c r="AC12337" s="42"/>
    </row>
    <row r="12338" spans="15:29" x14ac:dyDescent="0.25">
      <c r="O12338" s="42"/>
      <c r="R12338" s="42"/>
      <c r="AC12338" s="42"/>
    </row>
    <row r="12339" spans="15:29" x14ac:dyDescent="0.25">
      <c r="O12339" s="42"/>
      <c r="R12339" s="42"/>
      <c r="AC12339" s="42"/>
    </row>
    <row r="12340" spans="15:29" x14ac:dyDescent="0.25">
      <c r="O12340" s="42"/>
      <c r="R12340" s="42"/>
      <c r="AC12340" s="42"/>
    </row>
    <row r="12341" spans="15:29" x14ac:dyDescent="0.25">
      <c r="O12341" s="42"/>
      <c r="R12341" s="42"/>
      <c r="AC12341" s="42"/>
    </row>
    <row r="12342" spans="15:29" x14ac:dyDescent="0.25">
      <c r="O12342" s="42"/>
      <c r="R12342" s="42"/>
      <c r="AC12342" s="42"/>
    </row>
    <row r="12343" spans="15:29" x14ac:dyDescent="0.25">
      <c r="O12343" s="42"/>
      <c r="R12343" s="42"/>
      <c r="AC12343" s="42"/>
    </row>
    <row r="12344" spans="15:29" x14ac:dyDescent="0.25">
      <c r="O12344" s="42"/>
      <c r="R12344" s="42"/>
      <c r="AC12344" s="42"/>
    </row>
    <row r="12345" spans="15:29" x14ac:dyDescent="0.25">
      <c r="O12345" s="42"/>
      <c r="R12345" s="42"/>
      <c r="AC12345" s="42"/>
    </row>
    <row r="12346" spans="15:29" x14ac:dyDescent="0.25">
      <c r="O12346" s="42"/>
      <c r="R12346" s="42"/>
      <c r="AC12346" s="42"/>
    </row>
    <row r="12347" spans="15:29" x14ac:dyDescent="0.25">
      <c r="O12347" s="42"/>
      <c r="R12347" s="42"/>
      <c r="AC12347" s="42"/>
    </row>
    <row r="12348" spans="15:29" x14ac:dyDescent="0.25">
      <c r="O12348" s="42"/>
      <c r="R12348" s="42"/>
      <c r="AC12348" s="42"/>
    </row>
    <row r="12349" spans="15:29" x14ac:dyDescent="0.25">
      <c r="O12349" s="42"/>
      <c r="R12349" s="42"/>
      <c r="AC12349" s="42"/>
    </row>
    <row r="12350" spans="15:29" x14ac:dyDescent="0.25">
      <c r="O12350" s="42"/>
      <c r="R12350" s="42"/>
      <c r="AC12350" s="42"/>
    </row>
    <row r="12351" spans="15:29" x14ac:dyDescent="0.25">
      <c r="O12351" s="42"/>
      <c r="R12351" s="42"/>
      <c r="AC12351" s="42"/>
    </row>
    <row r="12352" spans="15:29" x14ac:dyDescent="0.25">
      <c r="O12352" s="42"/>
      <c r="R12352" s="42"/>
      <c r="AC12352" s="42"/>
    </row>
    <row r="12353" spans="15:29" x14ac:dyDescent="0.25">
      <c r="O12353" s="42"/>
      <c r="R12353" s="42"/>
      <c r="AC12353" s="42"/>
    </row>
    <row r="12354" spans="15:29" x14ac:dyDescent="0.25">
      <c r="O12354" s="42"/>
      <c r="R12354" s="42"/>
      <c r="AC12354" s="42"/>
    </row>
    <row r="12355" spans="15:29" x14ac:dyDescent="0.25">
      <c r="O12355" s="42"/>
      <c r="R12355" s="42"/>
      <c r="AC12355" s="42"/>
    </row>
    <row r="12356" spans="15:29" x14ac:dyDescent="0.25">
      <c r="O12356" s="42"/>
      <c r="R12356" s="42"/>
      <c r="AC12356" s="42"/>
    </row>
    <row r="12357" spans="15:29" x14ac:dyDescent="0.25">
      <c r="O12357" s="42"/>
      <c r="R12357" s="42"/>
      <c r="AC12357" s="42"/>
    </row>
    <row r="12358" spans="15:29" x14ac:dyDescent="0.25">
      <c r="O12358" s="42"/>
      <c r="R12358" s="42"/>
      <c r="AC12358" s="42"/>
    </row>
    <row r="12359" spans="15:29" x14ac:dyDescent="0.25">
      <c r="O12359" s="42"/>
      <c r="R12359" s="42"/>
      <c r="AC12359" s="42"/>
    </row>
    <row r="12360" spans="15:29" x14ac:dyDescent="0.25">
      <c r="O12360" s="42"/>
      <c r="R12360" s="42"/>
      <c r="AC12360" s="42"/>
    </row>
    <row r="12361" spans="15:29" x14ac:dyDescent="0.25">
      <c r="O12361" s="42"/>
      <c r="R12361" s="42"/>
      <c r="AC12361" s="42"/>
    </row>
    <row r="12362" spans="15:29" x14ac:dyDescent="0.25">
      <c r="O12362" s="42"/>
      <c r="R12362" s="42"/>
      <c r="AC12362" s="42"/>
    </row>
    <row r="12363" spans="15:29" x14ac:dyDescent="0.25">
      <c r="O12363" s="42"/>
      <c r="R12363" s="42"/>
      <c r="AC12363" s="42"/>
    </row>
    <row r="12364" spans="15:29" x14ac:dyDescent="0.25">
      <c r="O12364" s="42"/>
      <c r="R12364" s="42"/>
      <c r="AC12364" s="42"/>
    </row>
    <row r="12365" spans="15:29" x14ac:dyDescent="0.25">
      <c r="O12365" s="42"/>
      <c r="R12365" s="42"/>
      <c r="AC12365" s="42"/>
    </row>
    <row r="12366" spans="15:29" x14ac:dyDescent="0.25">
      <c r="O12366" s="42"/>
      <c r="R12366" s="42"/>
      <c r="AC12366" s="42"/>
    </row>
    <row r="12367" spans="15:29" x14ac:dyDescent="0.25">
      <c r="O12367" s="42"/>
      <c r="R12367" s="42"/>
      <c r="AC12367" s="42"/>
    </row>
    <row r="12368" spans="15:29" x14ac:dyDescent="0.25">
      <c r="O12368" s="42"/>
      <c r="R12368" s="42"/>
      <c r="AC12368" s="42"/>
    </row>
    <row r="12369" spans="15:29" x14ac:dyDescent="0.25">
      <c r="O12369" s="42"/>
      <c r="R12369" s="42"/>
      <c r="AC12369" s="42"/>
    </row>
    <row r="12370" spans="15:29" x14ac:dyDescent="0.25">
      <c r="O12370" s="42"/>
      <c r="R12370" s="42"/>
      <c r="AC12370" s="42"/>
    </row>
    <row r="12371" spans="15:29" x14ac:dyDescent="0.25">
      <c r="O12371" s="42"/>
      <c r="R12371" s="42"/>
      <c r="AC12371" s="42"/>
    </row>
    <row r="12372" spans="15:29" x14ac:dyDescent="0.25">
      <c r="O12372" s="42"/>
      <c r="R12372" s="42"/>
      <c r="AC12372" s="42"/>
    </row>
    <row r="12373" spans="15:29" x14ac:dyDescent="0.25">
      <c r="O12373" s="42"/>
      <c r="R12373" s="42"/>
      <c r="AC12373" s="42"/>
    </row>
    <row r="12374" spans="15:29" x14ac:dyDescent="0.25">
      <c r="O12374" s="42"/>
      <c r="R12374" s="42"/>
      <c r="AC12374" s="42"/>
    </row>
    <row r="12375" spans="15:29" x14ac:dyDescent="0.25">
      <c r="O12375" s="42"/>
      <c r="R12375" s="42"/>
      <c r="AC12375" s="42"/>
    </row>
    <row r="12376" spans="15:29" x14ac:dyDescent="0.25">
      <c r="O12376" s="42"/>
      <c r="R12376" s="42"/>
      <c r="AC12376" s="42"/>
    </row>
    <row r="12377" spans="15:29" x14ac:dyDescent="0.25">
      <c r="O12377" s="42"/>
      <c r="R12377" s="42"/>
      <c r="AC12377" s="42"/>
    </row>
    <row r="12378" spans="15:29" x14ac:dyDescent="0.25">
      <c r="O12378" s="42"/>
      <c r="R12378" s="42"/>
      <c r="AC12378" s="42"/>
    </row>
    <row r="12379" spans="15:29" x14ac:dyDescent="0.25">
      <c r="O12379" s="42"/>
      <c r="R12379" s="42"/>
      <c r="AC12379" s="42"/>
    </row>
    <row r="12380" spans="15:29" x14ac:dyDescent="0.25">
      <c r="O12380" s="42"/>
      <c r="R12380" s="42"/>
      <c r="AC12380" s="42"/>
    </row>
    <row r="12381" spans="15:29" x14ac:dyDescent="0.25">
      <c r="O12381" s="42"/>
      <c r="R12381" s="42"/>
      <c r="AC12381" s="42"/>
    </row>
    <row r="12382" spans="15:29" x14ac:dyDescent="0.25">
      <c r="O12382" s="42"/>
      <c r="R12382" s="42"/>
      <c r="AC12382" s="42"/>
    </row>
    <row r="12383" spans="15:29" x14ac:dyDescent="0.25">
      <c r="O12383" s="42"/>
      <c r="R12383" s="42"/>
      <c r="AC12383" s="42"/>
    </row>
    <row r="12384" spans="15:29" x14ac:dyDescent="0.25">
      <c r="O12384" s="42"/>
      <c r="R12384" s="42"/>
      <c r="AC12384" s="42"/>
    </row>
    <row r="12385" spans="15:29" x14ac:dyDescent="0.25">
      <c r="O12385" s="42"/>
      <c r="R12385" s="42"/>
      <c r="AC12385" s="42"/>
    </row>
    <row r="12386" spans="15:29" x14ac:dyDescent="0.25">
      <c r="O12386" s="42"/>
      <c r="R12386" s="42"/>
      <c r="AC12386" s="42"/>
    </row>
    <row r="12387" spans="15:29" x14ac:dyDescent="0.25">
      <c r="O12387" s="42"/>
      <c r="R12387" s="42"/>
      <c r="AC12387" s="42"/>
    </row>
    <row r="12388" spans="15:29" x14ac:dyDescent="0.25">
      <c r="O12388" s="42"/>
      <c r="R12388" s="42"/>
      <c r="AC12388" s="42"/>
    </row>
    <row r="12389" spans="15:29" x14ac:dyDescent="0.25">
      <c r="O12389" s="42"/>
      <c r="R12389" s="42"/>
      <c r="AC12389" s="42"/>
    </row>
    <row r="12390" spans="15:29" x14ac:dyDescent="0.25">
      <c r="O12390" s="42"/>
      <c r="R12390" s="42"/>
      <c r="AC12390" s="42"/>
    </row>
    <row r="12391" spans="15:29" x14ac:dyDescent="0.25">
      <c r="O12391" s="42"/>
      <c r="R12391" s="42"/>
      <c r="AC12391" s="42"/>
    </row>
    <row r="12392" spans="15:29" x14ac:dyDescent="0.25">
      <c r="O12392" s="42"/>
      <c r="R12392" s="42"/>
      <c r="AC12392" s="42"/>
    </row>
    <row r="12393" spans="15:29" x14ac:dyDescent="0.25">
      <c r="O12393" s="42"/>
      <c r="R12393" s="42"/>
      <c r="AC12393" s="42"/>
    </row>
    <row r="12394" spans="15:29" x14ac:dyDescent="0.25">
      <c r="O12394" s="42"/>
      <c r="R12394" s="42"/>
      <c r="AC12394" s="42"/>
    </row>
    <row r="12395" spans="15:29" x14ac:dyDescent="0.25">
      <c r="O12395" s="42"/>
      <c r="R12395" s="42"/>
      <c r="AC12395" s="42"/>
    </row>
    <row r="12396" spans="15:29" x14ac:dyDescent="0.25">
      <c r="O12396" s="42"/>
      <c r="R12396" s="42"/>
      <c r="AC12396" s="42"/>
    </row>
    <row r="12397" spans="15:29" x14ac:dyDescent="0.25">
      <c r="O12397" s="42"/>
      <c r="R12397" s="42"/>
      <c r="AC12397" s="42"/>
    </row>
    <row r="12398" spans="15:29" x14ac:dyDescent="0.25">
      <c r="O12398" s="42"/>
      <c r="R12398" s="42"/>
      <c r="AC12398" s="42"/>
    </row>
    <row r="12399" spans="15:29" x14ac:dyDescent="0.25">
      <c r="O12399" s="42"/>
      <c r="R12399" s="42"/>
      <c r="AC12399" s="42"/>
    </row>
    <row r="12400" spans="15:29" x14ac:dyDescent="0.25">
      <c r="O12400" s="42"/>
      <c r="R12400" s="42"/>
      <c r="AC12400" s="42"/>
    </row>
    <row r="12401" spans="15:29" x14ac:dyDescent="0.25">
      <c r="O12401" s="42"/>
      <c r="R12401" s="42"/>
      <c r="AC12401" s="42"/>
    </row>
    <row r="12402" spans="15:29" x14ac:dyDescent="0.25">
      <c r="O12402" s="42"/>
      <c r="R12402" s="42"/>
      <c r="AC12402" s="42"/>
    </row>
    <row r="12403" spans="15:29" x14ac:dyDescent="0.25">
      <c r="O12403" s="42"/>
      <c r="R12403" s="42"/>
      <c r="AC12403" s="42"/>
    </row>
    <row r="12404" spans="15:29" x14ac:dyDescent="0.25">
      <c r="O12404" s="42"/>
      <c r="R12404" s="42"/>
      <c r="AC12404" s="42"/>
    </row>
    <row r="12405" spans="15:29" x14ac:dyDescent="0.25">
      <c r="O12405" s="42"/>
      <c r="R12405" s="42"/>
      <c r="AC12405" s="42"/>
    </row>
    <row r="12406" spans="15:29" x14ac:dyDescent="0.25">
      <c r="O12406" s="42"/>
      <c r="R12406" s="42"/>
      <c r="AC12406" s="42"/>
    </row>
    <row r="12407" spans="15:29" x14ac:dyDescent="0.25">
      <c r="O12407" s="42"/>
      <c r="R12407" s="42"/>
      <c r="AC12407" s="42"/>
    </row>
    <row r="12408" spans="15:29" x14ac:dyDescent="0.25">
      <c r="O12408" s="42"/>
      <c r="R12408" s="42"/>
      <c r="AC12408" s="42"/>
    </row>
    <row r="12409" spans="15:29" x14ac:dyDescent="0.25">
      <c r="O12409" s="42"/>
      <c r="R12409" s="42"/>
      <c r="AC12409" s="42"/>
    </row>
    <row r="12410" spans="15:29" x14ac:dyDescent="0.25">
      <c r="O12410" s="42"/>
      <c r="R12410" s="42"/>
      <c r="AC12410" s="42"/>
    </row>
    <row r="12411" spans="15:29" x14ac:dyDescent="0.25">
      <c r="O12411" s="42"/>
      <c r="R12411" s="42"/>
      <c r="AC12411" s="42"/>
    </row>
    <row r="12412" spans="15:29" x14ac:dyDescent="0.25">
      <c r="O12412" s="42"/>
      <c r="R12412" s="42"/>
      <c r="AC12412" s="42"/>
    </row>
    <row r="12413" spans="15:29" x14ac:dyDescent="0.25">
      <c r="O12413" s="42"/>
      <c r="R12413" s="42"/>
      <c r="AC12413" s="42"/>
    </row>
    <row r="12414" spans="15:29" x14ac:dyDescent="0.25">
      <c r="O12414" s="42"/>
      <c r="R12414" s="42"/>
      <c r="AC12414" s="42"/>
    </row>
    <row r="12415" spans="15:29" x14ac:dyDescent="0.25">
      <c r="O12415" s="42"/>
      <c r="R12415" s="42"/>
      <c r="AC12415" s="42"/>
    </row>
    <row r="12416" spans="15:29" x14ac:dyDescent="0.25">
      <c r="O12416" s="42"/>
      <c r="R12416" s="42"/>
      <c r="AC12416" s="42"/>
    </row>
    <row r="12417" spans="15:29" x14ac:dyDescent="0.25">
      <c r="O12417" s="42"/>
      <c r="R12417" s="42"/>
      <c r="AC12417" s="42"/>
    </row>
    <row r="12418" spans="15:29" x14ac:dyDescent="0.25">
      <c r="O12418" s="42"/>
      <c r="R12418" s="42"/>
      <c r="AC12418" s="42"/>
    </row>
    <row r="12419" spans="15:29" x14ac:dyDescent="0.25">
      <c r="O12419" s="42"/>
      <c r="R12419" s="42"/>
      <c r="AC12419" s="42"/>
    </row>
    <row r="12420" spans="15:29" x14ac:dyDescent="0.25">
      <c r="O12420" s="42"/>
      <c r="R12420" s="42"/>
      <c r="AC12420" s="42"/>
    </row>
    <row r="12421" spans="15:29" x14ac:dyDescent="0.25">
      <c r="O12421" s="42"/>
      <c r="R12421" s="42"/>
      <c r="AC12421" s="42"/>
    </row>
    <row r="12422" spans="15:29" x14ac:dyDescent="0.25">
      <c r="O12422" s="42"/>
      <c r="R12422" s="42"/>
      <c r="AC12422" s="42"/>
    </row>
    <row r="12423" spans="15:29" x14ac:dyDescent="0.25">
      <c r="O12423" s="42"/>
      <c r="R12423" s="42"/>
      <c r="AC12423" s="42"/>
    </row>
    <row r="12424" spans="15:29" x14ac:dyDescent="0.25">
      <c r="O12424" s="42"/>
      <c r="R12424" s="42"/>
      <c r="AC12424" s="42"/>
    </row>
    <row r="12425" spans="15:29" x14ac:dyDescent="0.25">
      <c r="O12425" s="42"/>
      <c r="R12425" s="42"/>
      <c r="AC12425" s="42"/>
    </row>
    <row r="12426" spans="15:29" x14ac:dyDescent="0.25">
      <c r="O12426" s="42"/>
      <c r="R12426" s="42"/>
      <c r="AC12426" s="42"/>
    </row>
    <row r="12427" spans="15:29" x14ac:dyDescent="0.25">
      <c r="O12427" s="42"/>
      <c r="R12427" s="42"/>
      <c r="AC12427" s="42"/>
    </row>
    <row r="12428" spans="15:29" x14ac:dyDescent="0.25">
      <c r="O12428" s="42"/>
      <c r="R12428" s="42"/>
      <c r="AC12428" s="42"/>
    </row>
    <row r="12429" spans="15:29" x14ac:dyDescent="0.25">
      <c r="O12429" s="42"/>
      <c r="R12429" s="42"/>
      <c r="AC12429" s="42"/>
    </row>
    <row r="12430" spans="15:29" x14ac:dyDescent="0.25">
      <c r="O12430" s="42"/>
      <c r="R12430" s="42"/>
      <c r="AC12430" s="42"/>
    </row>
    <row r="12431" spans="15:29" x14ac:dyDescent="0.25">
      <c r="O12431" s="42"/>
      <c r="R12431" s="42"/>
      <c r="AC12431" s="42"/>
    </row>
    <row r="12432" spans="15:29" x14ac:dyDescent="0.25">
      <c r="O12432" s="42"/>
      <c r="R12432" s="42"/>
      <c r="AC12432" s="42"/>
    </row>
    <row r="12433" spans="15:29" x14ac:dyDescent="0.25">
      <c r="O12433" s="42"/>
      <c r="R12433" s="42"/>
      <c r="AC12433" s="42"/>
    </row>
    <row r="12434" spans="15:29" x14ac:dyDescent="0.25">
      <c r="O12434" s="42"/>
      <c r="R12434" s="42"/>
      <c r="AC12434" s="42"/>
    </row>
    <row r="12435" spans="15:29" x14ac:dyDescent="0.25">
      <c r="O12435" s="42"/>
      <c r="R12435" s="42"/>
      <c r="AC12435" s="42"/>
    </row>
    <row r="12436" spans="15:29" x14ac:dyDescent="0.25">
      <c r="O12436" s="42"/>
      <c r="R12436" s="42"/>
      <c r="AC12436" s="42"/>
    </row>
    <row r="12437" spans="15:29" x14ac:dyDescent="0.25">
      <c r="O12437" s="42"/>
      <c r="R12437" s="42"/>
      <c r="AC12437" s="42"/>
    </row>
    <row r="12438" spans="15:29" x14ac:dyDescent="0.25">
      <c r="O12438" s="42"/>
      <c r="R12438" s="42"/>
      <c r="AC12438" s="42"/>
    </row>
    <row r="12439" spans="15:29" x14ac:dyDescent="0.25">
      <c r="O12439" s="42"/>
      <c r="R12439" s="42"/>
      <c r="AC12439" s="42"/>
    </row>
    <row r="12440" spans="15:29" x14ac:dyDescent="0.25">
      <c r="O12440" s="42"/>
      <c r="R12440" s="42"/>
      <c r="AC12440" s="42"/>
    </row>
    <row r="12441" spans="15:29" x14ac:dyDescent="0.25">
      <c r="O12441" s="42"/>
      <c r="R12441" s="42"/>
      <c r="AC12441" s="42"/>
    </row>
    <row r="12442" spans="15:29" x14ac:dyDescent="0.25">
      <c r="O12442" s="42"/>
      <c r="R12442" s="42"/>
      <c r="AC12442" s="42"/>
    </row>
    <row r="12443" spans="15:29" x14ac:dyDescent="0.25">
      <c r="O12443" s="42"/>
      <c r="R12443" s="42"/>
      <c r="AC12443" s="42"/>
    </row>
    <row r="12444" spans="15:29" x14ac:dyDescent="0.25">
      <c r="O12444" s="42"/>
      <c r="R12444" s="42"/>
      <c r="AC12444" s="42"/>
    </row>
    <row r="12445" spans="15:29" x14ac:dyDescent="0.25">
      <c r="O12445" s="42"/>
      <c r="R12445" s="42"/>
      <c r="AC12445" s="42"/>
    </row>
    <row r="12446" spans="15:29" x14ac:dyDescent="0.25">
      <c r="O12446" s="42"/>
      <c r="R12446" s="42"/>
      <c r="AC12446" s="42"/>
    </row>
    <row r="12447" spans="15:29" x14ac:dyDescent="0.25">
      <c r="O12447" s="42"/>
      <c r="R12447" s="42"/>
      <c r="AC12447" s="42"/>
    </row>
    <row r="12448" spans="15:29" x14ac:dyDescent="0.25">
      <c r="O12448" s="42"/>
      <c r="R12448" s="42"/>
      <c r="AC12448" s="42"/>
    </row>
    <row r="12449" spans="15:29" x14ac:dyDescent="0.25">
      <c r="O12449" s="42"/>
      <c r="R12449" s="42"/>
      <c r="AC12449" s="42"/>
    </row>
    <row r="12450" spans="15:29" x14ac:dyDescent="0.25">
      <c r="O12450" s="42"/>
      <c r="R12450" s="42"/>
      <c r="AC12450" s="42"/>
    </row>
    <row r="12451" spans="15:29" x14ac:dyDescent="0.25">
      <c r="O12451" s="42"/>
      <c r="R12451" s="42"/>
      <c r="AC12451" s="42"/>
    </row>
    <row r="12452" spans="15:29" x14ac:dyDescent="0.25">
      <c r="O12452" s="42"/>
      <c r="R12452" s="42"/>
      <c r="AC12452" s="42"/>
    </row>
    <row r="12453" spans="15:29" x14ac:dyDescent="0.25">
      <c r="O12453" s="42"/>
      <c r="R12453" s="42"/>
      <c r="AC12453" s="42"/>
    </row>
    <row r="12454" spans="15:29" x14ac:dyDescent="0.25">
      <c r="O12454" s="42"/>
      <c r="R12454" s="42"/>
      <c r="AC12454" s="42"/>
    </row>
    <row r="12455" spans="15:29" x14ac:dyDescent="0.25">
      <c r="O12455" s="42"/>
      <c r="R12455" s="42"/>
      <c r="AC12455" s="42"/>
    </row>
    <row r="12456" spans="15:29" x14ac:dyDescent="0.25">
      <c r="O12456" s="42"/>
      <c r="R12456" s="42"/>
      <c r="AC12456" s="42"/>
    </row>
    <row r="12457" spans="15:29" x14ac:dyDescent="0.25">
      <c r="O12457" s="42"/>
      <c r="R12457" s="42"/>
      <c r="AC12457" s="42"/>
    </row>
    <row r="12458" spans="15:29" x14ac:dyDescent="0.25">
      <c r="O12458" s="42"/>
      <c r="R12458" s="42"/>
      <c r="AC12458" s="42"/>
    </row>
    <row r="12459" spans="15:29" x14ac:dyDescent="0.25">
      <c r="O12459" s="42"/>
      <c r="R12459" s="42"/>
      <c r="AC12459" s="42"/>
    </row>
    <row r="12460" spans="15:29" x14ac:dyDescent="0.25">
      <c r="O12460" s="42"/>
      <c r="R12460" s="42"/>
      <c r="AC12460" s="42"/>
    </row>
    <row r="12461" spans="15:29" x14ac:dyDescent="0.25">
      <c r="O12461" s="42"/>
      <c r="R12461" s="42"/>
      <c r="AC12461" s="42"/>
    </row>
    <row r="12462" spans="15:29" x14ac:dyDescent="0.25">
      <c r="O12462" s="42"/>
      <c r="R12462" s="42"/>
      <c r="AC12462" s="42"/>
    </row>
    <row r="12463" spans="15:29" x14ac:dyDescent="0.25">
      <c r="O12463" s="42"/>
      <c r="R12463" s="42"/>
      <c r="AC12463" s="42"/>
    </row>
    <row r="12464" spans="15:29" x14ac:dyDescent="0.25">
      <c r="O12464" s="42"/>
      <c r="R12464" s="42"/>
      <c r="AC12464" s="42"/>
    </row>
    <row r="12465" spans="15:29" x14ac:dyDescent="0.25">
      <c r="O12465" s="42"/>
      <c r="R12465" s="42"/>
      <c r="AC12465" s="42"/>
    </row>
    <row r="12466" spans="15:29" x14ac:dyDescent="0.25">
      <c r="O12466" s="42"/>
      <c r="R12466" s="42"/>
      <c r="AC12466" s="42"/>
    </row>
    <row r="12467" spans="15:29" x14ac:dyDescent="0.25">
      <c r="O12467" s="42"/>
      <c r="R12467" s="42"/>
      <c r="AC12467" s="42"/>
    </row>
    <row r="12468" spans="15:29" x14ac:dyDescent="0.25">
      <c r="O12468" s="42"/>
      <c r="R12468" s="42"/>
      <c r="AC12468" s="42"/>
    </row>
    <row r="12469" spans="15:29" x14ac:dyDescent="0.25">
      <c r="O12469" s="42"/>
      <c r="R12469" s="42"/>
      <c r="AC12469" s="42"/>
    </row>
    <row r="12470" spans="15:29" x14ac:dyDescent="0.25">
      <c r="O12470" s="42"/>
      <c r="R12470" s="42"/>
      <c r="AC12470" s="42"/>
    </row>
    <row r="12471" spans="15:29" x14ac:dyDescent="0.25">
      <c r="O12471" s="42"/>
      <c r="R12471" s="42"/>
      <c r="AC12471" s="42"/>
    </row>
    <row r="12472" spans="15:29" x14ac:dyDescent="0.25">
      <c r="O12472" s="42"/>
      <c r="R12472" s="42"/>
      <c r="AC12472" s="42"/>
    </row>
    <row r="12473" spans="15:29" x14ac:dyDescent="0.25">
      <c r="O12473" s="42"/>
      <c r="R12473" s="42"/>
      <c r="AC12473" s="42"/>
    </row>
    <row r="12474" spans="15:29" x14ac:dyDescent="0.25">
      <c r="O12474" s="42"/>
      <c r="R12474" s="42"/>
      <c r="AC12474" s="42"/>
    </row>
    <row r="12475" spans="15:29" x14ac:dyDescent="0.25">
      <c r="O12475" s="42"/>
      <c r="R12475" s="42"/>
      <c r="AC12475" s="42"/>
    </row>
    <row r="12476" spans="15:29" x14ac:dyDescent="0.25">
      <c r="O12476" s="42"/>
      <c r="R12476" s="42"/>
      <c r="AC12476" s="42"/>
    </row>
    <row r="12477" spans="15:29" x14ac:dyDescent="0.25">
      <c r="O12477" s="42"/>
      <c r="R12477" s="42"/>
      <c r="AC12477" s="42"/>
    </row>
    <row r="12478" spans="15:29" x14ac:dyDescent="0.25">
      <c r="O12478" s="42"/>
      <c r="R12478" s="42"/>
      <c r="AC12478" s="42"/>
    </row>
    <row r="12479" spans="15:29" x14ac:dyDescent="0.25">
      <c r="O12479" s="42"/>
      <c r="R12479" s="42"/>
      <c r="AC12479" s="42"/>
    </row>
    <row r="12480" spans="15:29" x14ac:dyDescent="0.25">
      <c r="O12480" s="42"/>
      <c r="R12480" s="42"/>
      <c r="AC12480" s="42"/>
    </row>
    <row r="12481" spans="15:29" x14ac:dyDescent="0.25">
      <c r="O12481" s="42"/>
      <c r="R12481" s="42"/>
      <c r="AC12481" s="42"/>
    </row>
    <row r="12482" spans="15:29" x14ac:dyDescent="0.25">
      <c r="O12482" s="42"/>
      <c r="R12482" s="42"/>
      <c r="AC12482" s="42"/>
    </row>
    <row r="12483" spans="15:29" x14ac:dyDescent="0.25">
      <c r="O12483" s="42"/>
      <c r="R12483" s="42"/>
      <c r="AC12483" s="42"/>
    </row>
    <row r="12484" spans="15:29" x14ac:dyDescent="0.25">
      <c r="O12484" s="42"/>
      <c r="R12484" s="42"/>
      <c r="AC12484" s="42"/>
    </row>
    <row r="12485" spans="15:29" x14ac:dyDescent="0.25">
      <c r="O12485" s="42"/>
      <c r="R12485" s="42"/>
      <c r="AC12485" s="42"/>
    </row>
    <row r="12486" spans="15:29" x14ac:dyDescent="0.25">
      <c r="O12486" s="42"/>
      <c r="R12486" s="42"/>
      <c r="AC12486" s="42"/>
    </row>
    <row r="12487" spans="15:29" x14ac:dyDescent="0.25">
      <c r="O12487" s="42"/>
      <c r="R12487" s="42"/>
      <c r="AC12487" s="42"/>
    </row>
    <row r="12488" spans="15:29" x14ac:dyDescent="0.25">
      <c r="O12488" s="42"/>
      <c r="R12488" s="42"/>
      <c r="AC12488" s="42"/>
    </row>
    <row r="12489" spans="15:29" x14ac:dyDescent="0.25">
      <c r="O12489" s="42"/>
      <c r="R12489" s="42"/>
      <c r="AC12489" s="42"/>
    </row>
    <row r="12490" spans="15:29" x14ac:dyDescent="0.25">
      <c r="O12490" s="42"/>
      <c r="R12490" s="42"/>
      <c r="AC12490" s="42"/>
    </row>
    <row r="12491" spans="15:29" x14ac:dyDescent="0.25">
      <c r="O12491" s="42"/>
      <c r="R12491" s="42"/>
      <c r="AC12491" s="42"/>
    </row>
    <row r="12492" spans="15:29" x14ac:dyDescent="0.25">
      <c r="O12492" s="42"/>
      <c r="R12492" s="42"/>
      <c r="AC12492" s="42"/>
    </row>
    <row r="12493" spans="15:29" x14ac:dyDescent="0.25">
      <c r="O12493" s="42"/>
      <c r="R12493" s="42"/>
      <c r="AC12493" s="42"/>
    </row>
    <row r="12494" spans="15:29" x14ac:dyDescent="0.25">
      <c r="O12494" s="42"/>
      <c r="R12494" s="42"/>
      <c r="AC12494" s="42"/>
    </row>
    <row r="12495" spans="15:29" x14ac:dyDescent="0.25">
      <c r="O12495" s="42"/>
      <c r="R12495" s="42"/>
      <c r="AC12495" s="42"/>
    </row>
    <row r="12496" spans="15:29" x14ac:dyDescent="0.25">
      <c r="O12496" s="42"/>
      <c r="R12496" s="42"/>
      <c r="AC12496" s="42"/>
    </row>
    <row r="12497" spans="15:29" x14ac:dyDescent="0.25">
      <c r="O12497" s="42"/>
      <c r="R12497" s="42"/>
      <c r="AC12497" s="42"/>
    </row>
    <row r="12498" spans="15:29" x14ac:dyDescent="0.25">
      <c r="O12498" s="42"/>
      <c r="R12498" s="42"/>
      <c r="AC12498" s="42"/>
    </row>
    <row r="12499" spans="15:29" x14ac:dyDescent="0.25">
      <c r="O12499" s="42"/>
      <c r="R12499" s="42"/>
      <c r="AC12499" s="42"/>
    </row>
    <row r="12500" spans="15:29" x14ac:dyDescent="0.25">
      <c r="O12500" s="42"/>
      <c r="R12500" s="42"/>
      <c r="AC12500" s="42"/>
    </row>
    <row r="12501" spans="15:29" x14ac:dyDescent="0.25">
      <c r="O12501" s="42"/>
      <c r="R12501" s="42"/>
      <c r="AC12501" s="42"/>
    </row>
    <row r="12502" spans="15:29" x14ac:dyDescent="0.25">
      <c r="O12502" s="42"/>
      <c r="R12502" s="42"/>
      <c r="AC12502" s="42"/>
    </row>
    <row r="12503" spans="15:29" x14ac:dyDescent="0.25">
      <c r="O12503" s="42"/>
      <c r="R12503" s="42"/>
      <c r="AC12503" s="42"/>
    </row>
    <row r="12504" spans="15:29" x14ac:dyDescent="0.25">
      <c r="O12504" s="42"/>
      <c r="R12504" s="42"/>
      <c r="AC12504" s="42"/>
    </row>
    <row r="12505" spans="15:29" x14ac:dyDescent="0.25">
      <c r="O12505" s="42"/>
      <c r="R12505" s="42"/>
      <c r="AC12505" s="42"/>
    </row>
    <row r="12506" spans="15:29" x14ac:dyDescent="0.25">
      <c r="O12506" s="42"/>
      <c r="R12506" s="42"/>
      <c r="AC12506" s="42"/>
    </row>
    <row r="12507" spans="15:29" x14ac:dyDescent="0.25">
      <c r="O12507" s="42"/>
      <c r="R12507" s="42"/>
      <c r="AC12507" s="42"/>
    </row>
    <row r="12508" spans="15:29" x14ac:dyDescent="0.25">
      <c r="O12508" s="42"/>
      <c r="R12508" s="42"/>
      <c r="AC12508" s="42"/>
    </row>
    <row r="12509" spans="15:29" x14ac:dyDescent="0.25">
      <c r="O12509" s="42"/>
      <c r="R12509" s="42"/>
      <c r="AC12509" s="42"/>
    </row>
    <row r="12510" spans="15:29" x14ac:dyDescent="0.25">
      <c r="O12510" s="42"/>
      <c r="R12510" s="42"/>
      <c r="AC12510" s="42"/>
    </row>
    <row r="12511" spans="15:29" x14ac:dyDescent="0.25">
      <c r="O12511" s="42"/>
      <c r="R12511" s="42"/>
      <c r="AC12511" s="42"/>
    </row>
    <row r="12512" spans="15:29" x14ac:dyDescent="0.25">
      <c r="O12512" s="42"/>
      <c r="R12512" s="42"/>
      <c r="AC12512" s="42"/>
    </row>
    <row r="12513" spans="15:29" x14ac:dyDescent="0.25">
      <c r="O12513" s="42"/>
      <c r="R12513" s="42"/>
      <c r="AC12513" s="42"/>
    </row>
    <row r="12514" spans="15:29" x14ac:dyDescent="0.25">
      <c r="O12514" s="42"/>
      <c r="R12514" s="42"/>
      <c r="AC12514" s="42"/>
    </row>
    <row r="12515" spans="15:29" x14ac:dyDescent="0.25">
      <c r="O12515" s="42"/>
      <c r="R12515" s="42"/>
      <c r="AC12515" s="42"/>
    </row>
    <row r="12516" spans="15:29" x14ac:dyDescent="0.25">
      <c r="O12516" s="42"/>
      <c r="R12516" s="42"/>
      <c r="AC12516" s="42"/>
    </row>
    <row r="12517" spans="15:29" x14ac:dyDescent="0.25">
      <c r="O12517" s="42"/>
      <c r="R12517" s="42"/>
      <c r="AC12517" s="42"/>
    </row>
    <row r="12518" spans="15:29" x14ac:dyDescent="0.25">
      <c r="O12518" s="42"/>
      <c r="R12518" s="42"/>
      <c r="AC12518" s="42"/>
    </row>
    <row r="12519" spans="15:29" x14ac:dyDescent="0.25">
      <c r="O12519" s="42"/>
      <c r="R12519" s="42"/>
      <c r="AC12519" s="42"/>
    </row>
    <row r="12520" spans="15:29" x14ac:dyDescent="0.25">
      <c r="O12520" s="42"/>
      <c r="R12520" s="42"/>
      <c r="AC12520" s="42"/>
    </row>
    <row r="12521" spans="15:29" x14ac:dyDescent="0.25">
      <c r="O12521" s="42"/>
      <c r="R12521" s="42"/>
      <c r="AC12521" s="42"/>
    </row>
    <row r="12522" spans="15:29" x14ac:dyDescent="0.25">
      <c r="O12522" s="42"/>
      <c r="R12522" s="42"/>
      <c r="AC12522" s="42"/>
    </row>
    <row r="12523" spans="15:29" x14ac:dyDescent="0.25">
      <c r="O12523" s="42"/>
      <c r="R12523" s="42"/>
      <c r="AC12523" s="42"/>
    </row>
    <row r="12524" spans="15:29" x14ac:dyDescent="0.25">
      <c r="O12524" s="42"/>
      <c r="R12524" s="42"/>
      <c r="AC12524" s="42"/>
    </row>
    <row r="12525" spans="15:29" x14ac:dyDescent="0.25">
      <c r="O12525" s="42"/>
      <c r="R12525" s="42"/>
      <c r="AC12525" s="42"/>
    </row>
    <row r="12526" spans="15:29" x14ac:dyDescent="0.25">
      <c r="O12526" s="42"/>
      <c r="R12526" s="42"/>
      <c r="AC12526" s="42"/>
    </row>
    <row r="12527" spans="15:29" x14ac:dyDescent="0.25">
      <c r="O12527" s="42"/>
      <c r="R12527" s="42"/>
      <c r="AC12527" s="42"/>
    </row>
    <row r="12528" spans="15:29" x14ac:dyDescent="0.25">
      <c r="O12528" s="42"/>
      <c r="R12528" s="42"/>
      <c r="AC12528" s="42"/>
    </row>
    <row r="12529" spans="15:29" x14ac:dyDescent="0.25">
      <c r="O12529" s="42"/>
      <c r="R12529" s="42"/>
      <c r="AC12529" s="42"/>
    </row>
    <row r="12530" spans="15:29" x14ac:dyDescent="0.25">
      <c r="O12530" s="42"/>
      <c r="R12530" s="42"/>
      <c r="AC12530" s="42"/>
    </row>
    <row r="12531" spans="15:29" x14ac:dyDescent="0.25">
      <c r="O12531" s="42"/>
      <c r="R12531" s="42"/>
      <c r="AC12531" s="42"/>
    </row>
    <row r="12532" spans="15:29" x14ac:dyDescent="0.25">
      <c r="O12532" s="42"/>
      <c r="R12532" s="42"/>
      <c r="AC12532" s="42"/>
    </row>
    <row r="12533" spans="15:29" x14ac:dyDescent="0.25">
      <c r="O12533" s="42"/>
      <c r="R12533" s="42"/>
      <c r="AC12533" s="42"/>
    </row>
    <row r="12534" spans="15:29" x14ac:dyDescent="0.25">
      <c r="O12534" s="42"/>
      <c r="R12534" s="42"/>
      <c r="AC12534" s="42"/>
    </row>
    <row r="12535" spans="15:29" x14ac:dyDescent="0.25">
      <c r="O12535" s="42"/>
      <c r="R12535" s="42"/>
      <c r="AC12535" s="42"/>
    </row>
    <row r="12536" spans="15:29" x14ac:dyDescent="0.25">
      <c r="O12536" s="42"/>
      <c r="R12536" s="42"/>
      <c r="AC12536" s="42"/>
    </row>
    <row r="12537" spans="15:29" x14ac:dyDescent="0.25">
      <c r="O12537" s="42"/>
      <c r="R12537" s="42"/>
      <c r="AC12537" s="42"/>
    </row>
    <row r="12538" spans="15:29" x14ac:dyDescent="0.25">
      <c r="O12538" s="42"/>
      <c r="R12538" s="42"/>
      <c r="AC12538" s="42"/>
    </row>
    <row r="12539" spans="15:29" x14ac:dyDescent="0.25">
      <c r="O12539" s="42"/>
      <c r="R12539" s="42"/>
      <c r="AC12539" s="42"/>
    </row>
    <row r="12540" spans="15:29" x14ac:dyDescent="0.25">
      <c r="O12540" s="42"/>
      <c r="R12540" s="42"/>
      <c r="AC12540" s="42"/>
    </row>
    <row r="12541" spans="15:29" x14ac:dyDescent="0.25">
      <c r="O12541" s="42"/>
      <c r="R12541" s="42"/>
      <c r="AC12541" s="42"/>
    </row>
    <row r="12542" spans="15:29" x14ac:dyDescent="0.25">
      <c r="O12542" s="42"/>
      <c r="R12542" s="42"/>
      <c r="AC12542" s="42"/>
    </row>
    <row r="12543" spans="15:29" x14ac:dyDescent="0.25">
      <c r="O12543" s="42"/>
      <c r="R12543" s="42"/>
      <c r="AC12543" s="42"/>
    </row>
    <row r="12544" spans="15:29" x14ac:dyDescent="0.25">
      <c r="O12544" s="42"/>
      <c r="R12544" s="42"/>
      <c r="AC12544" s="42"/>
    </row>
    <row r="12545" spans="15:29" x14ac:dyDescent="0.25">
      <c r="O12545" s="42"/>
      <c r="R12545" s="42"/>
      <c r="AC12545" s="42"/>
    </row>
    <row r="12546" spans="15:29" x14ac:dyDescent="0.25">
      <c r="O12546" s="42"/>
      <c r="R12546" s="42"/>
      <c r="AC12546" s="42"/>
    </row>
    <row r="12547" spans="15:29" x14ac:dyDescent="0.25">
      <c r="O12547" s="42"/>
      <c r="R12547" s="42"/>
      <c r="AC12547" s="42"/>
    </row>
    <row r="12548" spans="15:29" x14ac:dyDescent="0.25">
      <c r="O12548" s="42"/>
      <c r="R12548" s="42"/>
      <c r="AC12548" s="42"/>
    </row>
    <row r="12549" spans="15:29" x14ac:dyDescent="0.25">
      <c r="O12549" s="42"/>
      <c r="R12549" s="42"/>
      <c r="AC12549" s="42"/>
    </row>
    <row r="12550" spans="15:29" x14ac:dyDescent="0.25">
      <c r="O12550" s="42"/>
      <c r="R12550" s="42"/>
      <c r="AC12550" s="42"/>
    </row>
    <row r="12551" spans="15:29" x14ac:dyDescent="0.25">
      <c r="O12551" s="42"/>
      <c r="R12551" s="42"/>
      <c r="AC12551" s="42"/>
    </row>
    <row r="12552" spans="15:29" x14ac:dyDescent="0.25">
      <c r="O12552" s="42"/>
      <c r="R12552" s="42"/>
      <c r="AC12552" s="42"/>
    </row>
    <row r="12553" spans="15:29" x14ac:dyDescent="0.25">
      <c r="O12553" s="42"/>
      <c r="R12553" s="42"/>
      <c r="AC12553" s="42"/>
    </row>
    <row r="12554" spans="15:29" x14ac:dyDescent="0.25">
      <c r="O12554" s="42"/>
      <c r="R12554" s="42"/>
      <c r="AC12554" s="42"/>
    </row>
    <row r="12555" spans="15:29" x14ac:dyDescent="0.25">
      <c r="O12555" s="42"/>
      <c r="R12555" s="42"/>
      <c r="AC12555" s="42"/>
    </row>
    <row r="12556" spans="15:29" x14ac:dyDescent="0.25">
      <c r="O12556" s="42"/>
      <c r="R12556" s="42"/>
      <c r="AC12556" s="42"/>
    </row>
    <row r="12557" spans="15:29" x14ac:dyDescent="0.25">
      <c r="O12557" s="42"/>
      <c r="R12557" s="42"/>
      <c r="AC12557" s="42"/>
    </row>
    <row r="12558" spans="15:29" x14ac:dyDescent="0.25">
      <c r="O12558" s="42"/>
      <c r="R12558" s="42"/>
      <c r="AC12558" s="42"/>
    </row>
    <row r="12559" spans="15:29" x14ac:dyDescent="0.25">
      <c r="O12559" s="42"/>
      <c r="R12559" s="42"/>
      <c r="AC12559" s="42"/>
    </row>
    <row r="12560" spans="15:29" x14ac:dyDescent="0.25">
      <c r="O12560" s="42"/>
      <c r="R12560" s="42"/>
      <c r="AC12560" s="42"/>
    </row>
    <row r="12561" spans="15:29" x14ac:dyDescent="0.25">
      <c r="O12561" s="42"/>
      <c r="R12561" s="42"/>
      <c r="AC12561" s="42"/>
    </row>
    <row r="12562" spans="15:29" x14ac:dyDescent="0.25">
      <c r="O12562" s="42"/>
      <c r="R12562" s="42"/>
      <c r="AC12562" s="42"/>
    </row>
    <row r="12563" spans="15:29" x14ac:dyDescent="0.25">
      <c r="O12563" s="42"/>
      <c r="R12563" s="42"/>
      <c r="AC12563" s="42"/>
    </row>
    <row r="12564" spans="15:29" x14ac:dyDescent="0.25">
      <c r="O12564" s="42"/>
      <c r="R12564" s="42"/>
      <c r="AC12564" s="42"/>
    </row>
    <row r="12565" spans="15:29" x14ac:dyDescent="0.25">
      <c r="O12565" s="42"/>
      <c r="R12565" s="42"/>
      <c r="AC12565" s="42"/>
    </row>
    <row r="12566" spans="15:29" x14ac:dyDescent="0.25">
      <c r="O12566" s="42"/>
      <c r="R12566" s="42"/>
      <c r="AC12566" s="42"/>
    </row>
    <row r="12567" spans="15:29" x14ac:dyDescent="0.25">
      <c r="O12567" s="42"/>
      <c r="R12567" s="42"/>
      <c r="AC12567" s="42"/>
    </row>
    <row r="12568" spans="15:29" x14ac:dyDescent="0.25">
      <c r="O12568" s="42"/>
      <c r="R12568" s="42"/>
      <c r="AC12568" s="42"/>
    </row>
    <row r="12569" spans="15:29" x14ac:dyDescent="0.25">
      <c r="O12569" s="42"/>
      <c r="R12569" s="42"/>
      <c r="AC12569" s="42"/>
    </row>
    <row r="12570" spans="15:29" x14ac:dyDescent="0.25">
      <c r="O12570" s="42"/>
      <c r="R12570" s="42"/>
      <c r="AC12570" s="42"/>
    </row>
    <row r="12571" spans="15:29" x14ac:dyDescent="0.25">
      <c r="O12571" s="42"/>
      <c r="R12571" s="42"/>
      <c r="AC12571" s="42"/>
    </row>
    <row r="12572" spans="15:29" x14ac:dyDescent="0.25">
      <c r="O12572" s="42"/>
      <c r="R12572" s="42"/>
      <c r="AC12572" s="42"/>
    </row>
    <row r="12573" spans="15:29" x14ac:dyDescent="0.25">
      <c r="O12573" s="42"/>
      <c r="R12573" s="42"/>
      <c r="AC12573" s="42"/>
    </row>
    <row r="12574" spans="15:29" x14ac:dyDescent="0.25">
      <c r="O12574" s="42"/>
      <c r="R12574" s="42"/>
      <c r="AC12574" s="42"/>
    </row>
    <row r="12575" spans="15:29" x14ac:dyDescent="0.25">
      <c r="O12575" s="42"/>
      <c r="R12575" s="42"/>
      <c r="AC12575" s="42"/>
    </row>
    <row r="12576" spans="15:29" x14ac:dyDescent="0.25">
      <c r="O12576" s="42"/>
      <c r="R12576" s="42"/>
      <c r="AC12576" s="42"/>
    </row>
    <row r="12577" spans="15:29" x14ac:dyDescent="0.25">
      <c r="O12577" s="42"/>
      <c r="R12577" s="42"/>
      <c r="AC12577" s="42"/>
    </row>
    <row r="12578" spans="15:29" x14ac:dyDescent="0.25">
      <c r="O12578" s="42"/>
      <c r="R12578" s="42"/>
      <c r="AC12578" s="42"/>
    </row>
    <row r="12579" spans="15:29" x14ac:dyDescent="0.25">
      <c r="O12579" s="42"/>
      <c r="R12579" s="42"/>
      <c r="AC12579" s="42"/>
    </row>
    <row r="12580" spans="15:29" x14ac:dyDescent="0.25">
      <c r="O12580" s="42"/>
      <c r="R12580" s="42"/>
      <c r="AC12580" s="42"/>
    </row>
    <row r="12581" spans="15:29" x14ac:dyDescent="0.25">
      <c r="O12581" s="42"/>
      <c r="R12581" s="42"/>
      <c r="AC12581" s="42"/>
    </row>
    <row r="12582" spans="15:29" x14ac:dyDescent="0.25">
      <c r="O12582" s="42"/>
      <c r="R12582" s="42"/>
      <c r="AC12582" s="42"/>
    </row>
    <row r="12583" spans="15:29" x14ac:dyDescent="0.25">
      <c r="O12583" s="42"/>
      <c r="R12583" s="42"/>
      <c r="AC12583" s="42"/>
    </row>
    <row r="12584" spans="15:29" x14ac:dyDescent="0.25">
      <c r="O12584" s="42"/>
      <c r="R12584" s="42"/>
      <c r="AC12584" s="42"/>
    </row>
    <row r="12585" spans="15:29" x14ac:dyDescent="0.25">
      <c r="O12585" s="42"/>
      <c r="R12585" s="42"/>
      <c r="AC12585" s="42"/>
    </row>
    <row r="12586" spans="15:29" x14ac:dyDescent="0.25">
      <c r="O12586" s="42"/>
      <c r="R12586" s="42"/>
      <c r="AC12586" s="42"/>
    </row>
    <row r="12587" spans="15:29" x14ac:dyDescent="0.25">
      <c r="O12587" s="42"/>
      <c r="R12587" s="42"/>
      <c r="AC12587" s="42"/>
    </row>
    <row r="12588" spans="15:29" x14ac:dyDescent="0.25">
      <c r="O12588" s="42"/>
      <c r="R12588" s="42"/>
      <c r="AC12588" s="42"/>
    </row>
    <row r="12589" spans="15:29" x14ac:dyDescent="0.25">
      <c r="O12589" s="42"/>
      <c r="R12589" s="42"/>
      <c r="AC12589" s="42"/>
    </row>
    <row r="12590" spans="15:29" x14ac:dyDescent="0.25">
      <c r="O12590" s="42"/>
      <c r="R12590" s="42"/>
      <c r="AC12590" s="42"/>
    </row>
    <row r="12591" spans="15:29" x14ac:dyDescent="0.25">
      <c r="O12591" s="42"/>
      <c r="R12591" s="42"/>
      <c r="AC12591" s="42"/>
    </row>
    <row r="12592" spans="15:29" x14ac:dyDescent="0.25">
      <c r="O12592" s="42"/>
      <c r="R12592" s="42"/>
      <c r="AC12592" s="42"/>
    </row>
    <row r="12593" spans="15:29" x14ac:dyDescent="0.25">
      <c r="O12593" s="42"/>
      <c r="R12593" s="42"/>
      <c r="AC12593" s="42"/>
    </row>
    <row r="12594" spans="15:29" x14ac:dyDescent="0.25">
      <c r="O12594" s="42"/>
      <c r="R12594" s="42"/>
      <c r="AC12594" s="42"/>
    </row>
    <row r="12595" spans="15:29" x14ac:dyDescent="0.25">
      <c r="O12595" s="42"/>
      <c r="R12595" s="42"/>
      <c r="AC12595" s="42"/>
    </row>
    <row r="12596" spans="15:29" x14ac:dyDescent="0.25">
      <c r="O12596" s="42"/>
      <c r="R12596" s="42"/>
      <c r="AC12596" s="42"/>
    </row>
    <row r="12597" spans="15:29" x14ac:dyDescent="0.25">
      <c r="O12597" s="42"/>
      <c r="R12597" s="42"/>
      <c r="AC12597" s="42"/>
    </row>
    <row r="12598" spans="15:29" x14ac:dyDescent="0.25">
      <c r="O12598" s="42"/>
      <c r="R12598" s="42"/>
      <c r="AC12598" s="42"/>
    </row>
    <row r="12599" spans="15:29" x14ac:dyDescent="0.25">
      <c r="O12599" s="42"/>
      <c r="R12599" s="42"/>
      <c r="AC12599" s="42"/>
    </row>
    <row r="12600" spans="15:29" x14ac:dyDescent="0.25">
      <c r="O12600" s="42"/>
      <c r="R12600" s="42"/>
      <c r="AC12600" s="42"/>
    </row>
    <row r="12601" spans="15:29" x14ac:dyDescent="0.25">
      <c r="O12601" s="42"/>
      <c r="R12601" s="42"/>
      <c r="AC12601" s="42"/>
    </row>
    <row r="12602" spans="15:29" x14ac:dyDescent="0.25">
      <c r="O12602" s="42"/>
      <c r="R12602" s="42"/>
      <c r="AC12602" s="42"/>
    </row>
    <row r="12603" spans="15:29" x14ac:dyDescent="0.25">
      <c r="O12603" s="42"/>
      <c r="R12603" s="42"/>
      <c r="AC12603" s="42"/>
    </row>
    <row r="12604" spans="15:29" x14ac:dyDescent="0.25">
      <c r="O12604" s="42"/>
      <c r="R12604" s="42"/>
      <c r="AC12604" s="42"/>
    </row>
    <row r="12605" spans="15:29" x14ac:dyDescent="0.25">
      <c r="O12605" s="42"/>
      <c r="R12605" s="42"/>
      <c r="AC12605" s="42"/>
    </row>
    <row r="12606" spans="15:29" x14ac:dyDescent="0.25">
      <c r="O12606" s="42"/>
      <c r="R12606" s="42"/>
      <c r="AC12606" s="42"/>
    </row>
    <row r="12607" spans="15:29" x14ac:dyDescent="0.25">
      <c r="O12607" s="42"/>
      <c r="R12607" s="42"/>
      <c r="AC12607" s="42"/>
    </row>
    <row r="12608" spans="15:29" x14ac:dyDescent="0.25">
      <c r="O12608" s="42"/>
      <c r="R12608" s="42"/>
      <c r="AC12608" s="42"/>
    </row>
    <row r="12609" spans="15:29" x14ac:dyDescent="0.25">
      <c r="O12609" s="42"/>
      <c r="R12609" s="42"/>
      <c r="AC12609" s="42"/>
    </row>
    <row r="12610" spans="15:29" x14ac:dyDescent="0.25">
      <c r="O12610" s="42"/>
      <c r="R12610" s="42"/>
      <c r="AC12610" s="42"/>
    </row>
    <row r="12611" spans="15:29" x14ac:dyDescent="0.25">
      <c r="O12611" s="42"/>
      <c r="R12611" s="42"/>
      <c r="AC12611" s="42"/>
    </row>
    <row r="12612" spans="15:29" x14ac:dyDescent="0.25">
      <c r="O12612" s="42"/>
      <c r="R12612" s="42"/>
      <c r="AC12612" s="42"/>
    </row>
    <row r="12613" spans="15:29" x14ac:dyDescent="0.25">
      <c r="O12613" s="42"/>
      <c r="R12613" s="42"/>
      <c r="AC12613" s="42"/>
    </row>
    <row r="12614" spans="15:29" x14ac:dyDescent="0.25">
      <c r="O12614" s="42"/>
      <c r="R12614" s="42"/>
      <c r="AC12614" s="42"/>
    </row>
    <row r="12615" spans="15:29" x14ac:dyDescent="0.25">
      <c r="O12615" s="42"/>
      <c r="R12615" s="42"/>
      <c r="AC12615" s="42"/>
    </row>
    <row r="12616" spans="15:29" x14ac:dyDescent="0.25">
      <c r="O12616" s="42"/>
      <c r="R12616" s="42"/>
      <c r="AC12616" s="42"/>
    </row>
    <row r="12617" spans="15:29" x14ac:dyDescent="0.25">
      <c r="O12617" s="42"/>
      <c r="R12617" s="42"/>
      <c r="AC12617" s="42"/>
    </row>
    <row r="12618" spans="15:29" x14ac:dyDescent="0.25">
      <c r="O12618" s="42"/>
      <c r="R12618" s="42"/>
      <c r="AC12618" s="42"/>
    </row>
    <row r="12619" spans="15:29" x14ac:dyDescent="0.25">
      <c r="O12619" s="42"/>
      <c r="R12619" s="42"/>
      <c r="AC12619" s="42"/>
    </row>
    <row r="12620" spans="15:29" x14ac:dyDescent="0.25">
      <c r="O12620" s="42"/>
      <c r="R12620" s="42"/>
      <c r="AC12620" s="42"/>
    </row>
    <row r="12621" spans="15:29" x14ac:dyDescent="0.25">
      <c r="O12621" s="42"/>
      <c r="R12621" s="42"/>
      <c r="AC12621" s="42"/>
    </row>
    <row r="12622" spans="15:29" x14ac:dyDescent="0.25">
      <c r="O12622" s="42"/>
      <c r="R12622" s="42"/>
      <c r="AC12622" s="42"/>
    </row>
    <row r="12623" spans="15:29" x14ac:dyDescent="0.25">
      <c r="O12623" s="42"/>
      <c r="R12623" s="42"/>
      <c r="AC12623" s="42"/>
    </row>
    <row r="12624" spans="15:29" x14ac:dyDescent="0.25">
      <c r="O12624" s="42"/>
      <c r="R12624" s="42"/>
      <c r="AC12624" s="42"/>
    </row>
    <row r="12625" spans="15:29" x14ac:dyDescent="0.25">
      <c r="O12625" s="42"/>
      <c r="R12625" s="42"/>
      <c r="AC12625" s="42"/>
    </row>
    <row r="12626" spans="15:29" x14ac:dyDescent="0.25">
      <c r="O12626" s="42"/>
      <c r="R12626" s="42"/>
      <c r="AC12626" s="42"/>
    </row>
    <row r="12627" spans="15:29" x14ac:dyDescent="0.25">
      <c r="O12627" s="42"/>
      <c r="R12627" s="42"/>
      <c r="AC12627" s="42"/>
    </row>
    <row r="12628" spans="15:29" x14ac:dyDescent="0.25">
      <c r="O12628" s="42"/>
      <c r="R12628" s="42"/>
      <c r="AC12628" s="42"/>
    </row>
    <row r="12629" spans="15:29" x14ac:dyDescent="0.25">
      <c r="O12629" s="42"/>
      <c r="R12629" s="42"/>
      <c r="AC12629" s="42"/>
    </row>
    <row r="12630" spans="15:29" x14ac:dyDescent="0.25">
      <c r="O12630" s="42"/>
      <c r="R12630" s="42"/>
      <c r="AC12630" s="42"/>
    </row>
    <row r="12631" spans="15:29" x14ac:dyDescent="0.25">
      <c r="O12631" s="42"/>
      <c r="R12631" s="42"/>
      <c r="AC12631" s="42"/>
    </row>
    <row r="12632" spans="15:29" x14ac:dyDescent="0.25">
      <c r="O12632" s="42"/>
      <c r="R12632" s="42"/>
      <c r="AC12632" s="42"/>
    </row>
    <row r="12633" spans="15:29" x14ac:dyDescent="0.25">
      <c r="O12633" s="42"/>
      <c r="R12633" s="42"/>
      <c r="AC12633" s="42"/>
    </row>
    <row r="12634" spans="15:29" x14ac:dyDescent="0.25">
      <c r="O12634" s="42"/>
      <c r="R12634" s="42"/>
      <c r="AC12634" s="42"/>
    </row>
    <row r="12635" spans="15:29" x14ac:dyDescent="0.25">
      <c r="O12635" s="42"/>
      <c r="R12635" s="42"/>
      <c r="AC12635" s="42"/>
    </row>
    <row r="12636" spans="15:29" x14ac:dyDescent="0.25">
      <c r="O12636" s="42"/>
      <c r="R12636" s="42"/>
      <c r="AC12636" s="42"/>
    </row>
    <row r="12637" spans="15:29" x14ac:dyDescent="0.25">
      <c r="O12637" s="42"/>
      <c r="R12637" s="42"/>
      <c r="AC12637" s="42"/>
    </row>
    <row r="12638" spans="15:29" x14ac:dyDescent="0.25">
      <c r="O12638" s="42"/>
      <c r="R12638" s="42"/>
      <c r="AC12638" s="42"/>
    </row>
    <row r="12639" spans="15:29" x14ac:dyDescent="0.25">
      <c r="O12639" s="42"/>
      <c r="R12639" s="42"/>
      <c r="AC12639" s="42"/>
    </row>
    <row r="12640" spans="15:29" x14ac:dyDescent="0.25">
      <c r="O12640" s="42"/>
      <c r="R12640" s="42"/>
      <c r="AC12640" s="42"/>
    </row>
    <row r="12641" spans="15:29" x14ac:dyDescent="0.25">
      <c r="O12641" s="42"/>
      <c r="R12641" s="42"/>
      <c r="AC12641" s="42"/>
    </row>
    <row r="12642" spans="15:29" x14ac:dyDescent="0.25">
      <c r="O12642" s="42"/>
      <c r="R12642" s="42"/>
      <c r="AC12642" s="42"/>
    </row>
    <row r="12643" spans="15:29" x14ac:dyDescent="0.25">
      <c r="O12643" s="42"/>
      <c r="R12643" s="42"/>
      <c r="AC12643" s="42"/>
    </row>
    <row r="12644" spans="15:29" x14ac:dyDescent="0.25">
      <c r="O12644" s="42"/>
      <c r="R12644" s="42"/>
      <c r="AC12644" s="42"/>
    </row>
    <row r="12645" spans="15:29" x14ac:dyDescent="0.25">
      <c r="O12645" s="42"/>
      <c r="R12645" s="42"/>
      <c r="AC12645" s="42"/>
    </row>
    <row r="12646" spans="15:29" x14ac:dyDescent="0.25">
      <c r="O12646" s="42"/>
      <c r="R12646" s="42"/>
      <c r="AC12646" s="42"/>
    </row>
    <row r="12647" spans="15:29" x14ac:dyDescent="0.25">
      <c r="O12647" s="42"/>
      <c r="R12647" s="42"/>
      <c r="AC12647" s="42"/>
    </row>
    <row r="12648" spans="15:29" x14ac:dyDescent="0.25">
      <c r="O12648" s="42"/>
      <c r="R12648" s="42"/>
      <c r="AC12648" s="42"/>
    </row>
    <row r="12649" spans="15:29" x14ac:dyDescent="0.25">
      <c r="O12649" s="42"/>
      <c r="R12649" s="42"/>
      <c r="AC12649" s="42"/>
    </row>
    <row r="12650" spans="15:29" x14ac:dyDescent="0.25">
      <c r="O12650" s="42"/>
      <c r="R12650" s="42"/>
      <c r="AC12650" s="42"/>
    </row>
    <row r="12651" spans="15:29" x14ac:dyDescent="0.25">
      <c r="O12651" s="42"/>
      <c r="R12651" s="42"/>
      <c r="AC12651" s="42"/>
    </row>
    <row r="12652" spans="15:29" x14ac:dyDescent="0.25">
      <c r="O12652" s="42"/>
      <c r="R12652" s="42"/>
      <c r="AC12652" s="42"/>
    </row>
    <row r="12653" spans="15:29" x14ac:dyDescent="0.25">
      <c r="O12653" s="42"/>
      <c r="R12653" s="42"/>
      <c r="AC12653" s="42"/>
    </row>
    <row r="12654" spans="15:29" x14ac:dyDescent="0.25">
      <c r="O12654" s="42"/>
      <c r="R12654" s="42"/>
      <c r="AC12654" s="42"/>
    </row>
    <row r="12655" spans="15:29" x14ac:dyDescent="0.25">
      <c r="O12655" s="42"/>
      <c r="R12655" s="42"/>
      <c r="AC12655" s="42"/>
    </row>
    <row r="12656" spans="15:29" x14ac:dyDescent="0.25">
      <c r="O12656" s="42"/>
      <c r="R12656" s="42"/>
      <c r="AC12656" s="42"/>
    </row>
    <row r="12657" spans="15:29" x14ac:dyDescent="0.25">
      <c r="O12657" s="42"/>
      <c r="R12657" s="42"/>
      <c r="AC12657" s="42"/>
    </row>
    <row r="12658" spans="15:29" x14ac:dyDescent="0.25">
      <c r="O12658" s="42"/>
      <c r="R12658" s="42"/>
      <c r="AC12658" s="42"/>
    </row>
    <row r="12659" spans="15:29" x14ac:dyDescent="0.25">
      <c r="O12659" s="42"/>
      <c r="R12659" s="42"/>
      <c r="AC12659" s="42"/>
    </row>
    <row r="12660" spans="15:29" x14ac:dyDescent="0.25">
      <c r="O12660" s="42"/>
      <c r="R12660" s="42"/>
      <c r="AC12660" s="42"/>
    </row>
    <row r="12661" spans="15:29" x14ac:dyDescent="0.25">
      <c r="O12661" s="42"/>
      <c r="R12661" s="42"/>
      <c r="AC12661" s="42"/>
    </row>
    <row r="12662" spans="15:29" x14ac:dyDescent="0.25">
      <c r="O12662" s="42"/>
      <c r="R12662" s="42"/>
      <c r="AC12662" s="42"/>
    </row>
    <row r="12663" spans="15:29" x14ac:dyDescent="0.25">
      <c r="O12663" s="42"/>
      <c r="R12663" s="42"/>
      <c r="AC12663" s="42"/>
    </row>
    <row r="12664" spans="15:29" x14ac:dyDescent="0.25">
      <c r="O12664" s="42"/>
      <c r="R12664" s="42"/>
      <c r="AC12664" s="42"/>
    </row>
    <row r="12665" spans="15:29" x14ac:dyDescent="0.25">
      <c r="O12665" s="42"/>
      <c r="R12665" s="42"/>
      <c r="AC12665" s="42"/>
    </row>
    <row r="12666" spans="15:29" x14ac:dyDescent="0.25">
      <c r="O12666" s="42"/>
      <c r="R12666" s="42"/>
      <c r="AC12666" s="42"/>
    </row>
    <row r="12667" spans="15:29" x14ac:dyDescent="0.25">
      <c r="O12667" s="42"/>
      <c r="R12667" s="42"/>
      <c r="AC12667" s="42"/>
    </row>
    <row r="12668" spans="15:29" x14ac:dyDescent="0.25">
      <c r="O12668" s="42"/>
      <c r="R12668" s="42"/>
      <c r="AC12668" s="42"/>
    </row>
    <row r="12669" spans="15:29" x14ac:dyDescent="0.25">
      <c r="O12669" s="42"/>
      <c r="R12669" s="42"/>
      <c r="AC12669" s="42"/>
    </row>
    <row r="12670" spans="15:29" x14ac:dyDescent="0.25">
      <c r="O12670" s="42"/>
      <c r="R12670" s="42"/>
      <c r="AC12670" s="42"/>
    </row>
    <row r="12671" spans="15:29" x14ac:dyDescent="0.25">
      <c r="O12671" s="42"/>
      <c r="R12671" s="42"/>
      <c r="AC12671" s="42"/>
    </row>
    <row r="12672" spans="15:29" x14ac:dyDescent="0.25">
      <c r="O12672" s="42"/>
      <c r="R12672" s="42"/>
      <c r="AC12672" s="42"/>
    </row>
    <row r="12673" spans="15:29" x14ac:dyDescent="0.25">
      <c r="O12673" s="42"/>
      <c r="R12673" s="42"/>
      <c r="AC12673" s="42"/>
    </row>
    <row r="12674" spans="15:29" x14ac:dyDescent="0.25">
      <c r="O12674" s="42"/>
      <c r="R12674" s="42"/>
      <c r="AC12674" s="42"/>
    </row>
    <row r="12675" spans="15:29" x14ac:dyDescent="0.25">
      <c r="O12675" s="42"/>
      <c r="R12675" s="42"/>
      <c r="AC12675" s="42"/>
    </row>
    <row r="12676" spans="15:29" x14ac:dyDescent="0.25">
      <c r="O12676" s="42"/>
      <c r="R12676" s="42"/>
      <c r="AC12676" s="42"/>
    </row>
    <row r="12677" spans="15:29" x14ac:dyDescent="0.25">
      <c r="O12677" s="42"/>
      <c r="R12677" s="42"/>
      <c r="AC12677" s="42"/>
    </row>
    <row r="12678" spans="15:29" x14ac:dyDescent="0.25">
      <c r="O12678" s="42"/>
      <c r="R12678" s="42"/>
      <c r="AC12678" s="42"/>
    </row>
    <row r="12679" spans="15:29" x14ac:dyDescent="0.25">
      <c r="O12679" s="42"/>
      <c r="R12679" s="42"/>
      <c r="AC12679" s="42"/>
    </row>
    <row r="12680" spans="15:29" x14ac:dyDescent="0.25">
      <c r="O12680" s="42"/>
      <c r="R12680" s="42"/>
      <c r="AC12680" s="42"/>
    </row>
    <row r="12681" spans="15:29" x14ac:dyDescent="0.25">
      <c r="O12681" s="42"/>
      <c r="R12681" s="42"/>
      <c r="AC12681" s="42"/>
    </row>
    <row r="12682" spans="15:29" x14ac:dyDescent="0.25">
      <c r="O12682" s="42"/>
      <c r="R12682" s="42"/>
      <c r="AC12682" s="42"/>
    </row>
    <row r="12683" spans="15:29" x14ac:dyDescent="0.25">
      <c r="O12683" s="42"/>
      <c r="R12683" s="42"/>
      <c r="AC12683" s="42"/>
    </row>
    <row r="12684" spans="15:29" x14ac:dyDescent="0.25">
      <c r="O12684" s="42"/>
      <c r="R12684" s="42"/>
      <c r="AC12684" s="42"/>
    </row>
    <row r="12685" spans="15:29" x14ac:dyDescent="0.25">
      <c r="O12685" s="42"/>
      <c r="R12685" s="42"/>
      <c r="AC12685" s="42"/>
    </row>
    <row r="12686" spans="15:29" x14ac:dyDescent="0.25">
      <c r="O12686" s="42"/>
      <c r="R12686" s="42"/>
      <c r="AC12686" s="42"/>
    </row>
    <row r="12687" spans="15:29" x14ac:dyDescent="0.25">
      <c r="O12687" s="42"/>
      <c r="R12687" s="42"/>
      <c r="AC12687" s="42"/>
    </row>
    <row r="12688" spans="15:29" x14ac:dyDescent="0.25">
      <c r="O12688" s="42"/>
      <c r="R12688" s="42"/>
      <c r="AC12688" s="42"/>
    </row>
    <row r="12689" spans="15:29" x14ac:dyDescent="0.25">
      <c r="O12689" s="42"/>
      <c r="R12689" s="42"/>
      <c r="AC12689" s="42"/>
    </row>
    <row r="12690" spans="15:29" x14ac:dyDescent="0.25">
      <c r="O12690" s="42"/>
      <c r="R12690" s="42"/>
      <c r="AC12690" s="42"/>
    </row>
    <row r="12691" spans="15:29" x14ac:dyDescent="0.25">
      <c r="O12691" s="42"/>
      <c r="R12691" s="42"/>
      <c r="AC12691" s="42"/>
    </row>
    <row r="12692" spans="15:29" x14ac:dyDescent="0.25">
      <c r="O12692" s="42"/>
      <c r="R12692" s="42"/>
      <c r="AC12692" s="42"/>
    </row>
    <row r="12693" spans="15:29" x14ac:dyDescent="0.25">
      <c r="O12693" s="42"/>
      <c r="R12693" s="42"/>
      <c r="AC12693" s="42"/>
    </row>
    <row r="12694" spans="15:29" x14ac:dyDescent="0.25">
      <c r="O12694" s="42"/>
      <c r="R12694" s="42"/>
      <c r="AC12694" s="42"/>
    </row>
    <row r="12695" spans="15:29" x14ac:dyDescent="0.25">
      <c r="O12695" s="42"/>
      <c r="R12695" s="42"/>
      <c r="AC12695" s="42"/>
    </row>
    <row r="12696" spans="15:29" x14ac:dyDescent="0.25">
      <c r="O12696" s="42"/>
      <c r="R12696" s="42"/>
      <c r="AC12696" s="42"/>
    </row>
    <row r="12697" spans="15:29" x14ac:dyDescent="0.25">
      <c r="O12697" s="42"/>
      <c r="R12697" s="42"/>
      <c r="AC12697" s="42"/>
    </row>
    <row r="12698" spans="15:29" x14ac:dyDescent="0.25">
      <c r="O12698" s="42"/>
      <c r="R12698" s="42"/>
      <c r="AC12698" s="42"/>
    </row>
    <row r="12699" spans="15:29" x14ac:dyDescent="0.25">
      <c r="O12699" s="42"/>
      <c r="R12699" s="42"/>
      <c r="AC12699" s="42"/>
    </row>
    <row r="12700" spans="15:29" x14ac:dyDescent="0.25">
      <c r="O12700" s="42"/>
      <c r="R12700" s="42"/>
      <c r="AC12700" s="42"/>
    </row>
    <row r="12701" spans="15:29" x14ac:dyDescent="0.25">
      <c r="O12701" s="42"/>
      <c r="R12701" s="42"/>
      <c r="AC12701" s="42"/>
    </row>
    <row r="12702" spans="15:29" x14ac:dyDescent="0.25">
      <c r="O12702" s="42"/>
      <c r="R12702" s="42"/>
      <c r="AC12702" s="42"/>
    </row>
    <row r="12703" spans="15:29" x14ac:dyDescent="0.25">
      <c r="O12703" s="42"/>
      <c r="R12703" s="42"/>
      <c r="AC12703" s="42"/>
    </row>
    <row r="12704" spans="15:29" x14ac:dyDescent="0.25">
      <c r="O12704" s="42"/>
      <c r="R12704" s="42"/>
      <c r="AC12704" s="42"/>
    </row>
    <row r="12705" spans="15:29" x14ac:dyDescent="0.25">
      <c r="O12705" s="42"/>
      <c r="R12705" s="42"/>
      <c r="AC12705" s="42"/>
    </row>
    <row r="12706" spans="15:29" x14ac:dyDescent="0.25">
      <c r="O12706" s="42"/>
      <c r="R12706" s="42"/>
      <c r="AC12706" s="42"/>
    </row>
    <row r="12707" spans="15:29" x14ac:dyDescent="0.25">
      <c r="O12707" s="42"/>
      <c r="R12707" s="42"/>
      <c r="AC12707" s="42"/>
    </row>
    <row r="12708" spans="15:29" x14ac:dyDescent="0.25">
      <c r="O12708" s="42"/>
      <c r="R12708" s="42"/>
      <c r="AC12708" s="42"/>
    </row>
    <row r="12709" spans="15:29" x14ac:dyDescent="0.25">
      <c r="O12709" s="42"/>
      <c r="R12709" s="42"/>
      <c r="AC12709" s="42"/>
    </row>
    <row r="12710" spans="15:29" x14ac:dyDescent="0.25">
      <c r="O12710" s="42"/>
      <c r="R12710" s="42"/>
      <c r="AC12710" s="42"/>
    </row>
    <row r="12711" spans="15:29" x14ac:dyDescent="0.25">
      <c r="O12711" s="42"/>
      <c r="R12711" s="42"/>
      <c r="AC12711" s="42"/>
    </row>
    <row r="12712" spans="15:29" x14ac:dyDescent="0.25">
      <c r="O12712" s="42"/>
      <c r="R12712" s="42"/>
      <c r="AC12712" s="42"/>
    </row>
    <row r="12713" spans="15:29" x14ac:dyDescent="0.25">
      <c r="O12713" s="42"/>
      <c r="R12713" s="42"/>
      <c r="AC12713" s="42"/>
    </row>
    <row r="12714" spans="15:29" x14ac:dyDescent="0.25">
      <c r="O12714" s="42"/>
      <c r="R12714" s="42"/>
      <c r="AC12714" s="42"/>
    </row>
    <row r="12715" spans="15:29" x14ac:dyDescent="0.25">
      <c r="O12715" s="42"/>
      <c r="R12715" s="42"/>
      <c r="AC12715" s="42"/>
    </row>
    <row r="12716" spans="15:29" x14ac:dyDescent="0.25">
      <c r="O12716" s="42"/>
      <c r="R12716" s="42"/>
      <c r="AC12716" s="42"/>
    </row>
    <row r="12717" spans="15:29" x14ac:dyDescent="0.25">
      <c r="O12717" s="42"/>
      <c r="R12717" s="42"/>
      <c r="AC12717" s="42"/>
    </row>
    <row r="12718" spans="15:29" x14ac:dyDescent="0.25">
      <c r="O12718" s="42"/>
      <c r="R12718" s="42"/>
      <c r="AC12718" s="42"/>
    </row>
    <row r="12719" spans="15:29" x14ac:dyDescent="0.25">
      <c r="O12719" s="42"/>
      <c r="R12719" s="42"/>
      <c r="AC12719" s="42"/>
    </row>
    <row r="12720" spans="15:29" x14ac:dyDescent="0.25">
      <c r="O12720" s="42"/>
      <c r="R12720" s="42"/>
      <c r="AC12720" s="42"/>
    </row>
    <row r="12721" spans="15:29" x14ac:dyDescent="0.25">
      <c r="O12721" s="42"/>
      <c r="R12721" s="42"/>
      <c r="AC12721" s="42"/>
    </row>
    <row r="12722" spans="15:29" x14ac:dyDescent="0.25">
      <c r="O12722" s="42"/>
      <c r="R12722" s="42"/>
      <c r="AC12722" s="42"/>
    </row>
    <row r="12723" spans="15:29" x14ac:dyDescent="0.25">
      <c r="O12723" s="42"/>
      <c r="R12723" s="42"/>
      <c r="AC12723" s="42"/>
    </row>
    <row r="12724" spans="15:29" x14ac:dyDescent="0.25">
      <c r="O12724" s="42"/>
      <c r="R12724" s="42"/>
      <c r="AC12724" s="42"/>
    </row>
    <row r="12725" spans="15:29" x14ac:dyDescent="0.25">
      <c r="O12725" s="42"/>
      <c r="R12725" s="42"/>
      <c r="AC12725" s="42"/>
    </row>
    <row r="12726" spans="15:29" x14ac:dyDescent="0.25">
      <c r="O12726" s="42"/>
      <c r="R12726" s="42"/>
      <c r="AC12726" s="42"/>
    </row>
    <row r="12727" spans="15:29" x14ac:dyDescent="0.25">
      <c r="O12727" s="42"/>
      <c r="R12727" s="42"/>
      <c r="AC12727" s="42"/>
    </row>
    <row r="12728" spans="15:29" x14ac:dyDescent="0.25">
      <c r="O12728" s="42"/>
      <c r="R12728" s="42"/>
      <c r="AC12728" s="42"/>
    </row>
    <row r="12729" spans="15:29" x14ac:dyDescent="0.25">
      <c r="O12729" s="42"/>
      <c r="R12729" s="42"/>
      <c r="AC12729" s="42"/>
    </row>
    <row r="12730" spans="15:29" x14ac:dyDescent="0.25">
      <c r="O12730" s="42"/>
      <c r="R12730" s="42"/>
      <c r="AC12730" s="42"/>
    </row>
    <row r="12731" spans="15:29" x14ac:dyDescent="0.25">
      <c r="O12731" s="42"/>
      <c r="R12731" s="42"/>
      <c r="AC12731" s="42"/>
    </row>
    <row r="12732" spans="15:29" x14ac:dyDescent="0.25">
      <c r="O12732" s="42"/>
      <c r="R12732" s="42"/>
      <c r="AC12732" s="42"/>
    </row>
    <row r="12733" spans="15:29" x14ac:dyDescent="0.25">
      <c r="O12733" s="42"/>
      <c r="R12733" s="42"/>
      <c r="AC12733" s="42"/>
    </row>
    <row r="12734" spans="15:29" x14ac:dyDescent="0.25">
      <c r="O12734" s="42"/>
      <c r="R12734" s="42"/>
      <c r="AC12734" s="42"/>
    </row>
    <row r="12735" spans="15:29" x14ac:dyDescent="0.25">
      <c r="O12735" s="42"/>
      <c r="R12735" s="42"/>
      <c r="AC12735" s="42"/>
    </row>
    <row r="12736" spans="15:29" x14ac:dyDescent="0.25">
      <c r="O12736" s="42"/>
      <c r="R12736" s="42"/>
      <c r="AC12736" s="42"/>
    </row>
    <row r="12737" spans="15:29" x14ac:dyDescent="0.25">
      <c r="O12737" s="42"/>
      <c r="R12737" s="42"/>
      <c r="AC12737" s="42"/>
    </row>
    <row r="12738" spans="15:29" x14ac:dyDescent="0.25">
      <c r="O12738" s="42"/>
      <c r="R12738" s="42"/>
      <c r="AC12738" s="42"/>
    </row>
    <row r="12739" spans="15:29" x14ac:dyDescent="0.25">
      <c r="O12739" s="42"/>
      <c r="R12739" s="42"/>
      <c r="AC12739" s="42"/>
    </row>
    <row r="12740" spans="15:29" x14ac:dyDescent="0.25">
      <c r="O12740" s="42"/>
      <c r="R12740" s="42"/>
      <c r="AC12740" s="42"/>
    </row>
    <row r="12741" spans="15:29" x14ac:dyDescent="0.25">
      <c r="O12741" s="42"/>
      <c r="R12741" s="42"/>
      <c r="AC12741" s="42"/>
    </row>
    <row r="12742" spans="15:29" x14ac:dyDescent="0.25">
      <c r="O12742" s="42"/>
      <c r="R12742" s="42"/>
      <c r="AC12742" s="42"/>
    </row>
    <row r="12743" spans="15:29" x14ac:dyDescent="0.25">
      <c r="O12743" s="42"/>
      <c r="R12743" s="42"/>
      <c r="AC12743" s="42"/>
    </row>
    <row r="12744" spans="15:29" x14ac:dyDescent="0.25">
      <c r="O12744" s="42"/>
      <c r="R12744" s="42"/>
      <c r="AC12744" s="42"/>
    </row>
    <row r="12745" spans="15:29" x14ac:dyDescent="0.25">
      <c r="O12745" s="42"/>
      <c r="R12745" s="42"/>
      <c r="AC12745" s="42"/>
    </row>
    <row r="12746" spans="15:29" x14ac:dyDescent="0.25">
      <c r="O12746" s="42"/>
      <c r="R12746" s="42"/>
      <c r="AC12746" s="42"/>
    </row>
    <row r="12747" spans="15:29" x14ac:dyDescent="0.25">
      <c r="O12747" s="42"/>
      <c r="R12747" s="42"/>
      <c r="AC12747" s="42"/>
    </row>
    <row r="12748" spans="15:29" x14ac:dyDescent="0.25">
      <c r="O12748" s="42"/>
      <c r="R12748" s="42"/>
      <c r="AC12748" s="42"/>
    </row>
    <row r="12749" spans="15:29" x14ac:dyDescent="0.25">
      <c r="O12749" s="42"/>
      <c r="R12749" s="42"/>
      <c r="AC12749" s="42"/>
    </row>
    <row r="12750" spans="15:29" x14ac:dyDescent="0.25">
      <c r="O12750" s="42"/>
      <c r="R12750" s="42"/>
      <c r="AC12750" s="42"/>
    </row>
    <row r="12751" spans="15:29" x14ac:dyDescent="0.25">
      <c r="O12751" s="42"/>
      <c r="R12751" s="42"/>
      <c r="AC12751" s="42"/>
    </row>
    <row r="12752" spans="15:29" x14ac:dyDescent="0.25">
      <c r="O12752" s="42"/>
      <c r="R12752" s="42"/>
      <c r="AC12752" s="42"/>
    </row>
    <row r="12753" spans="15:29" x14ac:dyDescent="0.25">
      <c r="O12753" s="42"/>
      <c r="R12753" s="42"/>
      <c r="AC12753" s="42"/>
    </row>
    <row r="12754" spans="15:29" x14ac:dyDescent="0.25">
      <c r="O12754" s="42"/>
      <c r="R12754" s="42"/>
      <c r="AC12754" s="42"/>
    </row>
    <row r="12755" spans="15:29" x14ac:dyDescent="0.25">
      <c r="O12755" s="42"/>
      <c r="R12755" s="42"/>
      <c r="AC12755" s="42"/>
    </row>
    <row r="12756" spans="15:29" x14ac:dyDescent="0.25">
      <c r="O12756" s="42"/>
      <c r="R12756" s="42"/>
      <c r="AC12756" s="42"/>
    </row>
    <row r="12757" spans="15:29" x14ac:dyDescent="0.25">
      <c r="O12757" s="42"/>
      <c r="R12757" s="42"/>
      <c r="AC12757" s="42"/>
    </row>
    <row r="12758" spans="15:29" x14ac:dyDescent="0.25">
      <c r="O12758" s="42"/>
      <c r="R12758" s="42"/>
      <c r="AC12758" s="42"/>
    </row>
    <row r="12759" spans="15:29" x14ac:dyDescent="0.25">
      <c r="O12759" s="42"/>
      <c r="R12759" s="42"/>
      <c r="AC12759" s="42"/>
    </row>
    <row r="12760" spans="15:29" x14ac:dyDescent="0.25">
      <c r="O12760" s="42"/>
      <c r="R12760" s="42"/>
      <c r="AC12760" s="42"/>
    </row>
    <row r="12761" spans="15:29" x14ac:dyDescent="0.25">
      <c r="O12761" s="42"/>
      <c r="R12761" s="42"/>
      <c r="AC12761" s="42"/>
    </row>
    <row r="12762" spans="15:29" x14ac:dyDescent="0.25">
      <c r="O12762" s="42"/>
      <c r="R12762" s="42"/>
      <c r="AC12762" s="42"/>
    </row>
    <row r="12763" spans="15:29" x14ac:dyDescent="0.25">
      <c r="O12763" s="42"/>
      <c r="R12763" s="42"/>
      <c r="AC12763" s="42"/>
    </row>
    <row r="12764" spans="15:29" x14ac:dyDescent="0.25">
      <c r="O12764" s="42"/>
      <c r="R12764" s="42"/>
      <c r="AC12764" s="42"/>
    </row>
    <row r="12765" spans="15:29" x14ac:dyDescent="0.25">
      <c r="O12765" s="42"/>
      <c r="R12765" s="42"/>
      <c r="AC12765" s="42"/>
    </row>
    <row r="12766" spans="15:29" x14ac:dyDescent="0.25">
      <c r="O12766" s="42"/>
      <c r="R12766" s="42"/>
      <c r="AC12766" s="42"/>
    </row>
    <row r="12767" spans="15:29" x14ac:dyDescent="0.25">
      <c r="O12767" s="42"/>
      <c r="R12767" s="42"/>
      <c r="AC12767" s="42"/>
    </row>
    <row r="12768" spans="15:29" x14ac:dyDescent="0.25">
      <c r="O12768" s="42"/>
      <c r="R12768" s="42"/>
      <c r="AC12768" s="42"/>
    </row>
    <row r="12769" spans="15:29" x14ac:dyDescent="0.25">
      <c r="O12769" s="42"/>
      <c r="R12769" s="42"/>
      <c r="AC12769" s="42"/>
    </row>
    <row r="12770" spans="15:29" x14ac:dyDescent="0.25">
      <c r="O12770" s="42"/>
      <c r="R12770" s="42"/>
      <c r="AC12770" s="42"/>
    </row>
    <row r="12771" spans="15:29" x14ac:dyDescent="0.25">
      <c r="O12771" s="42"/>
      <c r="R12771" s="42"/>
      <c r="AC12771" s="42"/>
    </row>
    <row r="12772" spans="15:29" x14ac:dyDescent="0.25">
      <c r="O12772" s="42"/>
      <c r="R12772" s="42"/>
      <c r="AC12772" s="42"/>
    </row>
    <row r="12773" spans="15:29" x14ac:dyDescent="0.25">
      <c r="O12773" s="42"/>
      <c r="R12773" s="42"/>
      <c r="AC12773" s="42"/>
    </row>
    <row r="12774" spans="15:29" x14ac:dyDescent="0.25">
      <c r="O12774" s="42"/>
      <c r="R12774" s="42"/>
      <c r="AC12774" s="42"/>
    </row>
    <row r="12775" spans="15:29" x14ac:dyDescent="0.25">
      <c r="O12775" s="42"/>
      <c r="R12775" s="42"/>
      <c r="AC12775" s="42"/>
    </row>
    <row r="12776" spans="15:29" x14ac:dyDescent="0.25">
      <c r="O12776" s="42"/>
      <c r="R12776" s="42"/>
      <c r="AC12776" s="42"/>
    </row>
    <row r="12777" spans="15:29" x14ac:dyDescent="0.25">
      <c r="O12777" s="42"/>
      <c r="R12777" s="42"/>
      <c r="AC12777" s="42"/>
    </row>
    <row r="12778" spans="15:29" x14ac:dyDescent="0.25">
      <c r="O12778" s="42"/>
      <c r="R12778" s="42"/>
      <c r="AC12778" s="42"/>
    </row>
    <row r="12779" spans="15:29" x14ac:dyDescent="0.25">
      <c r="O12779" s="42"/>
      <c r="R12779" s="42"/>
      <c r="AC12779" s="42"/>
    </row>
    <row r="12780" spans="15:29" x14ac:dyDescent="0.25">
      <c r="O12780" s="42"/>
      <c r="R12780" s="42"/>
      <c r="AC12780" s="42"/>
    </row>
    <row r="12781" spans="15:29" x14ac:dyDescent="0.25">
      <c r="O12781" s="42"/>
      <c r="R12781" s="42"/>
      <c r="AC12781" s="42"/>
    </row>
    <row r="12782" spans="15:29" x14ac:dyDescent="0.25">
      <c r="O12782" s="42"/>
      <c r="R12782" s="42"/>
      <c r="AC12782" s="42"/>
    </row>
    <row r="12783" spans="15:29" x14ac:dyDescent="0.25">
      <c r="O12783" s="42"/>
      <c r="R12783" s="42"/>
      <c r="AC12783" s="42"/>
    </row>
    <row r="12784" spans="15:29" x14ac:dyDescent="0.25">
      <c r="O12784" s="42"/>
      <c r="R12784" s="42"/>
      <c r="AC12784" s="42"/>
    </row>
    <row r="12785" spans="15:29" x14ac:dyDescent="0.25">
      <c r="O12785" s="42"/>
      <c r="R12785" s="42"/>
      <c r="AC12785" s="42"/>
    </row>
    <row r="12786" spans="15:29" x14ac:dyDescent="0.25">
      <c r="O12786" s="42"/>
      <c r="R12786" s="42"/>
      <c r="AC12786" s="42"/>
    </row>
    <row r="12787" spans="15:29" x14ac:dyDescent="0.25">
      <c r="O12787" s="42"/>
      <c r="R12787" s="42"/>
      <c r="AC12787" s="42"/>
    </row>
    <row r="12788" spans="15:29" x14ac:dyDescent="0.25">
      <c r="O12788" s="42"/>
      <c r="R12788" s="42"/>
      <c r="AC12788" s="42"/>
    </row>
    <row r="12789" spans="15:29" x14ac:dyDescent="0.25">
      <c r="O12789" s="42"/>
      <c r="R12789" s="42"/>
      <c r="AC12789" s="42"/>
    </row>
    <row r="12790" spans="15:29" x14ac:dyDescent="0.25">
      <c r="O12790" s="42"/>
      <c r="R12790" s="42"/>
      <c r="AC12790" s="42"/>
    </row>
    <row r="12791" spans="15:29" x14ac:dyDescent="0.25">
      <c r="O12791" s="42"/>
      <c r="R12791" s="42"/>
      <c r="AC12791" s="42"/>
    </row>
    <row r="12792" spans="15:29" x14ac:dyDescent="0.25">
      <c r="O12792" s="42"/>
      <c r="R12792" s="42"/>
      <c r="AC12792" s="42"/>
    </row>
    <row r="12793" spans="15:29" x14ac:dyDescent="0.25">
      <c r="O12793" s="42"/>
      <c r="R12793" s="42"/>
      <c r="AC12793" s="42"/>
    </row>
    <row r="12794" spans="15:29" x14ac:dyDescent="0.25">
      <c r="O12794" s="42"/>
      <c r="R12794" s="42"/>
      <c r="AC12794" s="42"/>
    </row>
    <row r="12795" spans="15:29" x14ac:dyDescent="0.25">
      <c r="O12795" s="42"/>
      <c r="R12795" s="42"/>
      <c r="AC12795" s="42"/>
    </row>
    <row r="12796" spans="15:29" x14ac:dyDescent="0.25">
      <c r="O12796" s="42"/>
      <c r="R12796" s="42"/>
      <c r="AC12796" s="42"/>
    </row>
    <row r="12797" spans="15:29" x14ac:dyDescent="0.25">
      <c r="O12797" s="42"/>
      <c r="R12797" s="42"/>
      <c r="AC12797" s="42"/>
    </row>
    <row r="12798" spans="15:29" x14ac:dyDescent="0.25">
      <c r="O12798" s="42"/>
      <c r="R12798" s="42"/>
      <c r="AC12798" s="42"/>
    </row>
    <row r="12799" spans="15:29" x14ac:dyDescent="0.25">
      <c r="O12799" s="42"/>
      <c r="R12799" s="42"/>
      <c r="AC12799" s="42"/>
    </row>
    <row r="12800" spans="15:29" x14ac:dyDescent="0.25">
      <c r="O12800" s="42"/>
      <c r="R12800" s="42"/>
      <c r="AC12800" s="42"/>
    </row>
    <row r="12801" spans="15:29" x14ac:dyDescent="0.25">
      <c r="O12801" s="42"/>
      <c r="R12801" s="42"/>
      <c r="AC12801" s="42"/>
    </row>
    <row r="12802" spans="15:29" x14ac:dyDescent="0.25">
      <c r="O12802" s="42"/>
      <c r="R12802" s="42"/>
      <c r="AC12802" s="42"/>
    </row>
    <row r="12803" spans="15:29" x14ac:dyDescent="0.25">
      <c r="O12803" s="42"/>
      <c r="R12803" s="42"/>
      <c r="AC12803" s="42"/>
    </row>
    <row r="12804" spans="15:29" x14ac:dyDescent="0.25">
      <c r="O12804" s="42"/>
      <c r="R12804" s="42"/>
      <c r="AC12804" s="42"/>
    </row>
    <row r="12805" spans="15:29" x14ac:dyDescent="0.25">
      <c r="O12805" s="42"/>
      <c r="R12805" s="42"/>
      <c r="AC12805" s="42"/>
    </row>
    <row r="12806" spans="15:29" x14ac:dyDescent="0.25">
      <c r="O12806" s="42"/>
      <c r="R12806" s="42"/>
      <c r="AC12806" s="42"/>
    </row>
    <row r="12807" spans="15:29" x14ac:dyDescent="0.25">
      <c r="O12807" s="42"/>
      <c r="R12807" s="42"/>
      <c r="AC12807" s="42"/>
    </row>
    <row r="12808" spans="15:29" x14ac:dyDescent="0.25">
      <c r="O12808" s="42"/>
      <c r="R12808" s="42"/>
      <c r="AC12808" s="42"/>
    </row>
    <row r="12809" spans="15:29" x14ac:dyDescent="0.25">
      <c r="O12809" s="42"/>
      <c r="R12809" s="42"/>
      <c r="AC12809" s="42"/>
    </row>
    <row r="12810" spans="15:29" x14ac:dyDescent="0.25">
      <c r="O12810" s="42"/>
      <c r="R12810" s="42"/>
      <c r="AC12810" s="42"/>
    </row>
    <row r="12811" spans="15:29" x14ac:dyDescent="0.25">
      <c r="O12811" s="42"/>
      <c r="R12811" s="42"/>
      <c r="AC12811" s="42"/>
    </row>
    <row r="12812" spans="15:29" x14ac:dyDescent="0.25">
      <c r="O12812" s="42"/>
      <c r="R12812" s="42"/>
      <c r="AC12812" s="42"/>
    </row>
    <row r="12813" spans="15:29" x14ac:dyDescent="0.25">
      <c r="O12813" s="42"/>
      <c r="R12813" s="42"/>
      <c r="AC12813" s="42"/>
    </row>
    <row r="12814" spans="15:29" x14ac:dyDescent="0.25">
      <c r="O12814" s="42"/>
      <c r="R12814" s="42"/>
      <c r="AC12814" s="42"/>
    </row>
    <row r="12815" spans="15:29" x14ac:dyDescent="0.25">
      <c r="O12815" s="42"/>
      <c r="R12815" s="42"/>
      <c r="AC12815" s="42"/>
    </row>
    <row r="12816" spans="15:29" x14ac:dyDescent="0.25">
      <c r="O12816" s="42"/>
      <c r="R12816" s="42"/>
      <c r="AC12816" s="42"/>
    </row>
    <row r="12817" spans="15:29" x14ac:dyDescent="0.25">
      <c r="O12817" s="42"/>
      <c r="R12817" s="42"/>
      <c r="AC12817" s="42"/>
    </row>
    <row r="12818" spans="15:29" x14ac:dyDescent="0.25">
      <c r="O12818" s="42"/>
      <c r="R12818" s="42"/>
      <c r="AC12818" s="42"/>
    </row>
    <row r="12819" spans="15:29" x14ac:dyDescent="0.25">
      <c r="O12819" s="42"/>
      <c r="R12819" s="42"/>
      <c r="AC12819" s="42"/>
    </row>
    <row r="12820" spans="15:29" x14ac:dyDescent="0.25">
      <c r="O12820" s="42"/>
      <c r="R12820" s="42"/>
      <c r="AC12820" s="42"/>
    </row>
    <row r="12821" spans="15:29" x14ac:dyDescent="0.25">
      <c r="O12821" s="42"/>
      <c r="R12821" s="42"/>
      <c r="AC12821" s="42"/>
    </row>
    <row r="12822" spans="15:29" x14ac:dyDescent="0.25">
      <c r="O12822" s="42"/>
      <c r="R12822" s="42"/>
      <c r="AC12822" s="42"/>
    </row>
    <row r="12823" spans="15:29" x14ac:dyDescent="0.25">
      <c r="O12823" s="42"/>
      <c r="R12823" s="42"/>
      <c r="AC12823" s="42"/>
    </row>
    <row r="12824" spans="15:29" x14ac:dyDescent="0.25">
      <c r="O12824" s="42"/>
      <c r="R12824" s="42"/>
      <c r="AC12824" s="42"/>
    </row>
    <row r="12825" spans="15:29" x14ac:dyDescent="0.25">
      <c r="O12825" s="42"/>
      <c r="R12825" s="42"/>
      <c r="AC12825" s="42"/>
    </row>
    <row r="12826" spans="15:29" x14ac:dyDescent="0.25">
      <c r="O12826" s="42"/>
      <c r="R12826" s="42"/>
      <c r="AC12826" s="42"/>
    </row>
    <row r="12827" spans="15:29" x14ac:dyDescent="0.25">
      <c r="O12827" s="42"/>
      <c r="R12827" s="42"/>
      <c r="AC12827" s="42"/>
    </row>
    <row r="12828" spans="15:29" x14ac:dyDescent="0.25">
      <c r="O12828" s="42"/>
      <c r="R12828" s="42"/>
      <c r="AC12828" s="42"/>
    </row>
    <row r="12829" spans="15:29" x14ac:dyDescent="0.25">
      <c r="O12829" s="42"/>
      <c r="R12829" s="42"/>
      <c r="AC12829" s="42"/>
    </row>
    <row r="12830" spans="15:29" x14ac:dyDescent="0.25">
      <c r="O12830" s="42"/>
      <c r="R12830" s="42"/>
      <c r="AC12830" s="42"/>
    </row>
    <row r="12831" spans="15:29" x14ac:dyDescent="0.25">
      <c r="O12831" s="42"/>
      <c r="R12831" s="42"/>
      <c r="AC12831" s="42"/>
    </row>
    <row r="12832" spans="15:29" x14ac:dyDescent="0.25">
      <c r="O12832" s="42"/>
      <c r="R12832" s="42"/>
      <c r="AC12832" s="42"/>
    </row>
    <row r="12833" spans="15:29" x14ac:dyDescent="0.25">
      <c r="O12833" s="42"/>
      <c r="R12833" s="42"/>
      <c r="AC12833" s="42"/>
    </row>
    <row r="12834" spans="15:29" x14ac:dyDescent="0.25">
      <c r="O12834" s="42"/>
      <c r="R12834" s="42"/>
      <c r="AC12834" s="42"/>
    </row>
    <row r="12835" spans="15:29" x14ac:dyDescent="0.25">
      <c r="O12835" s="42"/>
      <c r="R12835" s="42"/>
      <c r="AC12835" s="42"/>
    </row>
    <row r="12836" spans="15:29" x14ac:dyDescent="0.25">
      <c r="O12836" s="42"/>
      <c r="R12836" s="42"/>
      <c r="AC12836" s="42"/>
    </row>
    <row r="12837" spans="15:29" x14ac:dyDescent="0.25">
      <c r="O12837" s="42"/>
      <c r="R12837" s="42"/>
      <c r="AC12837" s="42"/>
    </row>
    <row r="12838" spans="15:29" x14ac:dyDescent="0.25">
      <c r="O12838" s="42"/>
      <c r="R12838" s="42"/>
      <c r="AC12838" s="42"/>
    </row>
    <row r="12839" spans="15:29" x14ac:dyDescent="0.25">
      <c r="O12839" s="42"/>
      <c r="R12839" s="42"/>
      <c r="AC12839" s="42"/>
    </row>
    <row r="12840" spans="15:29" x14ac:dyDescent="0.25">
      <c r="O12840" s="42"/>
      <c r="R12840" s="42"/>
      <c r="AC12840" s="42"/>
    </row>
    <row r="12841" spans="15:29" x14ac:dyDescent="0.25">
      <c r="O12841" s="42"/>
      <c r="R12841" s="42"/>
      <c r="AC12841" s="42"/>
    </row>
    <row r="12842" spans="15:29" x14ac:dyDescent="0.25">
      <c r="O12842" s="42"/>
      <c r="R12842" s="42"/>
      <c r="AC12842" s="42"/>
    </row>
    <row r="12843" spans="15:29" x14ac:dyDescent="0.25">
      <c r="O12843" s="42"/>
      <c r="R12843" s="42"/>
      <c r="AC12843" s="42"/>
    </row>
    <row r="12844" spans="15:29" x14ac:dyDescent="0.25">
      <c r="O12844" s="42"/>
      <c r="R12844" s="42"/>
      <c r="AC12844" s="42"/>
    </row>
    <row r="12845" spans="15:29" x14ac:dyDescent="0.25">
      <c r="O12845" s="42"/>
      <c r="R12845" s="42"/>
      <c r="AC12845" s="42"/>
    </row>
    <row r="12846" spans="15:29" x14ac:dyDescent="0.25">
      <c r="O12846" s="42"/>
      <c r="R12846" s="42"/>
      <c r="AC12846" s="42"/>
    </row>
    <row r="12847" spans="15:29" x14ac:dyDescent="0.25">
      <c r="O12847" s="42"/>
      <c r="R12847" s="42"/>
      <c r="AC12847" s="42"/>
    </row>
    <row r="12848" spans="15:29" x14ac:dyDescent="0.25">
      <c r="O12848" s="42"/>
      <c r="R12848" s="42"/>
      <c r="AC12848" s="42"/>
    </row>
    <row r="12849" spans="15:29" x14ac:dyDescent="0.25">
      <c r="O12849" s="42"/>
      <c r="R12849" s="42"/>
      <c r="AC12849" s="42"/>
    </row>
    <row r="12850" spans="15:29" x14ac:dyDescent="0.25">
      <c r="O12850" s="42"/>
      <c r="R12850" s="42"/>
      <c r="AC12850" s="42"/>
    </row>
    <row r="12851" spans="15:29" x14ac:dyDescent="0.25">
      <c r="O12851" s="42"/>
      <c r="R12851" s="42"/>
      <c r="AC12851" s="42"/>
    </row>
    <row r="12852" spans="15:29" x14ac:dyDescent="0.25">
      <c r="O12852" s="42"/>
      <c r="R12852" s="42"/>
      <c r="AC12852" s="42"/>
    </row>
    <row r="12853" spans="15:29" x14ac:dyDescent="0.25">
      <c r="O12853" s="42"/>
      <c r="R12853" s="42"/>
      <c r="AC12853" s="42"/>
    </row>
    <row r="12854" spans="15:29" x14ac:dyDescent="0.25">
      <c r="O12854" s="42"/>
      <c r="R12854" s="42"/>
      <c r="AC12854" s="42"/>
    </row>
    <row r="12855" spans="15:29" x14ac:dyDescent="0.25">
      <c r="O12855" s="42"/>
      <c r="R12855" s="42"/>
      <c r="AC12855" s="42"/>
    </row>
    <row r="12856" spans="15:29" x14ac:dyDescent="0.25">
      <c r="O12856" s="42"/>
      <c r="R12856" s="42"/>
      <c r="AC12856" s="42"/>
    </row>
    <row r="12857" spans="15:29" x14ac:dyDescent="0.25">
      <c r="O12857" s="42"/>
      <c r="R12857" s="42"/>
      <c r="AC12857" s="42"/>
    </row>
    <row r="12858" spans="15:29" x14ac:dyDescent="0.25">
      <c r="O12858" s="42"/>
      <c r="R12858" s="42"/>
      <c r="AC12858" s="42"/>
    </row>
    <row r="12859" spans="15:29" x14ac:dyDescent="0.25">
      <c r="O12859" s="42"/>
      <c r="R12859" s="42"/>
      <c r="AC12859" s="42"/>
    </row>
    <row r="12860" spans="15:29" x14ac:dyDescent="0.25">
      <c r="O12860" s="42"/>
      <c r="R12860" s="42"/>
      <c r="AC12860" s="42"/>
    </row>
    <row r="12861" spans="15:29" x14ac:dyDescent="0.25">
      <c r="O12861" s="42"/>
      <c r="R12861" s="42"/>
      <c r="AC12861" s="42"/>
    </row>
    <row r="12862" spans="15:29" x14ac:dyDescent="0.25">
      <c r="O12862" s="42"/>
      <c r="R12862" s="42"/>
      <c r="AC12862" s="42"/>
    </row>
    <row r="12863" spans="15:29" x14ac:dyDescent="0.25">
      <c r="O12863" s="42"/>
      <c r="R12863" s="42"/>
      <c r="AC12863" s="42"/>
    </row>
    <row r="12864" spans="15:29" x14ac:dyDescent="0.25">
      <c r="O12864" s="42"/>
      <c r="R12864" s="42"/>
      <c r="AC12864" s="42"/>
    </row>
    <row r="12865" spans="15:29" x14ac:dyDescent="0.25">
      <c r="O12865" s="42"/>
      <c r="R12865" s="42"/>
      <c r="AC12865" s="42"/>
    </row>
    <row r="12866" spans="15:29" x14ac:dyDescent="0.25">
      <c r="O12866" s="42"/>
      <c r="R12866" s="42"/>
      <c r="AC12866" s="42"/>
    </row>
    <row r="12867" spans="15:29" x14ac:dyDescent="0.25">
      <c r="O12867" s="42"/>
      <c r="R12867" s="42"/>
      <c r="AC12867" s="42"/>
    </row>
    <row r="12868" spans="15:29" x14ac:dyDescent="0.25">
      <c r="O12868" s="42"/>
      <c r="R12868" s="42"/>
      <c r="AC12868" s="42"/>
    </row>
    <row r="12869" spans="15:29" x14ac:dyDescent="0.25">
      <c r="O12869" s="42"/>
      <c r="R12869" s="42"/>
      <c r="AC12869" s="42"/>
    </row>
    <row r="12870" spans="15:29" x14ac:dyDescent="0.25">
      <c r="O12870" s="42"/>
      <c r="R12870" s="42"/>
      <c r="AC12870" s="42"/>
    </row>
    <row r="12871" spans="15:29" x14ac:dyDescent="0.25">
      <c r="O12871" s="42"/>
      <c r="R12871" s="42"/>
      <c r="AC12871" s="42"/>
    </row>
    <row r="12872" spans="15:29" x14ac:dyDescent="0.25">
      <c r="O12872" s="42"/>
      <c r="R12872" s="42"/>
      <c r="AC12872" s="42"/>
    </row>
    <row r="12873" spans="15:29" x14ac:dyDescent="0.25">
      <c r="O12873" s="42"/>
      <c r="R12873" s="42"/>
      <c r="AC12873" s="42"/>
    </row>
    <row r="12874" spans="15:29" x14ac:dyDescent="0.25">
      <c r="O12874" s="42"/>
      <c r="R12874" s="42"/>
      <c r="AC12874" s="42"/>
    </row>
    <row r="12875" spans="15:29" x14ac:dyDescent="0.25">
      <c r="O12875" s="42"/>
      <c r="R12875" s="42"/>
      <c r="AC12875" s="42"/>
    </row>
    <row r="12876" spans="15:29" x14ac:dyDescent="0.25">
      <c r="O12876" s="42"/>
      <c r="R12876" s="42"/>
      <c r="AC12876" s="42"/>
    </row>
    <row r="12877" spans="15:29" x14ac:dyDescent="0.25">
      <c r="O12877" s="42"/>
      <c r="R12877" s="42"/>
      <c r="AC12877" s="42"/>
    </row>
    <row r="12878" spans="15:29" x14ac:dyDescent="0.25">
      <c r="O12878" s="42"/>
      <c r="R12878" s="42"/>
      <c r="AC12878" s="42"/>
    </row>
    <row r="12879" spans="15:29" x14ac:dyDescent="0.25">
      <c r="O12879" s="42"/>
      <c r="R12879" s="42"/>
      <c r="AC12879" s="42"/>
    </row>
    <row r="12880" spans="15:29" x14ac:dyDescent="0.25">
      <c r="O12880" s="42"/>
      <c r="R12880" s="42"/>
      <c r="AC12880" s="42"/>
    </row>
    <row r="12881" spans="15:29" x14ac:dyDescent="0.25">
      <c r="O12881" s="42"/>
      <c r="R12881" s="42"/>
      <c r="AC12881" s="42"/>
    </row>
    <row r="12882" spans="15:29" x14ac:dyDescent="0.25">
      <c r="O12882" s="42"/>
      <c r="R12882" s="42"/>
      <c r="AC12882" s="42"/>
    </row>
    <row r="12883" spans="15:29" x14ac:dyDescent="0.25">
      <c r="O12883" s="42"/>
      <c r="R12883" s="42"/>
      <c r="AC12883" s="42"/>
    </row>
    <row r="12884" spans="15:29" x14ac:dyDescent="0.25">
      <c r="O12884" s="42"/>
      <c r="R12884" s="42"/>
      <c r="AC12884" s="42"/>
    </row>
    <row r="12885" spans="15:29" x14ac:dyDescent="0.25">
      <c r="O12885" s="42"/>
      <c r="R12885" s="42"/>
      <c r="AC12885" s="42"/>
    </row>
    <row r="12886" spans="15:29" x14ac:dyDescent="0.25">
      <c r="O12886" s="42"/>
      <c r="R12886" s="42"/>
      <c r="AC12886" s="42"/>
    </row>
    <row r="12887" spans="15:29" x14ac:dyDescent="0.25">
      <c r="O12887" s="42"/>
      <c r="R12887" s="42"/>
      <c r="AC12887" s="42"/>
    </row>
    <row r="12888" spans="15:29" x14ac:dyDescent="0.25">
      <c r="O12888" s="42"/>
      <c r="R12888" s="42"/>
      <c r="AC12888" s="42"/>
    </row>
    <row r="12889" spans="15:29" x14ac:dyDescent="0.25">
      <c r="O12889" s="42"/>
      <c r="R12889" s="42"/>
      <c r="AC12889" s="42"/>
    </row>
    <row r="12890" spans="15:29" x14ac:dyDescent="0.25">
      <c r="O12890" s="42"/>
      <c r="R12890" s="42"/>
      <c r="AC12890" s="42"/>
    </row>
    <row r="12891" spans="15:29" x14ac:dyDescent="0.25">
      <c r="O12891" s="42"/>
      <c r="R12891" s="42"/>
      <c r="AC12891" s="42"/>
    </row>
    <row r="12892" spans="15:29" x14ac:dyDescent="0.25">
      <c r="O12892" s="42"/>
      <c r="R12892" s="42"/>
      <c r="AC12892" s="42"/>
    </row>
    <row r="12893" spans="15:29" x14ac:dyDescent="0.25">
      <c r="O12893" s="42"/>
      <c r="R12893" s="42"/>
      <c r="AC12893" s="42"/>
    </row>
    <row r="12894" spans="15:29" x14ac:dyDescent="0.25">
      <c r="O12894" s="42"/>
      <c r="R12894" s="42"/>
      <c r="AC12894" s="42"/>
    </row>
    <row r="12895" spans="15:29" x14ac:dyDescent="0.25">
      <c r="O12895" s="42"/>
      <c r="R12895" s="42"/>
      <c r="AC12895" s="42"/>
    </row>
    <row r="12896" spans="15:29" x14ac:dyDescent="0.25">
      <c r="O12896" s="42"/>
      <c r="R12896" s="42"/>
      <c r="AC12896" s="42"/>
    </row>
    <row r="12897" spans="15:29" x14ac:dyDescent="0.25">
      <c r="O12897" s="42"/>
      <c r="R12897" s="42"/>
      <c r="AC12897" s="42"/>
    </row>
    <row r="12898" spans="15:29" x14ac:dyDescent="0.25">
      <c r="O12898" s="42"/>
      <c r="R12898" s="42"/>
      <c r="AC12898" s="42"/>
    </row>
    <row r="12899" spans="15:29" x14ac:dyDescent="0.25">
      <c r="O12899" s="42"/>
      <c r="R12899" s="42"/>
      <c r="AC12899" s="42"/>
    </row>
    <row r="12900" spans="15:29" x14ac:dyDescent="0.25">
      <c r="O12900" s="42"/>
      <c r="R12900" s="42"/>
      <c r="AC12900" s="42"/>
    </row>
    <row r="12901" spans="15:29" x14ac:dyDescent="0.25">
      <c r="O12901" s="42"/>
      <c r="R12901" s="42"/>
      <c r="AC12901" s="42"/>
    </row>
    <row r="12902" spans="15:29" x14ac:dyDescent="0.25">
      <c r="O12902" s="42"/>
      <c r="R12902" s="42"/>
      <c r="AC12902" s="42"/>
    </row>
    <row r="12903" spans="15:29" x14ac:dyDescent="0.25">
      <c r="O12903" s="42"/>
      <c r="R12903" s="42"/>
      <c r="AC12903" s="42"/>
    </row>
    <row r="12904" spans="15:29" x14ac:dyDescent="0.25">
      <c r="O12904" s="42"/>
      <c r="R12904" s="42"/>
      <c r="AC12904" s="42"/>
    </row>
    <row r="12905" spans="15:29" x14ac:dyDescent="0.25">
      <c r="O12905" s="42"/>
      <c r="R12905" s="42"/>
      <c r="AC12905" s="42"/>
    </row>
    <row r="12906" spans="15:29" x14ac:dyDescent="0.25">
      <c r="O12906" s="42"/>
      <c r="R12906" s="42"/>
      <c r="AC12906" s="42"/>
    </row>
    <row r="12907" spans="15:29" x14ac:dyDescent="0.25">
      <c r="O12907" s="42"/>
      <c r="R12907" s="42"/>
      <c r="AC12907" s="42"/>
    </row>
    <row r="12908" spans="15:29" x14ac:dyDescent="0.25">
      <c r="O12908" s="42"/>
      <c r="R12908" s="42"/>
      <c r="AC12908" s="42"/>
    </row>
    <row r="12909" spans="15:29" x14ac:dyDescent="0.25">
      <c r="O12909" s="42"/>
      <c r="R12909" s="42"/>
      <c r="AC12909" s="42"/>
    </row>
    <row r="12910" spans="15:29" x14ac:dyDescent="0.25">
      <c r="O12910" s="42"/>
      <c r="R12910" s="42"/>
      <c r="AC12910" s="42"/>
    </row>
    <row r="12911" spans="15:29" x14ac:dyDescent="0.25">
      <c r="O12911" s="42"/>
      <c r="R12911" s="42"/>
      <c r="AC12911" s="42"/>
    </row>
    <row r="12912" spans="15:29" x14ac:dyDescent="0.25">
      <c r="O12912" s="42"/>
      <c r="R12912" s="42"/>
      <c r="AC12912" s="42"/>
    </row>
    <row r="12913" spans="15:29" x14ac:dyDescent="0.25">
      <c r="O12913" s="42"/>
      <c r="R12913" s="42"/>
      <c r="AC12913" s="42"/>
    </row>
    <row r="12914" spans="15:29" x14ac:dyDescent="0.25">
      <c r="O12914" s="42"/>
      <c r="R12914" s="42"/>
      <c r="AC12914" s="42"/>
    </row>
    <row r="12915" spans="15:29" x14ac:dyDescent="0.25">
      <c r="O12915" s="42"/>
      <c r="R12915" s="42"/>
      <c r="AC12915" s="42"/>
    </row>
    <row r="12916" spans="15:29" x14ac:dyDescent="0.25">
      <c r="O12916" s="42"/>
      <c r="R12916" s="42"/>
      <c r="AC12916" s="42"/>
    </row>
    <row r="12917" spans="15:29" x14ac:dyDescent="0.25">
      <c r="O12917" s="42"/>
      <c r="R12917" s="42"/>
      <c r="AC12917" s="42"/>
    </row>
    <row r="12918" spans="15:29" x14ac:dyDescent="0.25">
      <c r="O12918" s="42"/>
      <c r="R12918" s="42"/>
      <c r="AC12918" s="42"/>
    </row>
    <row r="12919" spans="15:29" x14ac:dyDescent="0.25">
      <c r="O12919" s="42"/>
      <c r="R12919" s="42"/>
      <c r="AC12919" s="42"/>
    </row>
    <row r="12920" spans="15:29" x14ac:dyDescent="0.25">
      <c r="O12920" s="42"/>
      <c r="R12920" s="42"/>
      <c r="AC12920" s="42"/>
    </row>
    <row r="12921" spans="15:29" x14ac:dyDescent="0.25">
      <c r="O12921" s="42"/>
      <c r="R12921" s="42"/>
      <c r="AC12921" s="42"/>
    </row>
    <row r="12922" spans="15:29" x14ac:dyDescent="0.25">
      <c r="O12922" s="42"/>
      <c r="R12922" s="42"/>
      <c r="AC12922" s="42"/>
    </row>
    <row r="12923" spans="15:29" x14ac:dyDescent="0.25">
      <c r="O12923" s="42"/>
      <c r="R12923" s="42"/>
      <c r="AC12923" s="42"/>
    </row>
    <row r="12924" spans="15:29" x14ac:dyDescent="0.25">
      <c r="O12924" s="42"/>
      <c r="R12924" s="42"/>
      <c r="AC12924" s="42"/>
    </row>
    <row r="12925" spans="15:29" x14ac:dyDescent="0.25">
      <c r="O12925" s="42"/>
      <c r="R12925" s="42"/>
      <c r="AC12925" s="42"/>
    </row>
    <row r="12926" spans="15:29" x14ac:dyDescent="0.25">
      <c r="O12926" s="42"/>
      <c r="R12926" s="42"/>
      <c r="AC12926" s="42"/>
    </row>
    <row r="12927" spans="15:29" x14ac:dyDescent="0.25">
      <c r="O12927" s="42"/>
      <c r="R12927" s="42"/>
      <c r="AC12927" s="42"/>
    </row>
    <row r="12928" spans="15:29" x14ac:dyDescent="0.25">
      <c r="O12928" s="42"/>
      <c r="R12928" s="42"/>
      <c r="AC12928" s="42"/>
    </row>
    <row r="12929" spans="15:29" x14ac:dyDescent="0.25">
      <c r="O12929" s="42"/>
      <c r="R12929" s="42"/>
      <c r="AC12929" s="42"/>
    </row>
    <row r="12930" spans="15:29" x14ac:dyDescent="0.25">
      <c r="O12930" s="42"/>
      <c r="R12930" s="42"/>
      <c r="AC12930" s="42"/>
    </row>
    <row r="12931" spans="15:29" x14ac:dyDescent="0.25">
      <c r="O12931" s="42"/>
      <c r="R12931" s="42"/>
      <c r="AC12931" s="42"/>
    </row>
    <row r="12932" spans="15:29" x14ac:dyDescent="0.25">
      <c r="O12932" s="42"/>
      <c r="R12932" s="42"/>
      <c r="AC12932" s="42"/>
    </row>
    <row r="12933" spans="15:29" x14ac:dyDescent="0.25">
      <c r="O12933" s="42"/>
      <c r="R12933" s="42"/>
      <c r="AC12933" s="42"/>
    </row>
    <row r="12934" spans="15:29" x14ac:dyDescent="0.25">
      <c r="O12934" s="42"/>
      <c r="R12934" s="42"/>
      <c r="AC12934" s="42"/>
    </row>
    <row r="12935" spans="15:29" x14ac:dyDescent="0.25">
      <c r="O12935" s="42"/>
      <c r="R12935" s="42"/>
      <c r="AC12935" s="42"/>
    </row>
    <row r="12936" spans="15:29" x14ac:dyDescent="0.25">
      <c r="O12936" s="42"/>
      <c r="R12936" s="42"/>
      <c r="AC12936" s="42"/>
    </row>
    <row r="12937" spans="15:29" x14ac:dyDescent="0.25">
      <c r="O12937" s="42"/>
      <c r="R12937" s="42"/>
      <c r="AC12937" s="42"/>
    </row>
    <row r="12938" spans="15:29" x14ac:dyDescent="0.25">
      <c r="O12938" s="42"/>
      <c r="R12938" s="42"/>
      <c r="AC12938" s="42"/>
    </row>
    <row r="12939" spans="15:29" x14ac:dyDescent="0.25">
      <c r="O12939" s="42"/>
      <c r="R12939" s="42"/>
      <c r="AC12939" s="42"/>
    </row>
    <row r="12940" spans="15:29" x14ac:dyDescent="0.25">
      <c r="O12940" s="42"/>
      <c r="R12940" s="42"/>
      <c r="AC12940" s="42"/>
    </row>
    <row r="12941" spans="15:29" x14ac:dyDescent="0.25">
      <c r="O12941" s="42"/>
      <c r="R12941" s="42"/>
      <c r="AC12941" s="42"/>
    </row>
    <row r="12942" spans="15:29" x14ac:dyDescent="0.25">
      <c r="O12942" s="42"/>
      <c r="R12942" s="42"/>
      <c r="AC12942" s="42"/>
    </row>
    <row r="12943" spans="15:29" x14ac:dyDescent="0.25">
      <c r="O12943" s="42"/>
      <c r="R12943" s="42"/>
      <c r="AC12943" s="42"/>
    </row>
    <row r="12944" spans="15:29" x14ac:dyDescent="0.25">
      <c r="O12944" s="42"/>
      <c r="R12944" s="42"/>
      <c r="AC12944" s="42"/>
    </row>
    <row r="12945" spans="15:29" x14ac:dyDescent="0.25">
      <c r="O12945" s="42"/>
      <c r="R12945" s="42"/>
      <c r="AC12945" s="42"/>
    </row>
    <row r="12946" spans="15:29" x14ac:dyDescent="0.25">
      <c r="O12946" s="42"/>
      <c r="R12946" s="42"/>
      <c r="AC12946" s="42"/>
    </row>
    <row r="12947" spans="15:29" x14ac:dyDescent="0.25">
      <c r="O12947" s="42"/>
      <c r="R12947" s="42"/>
      <c r="AC12947" s="42"/>
    </row>
    <row r="12948" spans="15:29" x14ac:dyDescent="0.25">
      <c r="O12948" s="42"/>
      <c r="R12948" s="42"/>
      <c r="AC12948" s="42"/>
    </row>
    <row r="12949" spans="15:29" x14ac:dyDescent="0.25">
      <c r="O12949" s="42"/>
      <c r="R12949" s="42"/>
      <c r="AC12949" s="42"/>
    </row>
    <row r="12950" spans="15:29" x14ac:dyDescent="0.25">
      <c r="O12950" s="42"/>
      <c r="R12950" s="42"/>
      <c r="AC12950" s="42"/>
    </row>
    <row r="12951" spans="15:29" x14ac:dyDescent="0.25">
      <c r="O12951" s="42"/>
      <c r="R12951" s="42"/>
      <c r="AC12951" s="42"/>
    </row>
    <row r="12952" spans="15:29" x14ac:dyDescent="0.25">
      <c r="O12952" s="42"/>
      <c r="R12952" s="42"/>
      <c r="AC12952" s="42"/>
    </row>
    <row r="12953" spans="15:29" x14ac:dyDescent="0.25">
      <c r="O12953" s="42"/>
      <c r="R12953" s="42"/>
      <c r="AC12953" s="42"/>
    </row>
    <row r="12954" spans="15:29" x14ac:dyDescent="0.25">
      <c r="O12954" s="42"/>
      <c r="R12954" s="42"/>
      <c r="AC12954" s="42"/>
    </row>
    <row r="12955" spans="15:29" x14ac:dyDescent="0.25">
      <c r="O12955" s="42"/>
      <c r="R12955" s="42"/>
      <c r="AC12955" s="42"/>
    </row>
    <row r="12956" spans="15:29" x14ac:dyDescent="0.25">
      <c r="O12956" s="42"/>
      <c r="R12956" s="42"/>
      <c r="AC12956" s="42"/>
    </row>
    <row r="12957" spans="15:29" x14ac:dyDescent="0.25">
      <c r="O12957" s="42"/>
      <c r="R12957" s="42"/>
      <c r="AC12957" s="42"/>
    </row>
    <row r="12958" spans="15:29" x14ac:dyDescent="0.25">
      <c r="O12958" s="42"/>
      <c r="R12958" s="42"/>
      <c r="AC12958" s="42"/>
    </row>
    <row r="12959" spans="15:29" x14ac:dyDescent="0.25">
      <c r="O12959" s="42"/>
      <c r="R12959" s="42"/>
      <c r="AC12959" s="42"/>
    </row>
    <row r="12960" spans="15:29" x14ac:dyDescent="0.25">
      <c r="O12960" s="42"/>
      <c r="R12960" s="42"/>
      <c r="AC12960" s="42"/>
    </row>
    <row r="12961" spans="15:29" x14ac:dyDescent="0.25">
      <c r="O12961" s="42"/>
      <c r="R12961" s="42"/>
      <c r="AC12961" s="42"/>
    </row>
    <row r="12962" spans="15:29" x14ac:dyDescent="0.25">
      <c r="O12962" s="42"/>
      <c r="R12962" s="42"/>
      <c r="AC12962" s="42"/>
    </row>
    <row r="12963" spans="15:29" x14ac:dyDescent="0.25">
      <c r="O12963" s="42"/>
      <c r="R12963" s="42"/>
      <c r="AC12963" s="42"/>
    </row>
    <row r="12964" spans="15:29" x14ac:dyDescent="0.25">
      <c r="O12964" s="42"/>
      <c r="R12964" s="42"/>
      <c r="AC12964" s="42"/>
    </row>
    <row r="12965" spans="15:29" x14ac:dyDescent="0.25">
      <c r="O12965" s="42"/>
      <c r="R12965" s="42"/>
      <c r="AC12965" s="42"/>
    </row>
    <row r="12966" spans="15:29" x14ac:dyDescent="0.25">
      <c r="O12966" s="42"/>
      <c r="R12966" s="42"/>
      <c r="AC12966" s="42"/>
    </row>
    <row r="12967" spans="15:29" x14ac:dyDescent="0.25">
      <c r="O12967" s="42"/>
      <c r="R12967" s="42"/>
      <c r="AC12967" s="42"/>
    </row>
    <row r="12968" spans="15:29" x14ac:dyDescent="0.25">
      <c r="O12968" s="42"/>
      <c r="R12968" s="42"/>
      <c r="AC12968" s="42"/>
    </row>
    <row r="12969" spans="15:29" x14ac:dyDescent="0.25">
      <c r="O12969" s="42"/>
      <c r="R12969" s="42"/>
      <c r="AC12969" s="42"/>
    </row>
    <row r="12970" spans="15:29" x14ac:dyDescent="0.25">
      <c r="O12970" s="42"/>
      <c r="R12970" s="42"/>
      <c r="AC12970" s="42"/>
    </row>
    <row r="12971" spans="15:29" x14ac:dyDescent="0.25">
      <c r="O12971" s="42"/>
      <c r="R12971" s="42"/>
      <c r="AC12971" s="42"/>
    </row>
    <row r="12972" spans="15:29" x14ac:dyDescent="0.25">
      <c r="O12972" s="42"/>
      <c r="R12972" s="42"/>
      <c r="AC12972" s="42"/>
    </row>
    <row r="12973" spans="15:29" x14ac:dyDescent="0.25">
      <c r="O12973" s="42"/>
      <c r="R12973" s="42"/>
      <c r="AC12973" s="42"/>
    </row>
    <row r="12974" spans="15:29" x14ac:dyDescent="0.25">
      <c r="O12974" s="42"/>
      <c r="R12974" s="42"/>
      <c r="AC12974" s="42"/>
    </row>
    <row r="12975" spans="15:29" x14ac:dyDescent="0.25">
      <c r="O12975" s="42"/>
      <c r="R12975" s="42"/>
      <c r="AC12975" s="42"/>
    </row>
    <row r="12976" spans="15:29" x14ac:dyDescent="0.25">
      <c r="O12976" s="42"/>
      <c r="R12976" s="42"/>
      <c r="AC12976" s="42"/>
    </row>
    <row r="12977" spans="15:29" x14ac:dyDescent="0.25">
      <c r="O12977" s="42"/>
      <c r="R12977" s="42"/>
      <c r="AC12977" s="42"/>
    </row>
    <row r="12978" spans="15:29" x14ac:dyDescent="0.25">
      <c r="O12978" s="42"/>
      <c r="R12978" s="42"/>
      <c r="AC12978" s="42"/>
    </row>
    <row r="12979" spans="15:29" x14ac:dyDescent="0.25">
      <c r="O12979" s="42"/>
      <c r="R12979" s="42"/>
      <c r="AC12979" s="42"/>
    </row>
    <row r="12980" spans="15:29" x14ac:dyDescent="0.25">
      <c r="O12980" s="42"/>
      <c r="R12980" s="42"/>
      <c r="AC12980" s="42"/>
    </row>
    <row r="12981" spans="15:29" x14ac:dyDescent="0.25">
      <c r="O12981" s="42"/>
      <c r="R12981" s="42"/>
      <c r="AC12981" s="42"/>
    </row>
    <row r="12982" spans="15:29" x14ac:dyDescent="0.25">
      <c r="O12982" s="42"/>
      <c r="R12982" s="42"/>
      <c r="AC12982" s="42"/>
    </row>
    <row r="12983" spans="15:29" x14ac:dyDescent="0.25">
      <c r="O12983" s="42"/>
      <c r="R12983" s="42"/>
      <c r="AC12983" s="42"/>
    </row>
    <row r="12984" spans="15:29" x14ac:dyDescent="0.25">
      <c r="O12984" s="42"/>
      <c r="R12984" s="42"/>
      <c r="AC12984" s="42"/>
    </row>
    <row r="12985" spans="15:29" x14ac:dyDescent="0.25">
      <c r="O12985" s="42"/>
      <c r="R12985" s="42"/>
      <c r="AC12985" s="42"/>
    </row>
    <row r="12986" spans="15:29" x14ac:dyDescent="0.25">
      <c r="O12986" s="42"/>
      <c r="R12986" s="42"/>
      <c r="AC12986" s="42"/>
    </row>
    <row r="12987" spans="15:29" x14ac:dyDescent="0.25">
      <c r="O12987" s="42"/>
      <c r="R12987" s="42"/>
      <c r="AC12987" s="42"/>
    </row>
    <row r="12988" spans="15:29" x14ac:dyDescent="0.25">
      <c r="O12988" s="42"/>
      <c r="R12988" s="42"/>
      <c r="AC12988" s="42"/>
    </row>
    <row r="12989" spans="15:29" x14ac:dyDescent="0.25">
      <c r="O12989" s="42"/>
      <c r="R12989" s="42"/>
      <c r="AC12989" s="42"/>
    </row>
    <row r="12990" spans="15:29" x14ac:dyDescent="0.25">
      <c r="O12990" s="42"/>
      <c r="R12990" s="42"/>
      <c r="AC12990" s="42"/>
    </row>
    <row r="12991" spans="15:29" x14ac:dyDescent="0.25">
      <c r="O12991" s="42"/>
      <c r="R12991" s="42"/>
      <c r="AC12991" s="42"/>
    </row>
    <row r="12992" spans="15:29" x14ac:dyDescent="0.25">
      <c r="O12992" s="42"/>
      <c r="R12992" s="42"/>
      <c r="AC12992" s="42"/>
    </row>
    <row r="12993" spans="15:29" x14ac:dyDescent="0.25">
      <c r="O12993" s="42"/>
      <c r="R12993" s="42"/>
      <c r="AC12993" s="42"/>
    </row>
    <row r="12994" spans="15:29" x14ac:dyDescent="0.25">
      <c r="O12994" s="42"/>
      <c r="R12994" s="42"/>
      <c r="AC12994" s="42"/>
    </row>
    <row r="12995" spans="15:29" x14ac:dyDescent="0.25">
      <c r="O12995" s="42"/>
      <c r="R12995" s="42"/>
      <c r="AC12995" s="42"/>
    </row>
    <row r="12996" spans="15:29" x14ac:dyDescent="0.25">
      <c r="O12996" s="42"/>
      <c r="R12996" s="42"/>
      <c r="AC12996" s="42"/>
    </row>
    <row r="12997" spans="15:29" x14ac:dyDescent="0.25">
      <c r="O12997" s="42"/>
      <c r="R12997" s="42"/>
      <c r="AC12997" s="42"/>
    </row>
    <row r="12998" spans="15:29" x14ac:dyDescent="0.25">
      <c r="O12998" s="42"/>
      <c r="R12998" s="42"/>
      <c r="AC12998" s="42"/>
    </row>
    <row r="12999" spans="15:29" x14ac:dyDescent="0.25">
      <c r="O12999" s="42"/>
      <c r="R12999" s="42"/>
      <c r="AC12999" s="42"/>
    </row>
    <row r="13000" spans="15:29" x14ac:dyDescent="0.25">
      <c r="O13000" s="42"/>
      <c r="R13000" s="42"/>
      <c r="AC13000" s="42"/>
    </row>
    <row r="13001" spans="15:29" x14ac:dyDescent="0.25">
      <c r="O13001" s="42"/>
      <c r="R13001" s="42"/>
      <c r="AC13001" s="42"/>
    </row>
    <row r="13002" spans="15:29" x14ac:dyDescent="0.25">
      <c r="O13002" s="42"/>
      <c r="R13002" s="42"/>
      <c r="AC13002" s="42"/>
    </row>
    <row r="13003" spans="15:29" x14ac:dyDescent="0.25">
      <c r="O13003" s="42"/>
      <c r="R13003" s="42"/>
      <c r="AC13003" s="42"/>
    </row>
    <row r="13004" spans="15:29" x14ac:dyDescent="0.25">
      <c r="O13004" s="42"/>
      <c r="R13004" s="42"/>
      <c r="AC13004" s="42"/>
    </row>
    <row r="13005" spans="15:29" x14ac:dyDescent="0.25">
      <c r="O13005" s="42"/>
      <c r="R13005" s="42"/>
      <c r="AC13005" s="42"/>
    </row>
    <row r="13006" spans="15:29" x14ac:dyDescent="0.25">
      <c r="O13006" s="42"/>
      <c r="R13006" s="42"/>
      <c r="AC13006" s="42"/>
    </row>
    <row r="13007" spans="15:29" x14ac:dyDescent="0.25">
      <c r="O13007" s="42"/>
      <c r="R13007" s="42"/>
      <c r="AC13007" s="42"/>
    </row>
    <row r="13008" spans="15:29" x14ac:dyDescent="0.25">
      <c r="O13008" s="42"/>
      <c r="R13008" s="42"/>
      <c r="AC13008" s="42"/>
    </row>
    <row r="13009" spans="15:29" x14ac:dyDescent="0.25">
      <c r="O13009" s="42"/>
      <c r="R13009" s="42"/>
      <c r="AC13009" s="42"/>
    </row>
    <row r="13010" spans="15:29" x14ac:dyDescent="0.25">
      <c r="O13010" s="42"/>
      <c r="R13010" s="42"/>
      <c r="AC13010" s="42"/>
    </row>
    <row r="13011" spans="15:29" x14ac:dyDescent="0.25">
      <c r="O13011" s="42"/>
      <c r="R13011" s="42"/>
      <c r="AC13011" s="42"/>
    </row>
    <row r="13012" spans="15:29" x14ac:dyDescent="0.25">
      <c r="O13012" s="42"/>
      <c r="R13012" s="42"/>
      <c r="AC13012" s="42"/>
    </row>
    <row r="13013" spans="15:29" x14ac:dyDescent="0.25">
      <c r="O13013" s="42"/>
      <c r="R13013" s="42"/>
      <c r="AC13013" s="42"/>
    </row>
    <row r="13014" spans="15:29" x14ac:dyDescent="0.25">
      <c r="O13014" s="42"/>
      <c r="R13014" s="42"/>
      <c r="AC13014" s="42"/>
    </row>
    <row r="13015" spans="15:29" x14ac:dyDescent="0.25">
      <c r="O13015" s="42"/>
      <c r="R13015" s="42"/>
      <c r="AC13015" s="42"/>
    </row>
    <row r="13016" spans="15:29" x14ac:dyDescent="0.25">
      <c r="O13016" s="42"/>
      <c r="R13016" s="42"/>
      <c r="AC13016" s="42"/>
    </row>
    <row r="13017" spans="15:29" x14ac:dyDescent="0.25">
      <c r="O13017" s="42"/>
      <c r="R13017" s="42"/>
      <c r="AC13017" s="42"/>
    </row>
    <row r="13018" spans="15:29" x14ac:dyDescent="0.25">
      <c r="O13018" s="42"/>
      <c r="R13018" s="42"/>
      <c r="AC13018" s="42"/>
    </row>
    <row r="13019" spans="15:29" x14ac:dyDescent="0.25">
      <c r="O13019" s="42"/>
      <c r="R13019" s="42"/>
      <c r="AC13019" s="42"/>
    </row>
    <row r="13020" spans="15:29" x14ac:dyDescent="0.25">
      <c r="O13020" s="42"/>
      <c r="R13020" s="42"/>
      <c r="AC13020" s="42"/>
    </row>
    <row r="13021" spans="15:29" x14ac:dyDescent="0.25">
      <c r="O13021" s="42"/>
      <c r="R13021" s="42"/>
      <c r="AC13021" s="42"/>
    </row>
    <row r="13022" spans="15:29" x14ac:dyDescent="0.25">
      <c r="O13022" s="42"/>
      <c r="R13022" s="42"/>
      <c r="AC13022" s="42"/>
    </row>
    <row r="13023" spans="15:29" x14ac:dyDescent="0.25">
      <c r="O13023" s="42"/>
      <c r="R13023" s="42"/>
      <c r="AC13023" s="42"/>
    </row>
    <row r="13024" spans="15:29" x14ac:dyDescent="0.25">
      <c r="O13024" s="42"/>
      <c r="R13024" s="42"/>
      <c r="AC13024" s="42"/>
    </row>
    <row r="13025" spans="15:29" x14ac:dyDescent="0.25">
      <c r="O13025" s="42"/>
      <c r="R13025" s="42"/>
      <c r="AC13025" s="42"/>
    </row>
    <row r="13026" spans="15:29" x14ac:dyDescent="0.25">
      <c r="O13026" s="42"/>
      <c r="R13026" s="42"/>
      <c r="AC13026" s="42"/>
    </row>
    <row r="13027" spans="15:29" x14ac:dyDescent="0.25">
      <c r="O13027" s="42"/>
      <c r="R13027" s="42"/>
      <c r="AC13027" s="42"/>
    </row>
    <row r="13028" spans="15:29" x14ac:dyDescent="0.25">
      <c r="O13028" s="42"/>
      <c r="R13028" s="42"/>
      <c r="AC13028" s="42"/>
    </row>
    <row r="13029" spans="15:29" x14ac:dyDescent="0.25">
      <c r="O13029" s="42"/>
      <c r="R13029" s="42"/>
      <c r="AC13029" s="42"/>
    </row>
    <row r="13030" spans="15:29" x14ac:dyDescent="0.25">
      <c r="O13030" s="42"/>
      <c r="R13030" s="42"/>
      <c r="AC13030" s="42"/>
    </row>
    <row r="13031" spans="15:29" x14ac:dyDescent="0.25">
      <c r="O13031" s="42"/>
      <c r="R13031" s="42"/>
      <c r="AC13031" s="42"/>
    </row>
    <row r="13032" spans="15:29" x14ac:dyDescent="0.25">
      <c r="O13032" s="42"/>
      <c r="R13032" s="42"/>
      <c r="AC13032" s="42"/>
    </row>
    <row r="13033" spans="15:29" x14ac:dyDescent="0.25">
      <c r="O13033" s="42"/>
      <c r="R13033" s="42"/>
      <c r="AC13033" s="42"/>
    </row>
    <row r="13034" spans="15:29" x14ac:dyDescent="0.25">
      <c r="O13034" s="42"/>
      <c r="R13034" s="42"/>
      <c r="AC13034" s="42"/>
    </row>
    <row r="13035" spans="15:29" x14ac:dyDescent="0.25">
      <c r="O13035" s="42"/>
      <c r="R13035" s="42"/>
      <c r="AC13035" s="42"/>
    </row>
    <row r="13036" spans="15:29" x14ac:dyDescent="0.25">
      <c r="O13036" s="42"/>
      <c r="R13036" s="42"/>
      <c r="AC13036" s="42"/>
    </row>
    <row r="13037" spans="15:29" x14ac:dyDescent="0.25">
      <c r="O13037" s="42"/>
      <c r="R13037" s="42"/>
      <c r="AC13037" s="42"/>
    </row>
    <row r="13038" spans="15:29" x14ac:dyDescent="0.25">
      <c r="O13038" s="42"/>
      <c r="R13038" s="42"/>
      <c r="AC13038" s="42"/>
    </row>
    <row r="13039" spans="15:29" x14ac:dyDescent="0.25">
      <c r="O13039" s="42"/>
      <c r="R13039" s="42"/>
      <c r="AC13039" s="42"/>
    </row>
    <row r="13040" spans="15:29" x14ac:dyDescent="0.25">
      <c r="O13040" s="42"/>
      <c r="R13040" s="42"/>
      <c r="AC13040" s="42"/>
    </row>
    <row r="13041" spans="15:29" x14ac:dyDescent="0.25">
      <c r="O13041" s="42"/>
      <c r="R13041" s="42"/>
      <c r="AC13041" s="42"/>
    </row>
    <row r="13042" spans="15:29" x14ac:dyDescent="0.25">
      <c r="O13042" s="42"/>
      <c r="R13042" s="42"/>
      <c r="AC13042" s="42"/>
    </row>
    <row r="13043" spans="15:29" x14ac:dyDescent="0.25">
      <c r="O13043" s="42"/>
      <c r="R13043" s="42"/>
      <c r="AC13043" s="42"/>
    </row>
    <row r="13044" spans="15:29" x14ac:dyDescent="0.25">
      <c r="O13044" s="42"/>
      <c r="R13044" s="42"/>
      <c r="AC13044" s="42"/>
    </row>
    <row r="13045" spans="15:29" x14ac:dyDescent="0.25">
      <c r="O13045" s="42"/>
      <c r="R13045" s="42"/>
      <c r="AC13045" s="42"/>
    </row>
    <row r="13046" spans="15:29" x14ac:dyDescent="0.25">
      <c r="O13046" s="42"/>
      <c r="R13046" s="42"/>
      <c r="AC13046" s="42"/>
    </row>
    <row r="13047" spans="15:29" x14ac:dyDescent="0.25">
      <c r="O13047" s="42"/>
      <c r="R13047" s="42"/>
      <c r="AC13047" s="42"/>
    </row>
    <row r="13048" spans="15:29" x14ac:dyDescent="0.25">
      <c r="O13048" s="42"/>
      <c r="R13048" s="42"/>
      <c r="AC13048" s="42"/>
    </row>
    <row r="13049" spans="15:29" x14ac:dyDescent="0.25">
      <c r="O13049" s="42"/>
      <c r="R13049" s="42"/>
      <c r="AC13049" s="42"/>
    </row>
    <row r="13050" spans="15:29" x14ac:dyDescent="0.25">
      <c r="O13050" s="42"/>
      <c r="R13050" s="42"/>
      <c r="AC13050" s="42"/>
    </row>
    <row r="13051" spans="15:29" x14ac:dyDescent="0.25">
      <c r="O13051" s="42"/>
      <c r="R13051" s="42"/>
      <c r="AC13051" s="42"/>
    </row>
    <row r="13052" spans="15:29" x14ac:dyDescent="0.25">
      <c r="O13052" s="42"/>
      <c r="R13052" s="42"/>
      <c r="AC13052" s="42"/>
    </row>
    <row r="13053" spans="15:29" x14ac:dyDescent="0.25">
      <c r="O13053" s="42"/>
      <c r="R13053" s="42"/>
      <c r="AC13053" s="42"/>
    </row>
    <row r="13054" spans="15:29" x14ac:dyDescent="0.25">
      <c r="O13054" s="42"/>
      <c r="R13054" s="42"/>
      <c r="AC13054" s="42"/>
    </row>
    <row r="13055" spans="15:29" x14ac:dyDescent="0.25">
      <c r="O13055" s="42"/>
      <c r="R13055" s="42"/>
      <c r="AC13055" s="42"/>
    </row>
    <row r="13056" spans="15:29" x14ac:dyDescent="0.25">
      <c r="O13056" s="42"/>
      <c r="R13056" s="42"/>
      <c r="AC13056" s="42"/>
    </row>
    <row r="13057" spans="15:29" x14ac:dyDescent="0.25">
      <c r="O13057" s="42"/>
      <c r="R13057" s="42"/>
      <c r="AC13057" s="42"/>
    </row>
    <row r="13058" spans="15:29" x14ac:dyDescent="0.25">
      <c r="O13058" s="42"/>
      <c r="R13058" s="42"/>
      <c r="AC13058" s="42"/>
    </row>
    <row r="13059" spans="15:29" x14ac:dyDescent="0.25">
      <c r="O13059" s="42"/>
      <c r="R13059" s="42"/>
      <c r="AC13059" s="42"/>
    </row>
    <row r="13060" spans="15:29" x14ac:dyDescent="0.25">
      <c r="O13060" s="42"/>
      <c r="R13060" s="42"/>
      <c r="AC13060" s="42"/>
    </row>
    <row r="13061" spans="15:29" x14ac:dyDescent="0.25">
      <c r="O13061" s="42"/>
      <c r="R13061" s="42"/>
      <c r="AC13061" s="42"/>
    </row>
    <row r="13062" spans="15:29" x14ac:dyDescent="0.25">
      <c r="O13062" s="42"/>
      <c r="R13062" s="42"/>
      <c r="AC13062" s="42"/>
    </row>
    <row r="13063" spans="15:29" x14ac:dyDescent="0.25">
      <c r="O13063" s="42"/>
      <c r="R13063" s="42"/>
      <c r="AC13063" s="42"/>
    </row>
    <row r="13064" spans="15:29" x14ac:dyDescent="0.25">
      <c r="O13064" s="42"/>
      <c r="R13064" s="42"/>
      <c r="AC13064" s="42"/>
    </row>
    <row r="13065" spans="15:29" x14ac:dyDescent="0.25">
      <c r="O13065" s="42"/>
      <c r="R13065" s="42"/>
      <c r="AC13065" s="42"/>
    </row>
    <row r="13066" spans="15:29" x14ac:dyDescent="0.25">
      <c r="O13066" s="42"/>
      <c r="R13066" s="42"/>
      <c r="AC13066" s="42"/>
    </row>
    <row r="13067" spans="15:29" x14ac:dyDescent="0.25">
      <c r="O13067" s="42"/>
      <c r="R13067" s="42"/>
      <c r="AC13067" s="42"/>
    </row>
    <row r="13068" spans="15:29" x14ac:dyDescent="0.25">
      <c r="O13068" s="42"/>
      <c r="R13068" s="42"/>
      <c r="AC13068" s="42"/>
    </row>
    <row r="13069" spans="15:29" x14ac:dyDescent="0.25">
      <c r="O13069" s="42"/>
      <c r="R13069" s="42"/>
      <c r="AC13069" s="42"/>
    </row>
    <row r="13070" spans="15:29" x14ac:dyDescent="0.25">
      <c r="O13070" s="42"/>
      <c r="R13070" s="42"/>
      <c r="AC13070" s="42"/>
    </row>
    <row r="13071" spans="15:29" x14ac:dyDescent="0.25">
      <c r="O13071" s="42"/>
      <c r="R13071" s="42"/>
      <c r="AC13071" s="42"/>
    </row>
    <row r="13072" spans="15:29" x14ac:dyDescent="0.25">
      <c r="O13072" s="42"/>
      <c r="R13072" s="42"/>
      <c r="AC13072" s="42"/>
    </row>
    <row r="13073" spans="15:29" x14ac:dyDescent="0.25">
      <c r="O13073" s="42"/>
      <c r="R13073" s="42"/>
      <c r="AC13073" s="42"/>
    </row>
    <row r="13074" spans="15:29" x14ac:dyDescent="0.25">
      <c r="O13074" s="42"/>
      <c r="R13074" s="42"/>
      <c r="AC13074" s="42"/>
    </row>
    <row r="13075" spans="15:29" x14ac:dyDescent="0.25">
      <c r="O13075" s="42"/>
      <c r="R13075" s="42"/>
      <c r="AC13075" s="42"/>
    </row>
    <row r="13076" spans="15:29" x14ac:dyDescent="0.25">
      <c r="O13076" s="42"/>
      <c r="R13076" s="42"/>
      <c r="AC13076" s="42"/>
    </row>
    <row r="13077" spans="15:29" x14ac:dyDescent="0.25">
      <c r="O13077" s="42"/>
      <c r="R13077" s="42"/>
      <c r="AC13077" s="42"/>
    </row>
    <row r="13078" spans="15:29" x14ac:dyDescent="0.25">
      <c r="O13078" s="42"/>
      <c r="R13078" s="42"/>
      <c r="AC13078" s="42"/>
    </row>
    <row r="13079" spans="15:29" x14ac:dyDescent="0.25">
      <c r="O13079" s="42"/>
      <c r="R13079" s="42"/>
      <c r="AC13079" s="42"/>
    </row>
    <row r="13080" spans="15:29" x14ac:dyDescent="0.25">
      <c r="O13080" s="42"/>
      <c r="R13080" s="42"/>
      <c r="AC13080" s="42"/>
    </row>
    <row r="13081" spans="15:29" x14ac:dyDescent="0.25">
      <c r="O13081" s="42"/>
      <c r="R13081" s="42"/>
      <c r="AC13081" s="42"/>
    </row>
    <row r="13082" spans="15:29" x14ac:dyDescent="0.25">
      <c r="O13082" s="42"/>
      <c r="R13082" s="42"/>
      <c r="AC13082" s="42"/>
    </row>
    <row r="13083" spans="15:29" x14ac:dyDescent="0.25">
      <c r="O13083" s="42"/>
      <c r="R13083" s="42"/>
      <c r="AC13083" s="42"/>
    </row>
    <row r="13084" spans="15:29" x14ac:dyDescent="0.25">
      <c r="O13084" s="42"/>
      <c r="R13084" s="42"/>
      <c r="AC13084" s="42"/>
    </row>
    <row r="13085" spans="15:29" x14ac:dyDescent="0.25">
      <c r="O13085" s="42"/>
      <c r="R13085" s="42"/>
      <c r="AC13085" s="42"/>
    </row>
    <row r="13086" spans="15:29" x14ac:dyDescent="0.25">
      <c r="O13086" s="42"/>
      <c r="R13086" s="42"/>
      <c r="AC13086" s="42"/>
    </row>
    <row r="13087" spans="15:29" x14ac:dyDescent="0.25">
      <c r="O13087" s="42"/>
      <c r="R13087" s="42"/>
      <c r="AC13087" s="42"/>
    </row>
    <row r="13088" spans="15:29" x14ac:dyDescent="0.25">
      <c r="O13088" s="42"/>
      <c r="R13088" s="42"/>
      <c r="AC13088" s="42"/>
    </row>
    <row r="13089" spans="15:29" x14ac:dyDescent="0.25">
      <c r="O13089" s="42"/>
      <c r="R13089" s="42"/>
      <c r="AC13089" s="42"/>
    </row>
    <row r="13090" spans="15:29" x14ac:dyDescent="0.25">
      <c r="O13090" s="42"/>
      <c r="R13090" s="42"/>
      <c r="AC13090" s="42"/>
    </row>
    <row r="13091" spans="15:29" x14ac:dyDescent="0.25">
      <c r="O13091" s="42"/>
      <c r="R13091" s="42"/>
      <c r="AC13091" s="42"/>
    </row>
    <row r="13092" spans="15:29" x14ac:dyDescent="0.25">
      <c r="O13092" s="42"/>
      <c r="R13092" s="42"/>
      <c r="AC13092" s="42"/>
    </row>
    <row r="13093" spans="15:29" x14ac:dyDescent="0.25">
      <c r="O13093" s="42"/>
      <c r="R13093" s="42"/>
      <c r="AC13093" s="42"/>
    </row>
    <row r="13094" spans="15:29" x14ac:dyDescent="0.25">
      <c r="O13094" s="42"/>
      <c r="R13094" s="42"/>
      <c r="AC13094" s="42"/>
    </row>
    <row r="13095" spans="15:29" x14ac:dyDescent="0.25">
      <c r="O13095" s="42"/>
      <c r="R13095" s="42"/>
      <c r="AC13095" s="42"/>
    </row>
    <row r="13096" spans="15:29" x14ac:dyDescent="0.25">
      <c r="O13096" s="42"/>
      <c r="R13096" s="42"/>
      <c r="AC13096" s="42"/>
    </row>
    <row r="13097" spans="15:29" x14ac:dyDescent="0.25">
      <c r="O13097" s="42"/>
      <c r="R13097" s="42"/>
      <c r="AC13097" s="42"/>
    </row>
    <row r="13098" spans="15:29" x14ac:dyDescent="0.25">
      <c r="O13098" s="42"/>
      <c r="R13098" s="42"/>
      <c r="AC13098" s="42"/>
    </row>
    <row r="13099" spans="15:29" x14ac:dyDescent="0.25">
      <c r="O13099" s="42"/>
      <c r="R13099" s="42"/>
      <c r="AC13099" s="42"/>
    </row>
    <row r="13100" spans="15:29" x14ac:dyDescent="0.25">
      <c r="O13100" s="42"/>
      <c r="R13100" s="42"/>
      <c r="AC13100" s="42"/>
    </row>
    <row r="13101" spans="15:29" x14ac:dyDescent="0.25">
      <c r="O13101" s="42"/>
      <c r="R13101" s="42"/>
      <c r="AC13101" s="42"/>
    </row>
    <row r="13102" spans="15:29" x14ac:dyDescent="0.25">
      <c r="O13102" s="42"/>
      <c r="R13102" s="42"/>
      <c r="AC13102" s="42"/>
    </row>
    <row r="13103" spans="15:29" x14ac:dyDescent="0.25">
      <c r="O13103" s="42"/>
      <c r="R13103" s="42"/>
      <c r="AC13103" s="42"/>
    </row>
    <row r="13104" spans="15:29" x14ac:dyDescent="0.25">
      <c r="O13104" s="42"/>
      <c r="R13104" s="42"/>
      <c r="AC13104" s="42"/>
    </row>
    <row r="13105" spans="15:29" x14ac:dyDescent="0.25">
      <c r="O13105" s="42"/>
      <c r="R13105" s="42"/>
      <c r="AC13105" s="42"/>
    </row>
    <row r="13106" spans="15:29" x14ac:dyDescent="0.25">
      <c r="O13106" s="42"/>
      <c r="R13106" s="42"/>
      <c r="AC13106" s="42"/>
    </row>
    <row r="13107" spans="15:29" x14ac:dyDescent="0.25">
      <c r="O13107" s="42"/>
      <c r="R13107" s="42"/>
      <c r="AC13107" s="42"/>
    </row>
    <row r="13108" spans="15:29" x14ac:dyDescent="0.25">
      <c r="O13108" s="42"/>
      <c r="R13108" s="42"/>
      <c r="AC13108" s="42"/>
    </row>
    <row r="13109" spans="15:29" x14ac:dyDescent="0.25">
      <c r="O13109" s="42"/>
      <c r="R13109" s="42"/>
      <c r="AC13109" s="42"/>
    </row>
    <row r="13110" spans="15:29" x14ac:dyDescent="0.25">
      <c r="O13110" s="42"/>
      <c r="R13110" s="42"/>
      <c r="AC13110" s="42"/>
    </row>
    <row r="13111" spans="15:29" x14ac:dyDescent="0.25">
      <c r="O13111" s="42"/>
      <c r="R13111" s="42"/>
      <c r="AC13111" s="42"/>
    </row>
    <row r="13112" spans="15:29" x14ac:dyDescent="0.25">
      <c r="O13112" s="42"/>
      <c r="R13112" s="42"/>
      <c r="AC13112" s="42"/>
    </row>
    <row r="13113" spans="15:29" x14ac:dyDescent="0.25">
      <c r="O13113" s="42"/>
      <c r="R13113" s="42"/>
      <c r="AC13113" s="42"/>
    </row>
    <row r="13114" spans="15:29" x14ac:dyDescent="0.25">
      <c r="O13114" s="42"/>
      <c r="R13114" s="42"/>
      <c r="AC13114" s="42"/>
    </row>
    <row r="13115" spans="15:29" x14ac:dyDescent="0.25">
      <c r="O13115" s="42"/>
      <c r="R13115" s="42"/>
      <c r="AC13115" s="42"/>
    </row>
    <row r="13116" spans="15:29" x14ac:dyDescent="0.25">
      <c r="O13116" s="42"/>
      <c r="R13116" s="42"/>
      <c r="AC13116" s="42"/>
    </row>
    <row r="13117" spans="15:29" x14ac:dyDescent="0.25">
      <c r="O13117" s="42"/>
      <c r="R13117" s="42"/>
      <c r="AC13117" s="42"/>
    </row>
    <row r="13118" spans="15:29" x14ac:dyDescent="0.25">
      <c r="O13118" s="42"/>
      <c r="R13118" s="42"/>
      <c r="AC13118" s="42"/>
    </row>
    <row r="13119" spans="15:29" x14ac:dyDescent="0.25">
      <c r="O13119" s="42"/>
      <c r="R13119" s="42"/>
      <c r="AC13119" s="42"/>
    </row>
    <row r="13120" spans="15:29" x14ac:dyDescent="0.25">
      <c r="O13120" s="42"/>
      <c r="R13120" s="42"/>
      <c r="AC13120" s="42"/>
    </row>
    <row r="13121" spans="15:29" x14ac:dyDescent="0.25">
      <c r="O13121" s="42"/>
      <c r="R13121" s="42"/>
      <c r="AC13121" s="42"/>
    </row>
    <row r="13122" spans="15:29" x14ac:dyDescent="0.25">
      <c r="O13122" s="42"/>
      <c r="R13122" s="42"/>
      <c r="AC13122" s="42"/>
    </row>
    <row r="13123" spans="15:29" x14ac:dyDescent="0.25">
      <c r="O13123" s="42"/>
      <c r="R13123" s="42"/>
      <c r="AC13123" s="42"/>
    </row>
    <row r="13124" spans="15:29" x14ac:dyDescent="0.25">
      <c r="O13124" s="42"/>
      <c r="R13124" s="42"/>
      <c r="AC13124" s="42"/>
    </row>
    <row r="13125" spans="15:29" x14ac:dyDescent="0.25">
      <c r="O13125" s="42"/>
      <c r="R13125" s="42"/>
      <c r="AC13125" s="42"/>
    </row>
    <row r="13126" spans="15:29" x14ac:dyDescent="0.25">
      <c r="O13126" s="42"/>
      <c r="R13126" s="42"/>
      <c r="AC13126" s="42"/>
    </row>
    <row r="13127" spans="15:29" x14ac:dyDescent="0.25">
      <c r="O13127" s="42"/>
      <c r="R13127" s="42"/>
      <c r="AC13127" s="42"/>
    </row>
    <row r="13128" spans="15:29" x14ac:dyDescent="0.25">
      <c r="O13128" s="42"/>
      <c r="R13128" s="42"/>
      <c r="AC13128" s="42"/>
    </row>
    <row r="13129" spans="15:29" x14ac:dyDescent="0.25">
      <c r="O13129" s="42"/>
      <c r="R13129" s="42"/>
      <c r="AC13129" s="42"/>
    </row>
    <row r="13130" spans="15:29" x14ac:dyDescent="0.25">
      <c r="O13130" s="42"/>
      <c r="R13130" s="42"/>
      <c r="AC13130" s="42"/>
    </row>
    <row r="13131" spans="15:29" x14ac:dyDescent="0.25">
      <c r="O13131" s="42"/>
      <c r="R13131" s="42"/>
      <c r="AC13131" s="42"/>
    </row>
    <row r="13132" spans="15:29" x14ac:dyDescent="0.25">
      <c r="O13132" s="42"/>
      <c r="R13132" s="42"/>
      <c r="AC13132" s="42"/>
    </row>
    <row r="13133" spans="15:29" x14ac:dyDescent="0.25">
      <c r="O13133" s="42"/>
      <c r="R13133" s="42"/>
      <c r="AC13133" s="42"/>
    </row>
    <row r="13134" spans="15:29" x14ac:dyDescent="0.25">
      <c r="O13134" s="42"/>
      <c r="R13134" s="42"/>
      <c r="AC13134" s="42"/>
    </row>
    <row r="13135" spans="15:29" x14ac:dyDescent="0.25">
      <c r="O13135" s="42"/>
      <c r="R13135" s="42"/>
      <c r="AC13135" s="42"/>
    </row>
    <row r="13136" spans="15:29" x14ac:dyDescent="0.25">
      <c r="O13136" s="42"/>
      <c r="R13136" s="42"/>
      <c r="AC13136" s="42"/>
    </row>
    <row r="13137" spans="15:29" x14ac:dyDescent="0.25">
      <c r="O13137" s="42"/>
      <c r="R13137" s="42"/>
      <c r="AC13137" s="42"/>
    </row>
    <row r="13138" spans="15:29" x14ac:dyDescent="0.25">
      <c r="O13138" s="42"/>
      <c r="R13138" s="42"/>
      <c r="AC13138" s="42"/>
    </row>
    <row r="13139" spans="15:29" x14ac:dyDescent="0.25">
      <c r="O13139" s="42"/>
      <c r="R13139" s="42"/>
      <c r="AC13139" s="42"/>
    </row>
    <row r="13140" spans="15:29" x14ac:dyDescent="0.25">
      <c r="O13140" s="42"/>
      <c r="R13140" s="42"/>
      <c r="AC13140" s="42"/>
    </row>
    <row r="13141" spans="15:29" x14ac:dyDescent="0.25">
      <c r="O13141" s="42"/>
      <c r="R13141" s="42"/>
      <c r="AC13141" s="42"/>
    </row>
    <row r="13142" spans="15:29" x14ac:dyDescent="0.25">
      <c r="O13142" s="42"/>
      <c r="R13142" s="42"/>
      <c r="AC13142" s="42"/>
    </row>
    <row r="13143" spans="15:29" x14ac:dyDescent="0.25">
      <c r="O13143" s="42"/>
      <c r="R13143" s="42"/>
      <c r="AC13143" s="42"/>
    </row>
    <row r="13144" spans="15:29" x14ac:dyDescent="0.25">
      <c r="O13144" s="42"/>
      <c r="R13144" s="42"/>
      <c r="AC13144" s="42"/>
    </row>
    <row r="13145" spans="15:29" x14ac:dyDescent="0.25">
      <c r="O13145" s="42"/>
      <c r="R13145" s="42"/>
      <c r="AC13145" s="42"/>
    </row>
    <row r="13146" spans="15:29" x14ac:dyDescent="0.25">
      <c r="O13146" s="42"/>
      <c r="R13146" s="42"/>
      <c r="AC13146" s="42"/>
    </row>
    <row r="13147" spans="15:29" x14ac:dyDescent="0.25">
      <c r="O13147" s="42"/>
      <c r="R13147" s="42"/>
      <c r="AC13147" s="42"/>
    </row>
    <row r="13148" spans="15:29" x14ac:dyDescent="0.25">
      <c r="O13148" s="42"/>
      <c r="R13148" s="42"/>
      <c r="AC13148" s="42"/>
    </row>
    <row r="13149" spans="15:29" x14ac:dyDescent="0.25">
      <c r="O13149" s="42"/>
      <c r="R13149" s="42"/>
      <c r="AC13149" s="42"/>
    </row>
    <row r="13150" spans="15:29" x14ac:dyDescent="0.25">
      <c r="O13150" s="42"/>
      <c r="R13150" s="42"/>
      <c r="AC13150" s="42"/>
    </row>
    <row r="13151" spans="15:29" x14ac:dyDescent="0.25">
      <c r="O13151" s="42"/>
      <c r="R13151" s="42"/>
      <c r="AC13151" s="42"/>
    </row>
    <row r="13152" spans="15:29" x14ac:dyDescent="0.25">
      <c r="O13152" s="42"/>
      <c r="R13152" s="42"/>
      <c r="AC13152" s="42"/>
    </row>
    <row r="13153" spans="15:29" x14ac:dyDescent="0.25">
      <c r="O13153" s="42"/>
      <c r="R13153" s="42"/>
      <c r="AC13153" s="42"/>
    </row>
    <row r="13154" spans="15:29" x14ac:dyDescent="0.25">
      <c r="O13154" s="42"/>
      <c r="R13154" s="42"/>
      <c r="AC13154" s="42"/>
    </row>
    <row r="13155" spans="15:29" x14ac:dyDescent="0.25">
      <c r="O13155" s="42"/>
      <c r="R13155" s="42"/>
      <c r="AC13155" s="42"/>
    </row>
    <row r="13156" spans="15:29" x14ac:dyDescent="0.25">
      <c r="O13156" s="42"/>
      <c r="R13156" s="42"/>
      <c r="AC13156" s="42"/>
    </row>
    <row r="13157" spans="15:29" x14ac:dyDescent="0.25">
      <c r="O13157" s="42"/>
      <c r="R13157" s="42"/>
      <c r="AC13157" s="42"/>
    </row>
    <row r="13158" spans="15:29" x14ac:dyDescent="0.25">
      <c r="O13158" s="42"/>
      <c r="R13158" s="42"/>
      <c r="AC13158" s="42"/>
    </row>
    <row r="13159" spans="15:29" x14ac:dyDescent="0.25">
      <c r="O13159" s="42"/>
      <c r="R13159" s="42"/>
      <c r="AC13159" s="42"/>
    </row>
    <row r="13160" spans="15:29" x14ac:dyDescent="0.25">
      <c r="O13160" s="42"/>
      <c r="R13160" s="42"/>
      <c r="AC13160" s="42"/>
    </row>
    <row r="13161" spans="15:29" x14ac:dyDescent="0.25">
      <c r="O13161" s="42"/>
      <c r="R13161" s="42"/>
      <c r="AC13161" s="42"/>
    </row>
    <row r="13162" spans="15:29" x14ac:dyDescent="0.25">
      <c r="O13162" s="42"/>
      <c r="R13162" s="42"/>
      <c r="AC13162" s="42"/>
    </row>
    <row r="13163" spans="15:29" x14ac:dyDescent="0.25">
      <c r="O13163" s="42"/>
      <c r="R13163" s="42"/>
      <c r="AC13163" s="42"/>
    </row>
    <row r="13164" spans="15:29" x14ac:dyDescent="0.25">
      <c r="O13164" s="42"/>
      <c r="R13164" s="42"/>
      <c r="AC13164" s="42"/>
    </row>
    <row r="13165" spans="15:29" x14ac:dyDescent="0.25">
      <c r="O13165" s="42"/>
      <c r="R13165" s="42"/>
      <c r="AC13165" s="42"/>
    </row>
    <row r="13166" spans="15:29" x14ac:dyDescent="0.25">
      <c r="O13166" s="42"/>
      <c r="R13166" s="42"/>
      <c r="AC13166" s="42"/>
    </row>
    <row r="13167" spans="15:29" x14ac:dyDescent="0.25">
      <c r="O13167" s="42"/>
      <c r="R13167" s="42"/>
      <c r="AC13167" s="42"/>
    </row>
    <row r="13168" spans="15:29" x14ac:dyDescent="0.25">
      <c r="O13168" s="42"/>
      <c r="R13168" s="42"/>
      <c r="AC13168" s="42"/>
    </row>
    <row r="13169" spans="15:29" x14ac:dyDescent="0.25">
      <c r="O13169" s="42"/>
      <c r="R13169" s="42"/>
      <c r="AC13169" s="42"/>
    </row>
    <row r="13170" spans="15:29" x14ac:dyDescent="0.25">
      <c r="O13170" s="42"/>
      <c r="R13170" s="42"/>
      <c r="AC13170" s="42"/>
    </row>
    <row r="13171" spans="15:29" x14ac:dyDescent="0.25">
      <c r="O13171" s="42"/>
      <c r="R13171" s="42"/>
      <c r="AC13171" s="42"/>
    </row>
    <row r="13172" spans="15:29" x14ac:dyDescent="0.25">
      <c r="O13172" s="42"/>
      <c r="R13172" s="42"/>
      <c r="AC13172" s="42"/>
    </row>
    <row r="13173" spans="15:29" x14ac:dyDescent="0.25">
      <c r="O13173" s="42"/>
      <c r="R13173" s="42"/>
      <c r="AC13173" s="42"/>
    </row>
    <row r="13174" spans="15:29" x14ac:dyDescent="0.25">
      <c r="O13174" s="42"/>
      <c r="R13174" s="42"/>
      <c r="AC13174" s="42"/>
    </row>
    <row r="13175" spans="15:29" x14ac:dyDescent="0.25">
      <c r="O13175" s="42"/>
      <c r="R13175" s="42"/>
      <c r="AC13175" s="42"/>
    </row>
    <row r="13176" spans="15:29" x14ac:dyDescent="0.25">
      <c r="O13176" s="42"/>
      <c r="R13176" s="42"/>
      <c r="AC13176" s="42"/>
    </row>
    <row r="13177" spans="15:29" x14ac:dyDescent="0.25">
      <c r="O13177" s="42"/>
      <c r="R13177" s="42"/>
      <c r="AC13177" s="42"/>
    </row>
    <row r="13178" spans="15:29" x14ac:dyDescent="0.25">
      <c r="O13178" s="42"/>
      <c r="R13178" s="42"/>
      <c r="AC13178" s="42"/>
    </row>
    <row r="13179" spans="15:29" x14ac:dyDescent="0.25">
      <c r="O13179" s="42"/>
      <c r="R13179" s="42"/>
      <c r="AC13179" s="42"/>
    </row>
    <row r="13180" spans="15:29" x14ac:dyDescent="0.25">
      <c r="O13180" s="42"/>
      <c r="R13180" s="42"/>
      <c r="AC13180" s="42"/>
    </row>
    <row r="13181" spans="15:29" x14ac:dyDescent="0.25">
      <c r="O13181" s="42"/>
      <c r="R13181" s="42"/>
      <c r="AC13181" s="42"/>
    </row>
    <row r="13182" spans="15:29" x14ac:dyDescent="0.25">
      <c r="O13182" s="42"/>
      <c r="R13182" s="42"/>
      <c r="AC13182" s="42"/>
    </row>
    <row r="13183" spans="15:29" x14ac:dyDescent="0.25">
      <c r="O13183" s="42"/>
      <c r="R13183" s="42"/>
      <c r="AC13183" s="42"/>
    </row>
    <row r="13184" spans="15:29" x14ac:dyDescent="0.25">
      <c r="O13184" s="42"/>
      <c r="R13184" s="42"/>
      <c r="AC13184" s="42"/>
    </row>
    <row r="13185" spans="15:29" x14ac:dyDescent="0.25">
      <c r="O13185" s="42"/>
      <c r="R13185" s="42"/>
      <c r="AC13185" s="42"/>
    </row>
    <row r="13186" spans="15:29" x14ac:dyDescent="0.25">
      <c r="O13186" s="42"/>
      <c r="R13186" s="42"/>
      <c r="AC13186" s="42"/>
    </row>
    <row r="13187" spans="15:29" x14ac:dyDescent="0.25">
      <c r="O13187" s="42"/>
      <c r="R13187" s="42"/>
      <c r="AC13187" s="42"/>
    </row>
    <row r="13188" spans="15:29" x14ac:dyDescent="0.25">
      <c r="O13188" s="42"/>
      <c r="R13188" s="42"/>
      <c r="AC13188" s="42"/>
    </row>
    <row r="13189" spans="15:29" x14ac:dyDescent="0.25">
      <c r="O13189" s="42"/>
      <c r="R13189" s="42"/>
      <c r="AC13189" s="42"/>
    </row>
    <row r="13190" spans="15:29" x14ac:dyDescent="0.25">
      <c r="O13190" s="42"/>
      <c r="R13190" s="42"/>
      <c r="AC13190" s="42"/>
    </row>
    <row r="13191" spans="15:29" x14ac:dyDescent="0.25">
      <c r="O13191" s="42"/>
      <c r="R13191" s="42"/>
      <c r="AC13191" s="42"/>
    </row>
    <row r="13192" spans="15:29" x14ac:dyDescent="0.25">
      <c r="O13192" s="42"/>
      <c r="R13192" s="42"/>
      <c r="AC13192" s="42"/>
    </row>
    <row r="13193" spans="15:29" x14ac:dyDescent="0.25">
      <c r="O13193" s="42"/>
      <c r="R13193" s="42"/>
      <c r="AC13193" s="42"/>
    </row>
    <row r="13194" spans="15:29" x14ac:dyDescent="0.25">
      <c r="O13194" s="42"/>
      <c r="R13194" s="42"/>
      <c r="AC13194" s="42"/>
    </row>
    <row r="13195" spans="15:29" x14ac:dyDescent="0.25">
      <c r="O13195" s="42"/>
      <c r="R13195" s="42"/>
      <c r="AC13195" s="42"/>
    </row>
    <row r="13196" spans="15:29" x14ac:dyDescent="0.25">
      <c r="O13196" s="42"/>
      <c r="R13196" s="42"/>
      <c r="AC13196" s="42"/>
    </row>
    <row r="13197" spans="15:29" x14ac:dyDescent="0.25">
      <c r="O13197" s="42"/>
      <c r="R13197" s="42"/>
      <c r="AC13197" s="42"/>
    </row>
    <row r="13198" spans="15:29" x14ac:dyDescent="0.25">
      <c r="O13198" s="42"/>
      <c r="R13198" s="42"/>
      <c r="AC13198" s="42"/>
    </row>
    <row r="13199" spans="15:29" x14ac:dyDescent="0.25">
      <c r="O13199" s="42"/>
      <c r="R13199" s="42"/>
      <c r="AC13199" s="42"/>
    </row>
    <row r="13200" spans="15:29" x14ac:dyDescent="0.25">
      <c r="O13200" s="42"/>
      <c r="R13200" s="42"/>
      <c r="AC13200" s="42"/>
    </row>
    <row r="13201" spans="15:29" x14ac:dyDescent="0.25">
      <c r="O13201" s="42"/>
      <c r="R13201" s="42"/>
      <c r="AC13201" s="42"/>
    </row>
    <row r="13202" spans="15:29" x14ac:dyDescent="0.25">
      <c r="O13202" s="42"/>
      <c r="R13202" s="42"/>
      <c r="AC13202" s="42"/>
    </row>
    <row r="13203" spans="15:29" x14ac:dyDescent="0.25">
      <c r="O13203" s="42"/>
      <c r="R13203" s="42"/>
      <c r="AC13203" s="42"/>
    </row>
    <row r="13204" spans="15:29" x14ac:dyDescent="0.25">
      <c r="O13204" s="42"/>
      <c r="R13204" s="42"/>
      <c r="AC13204" s="42"/>
    </row>
    <row r="13205" spans="15:29" x14ac:dyDescent="0.25">
      <c r="O13205" s="42"/>
      <c r="R13205" s="42"/>
      <c r="AC13205" s="42"/>
    </row>
    <row r="13206" spans="15:29" x14ac:dyDescent="0.25">
      <c r="O13206" s="42"/>
      <c r="R13206" s="42"/>
      <c r="AC13206" s="42"/>
    </row>
    <row r="13207" spans="15:29" x14ac:dyDescent="0.25">
      <c r="O13207" s="42"/>
      <c r="R13207" s="42"/>
      <c r="AC13207" s="42"/>
    </row>
    <row r="13208" spans="15:29" x14ac:dyDescent="0.25">
      <c r="O13208" s="42"/>
      <c r="R13208" s="42"/>
      <c r="AC13208" s="42"/>
    </row>
    <row r="13209" spans="15:29" x14ac:dyDescent="0.25">
      <c r="O13209" s="42"/>
      <c r="R13209" s="42"/>
      <c r="AC13209" s="42"/>
    </row>
    <row r="13210" spans="15:29" x14ac:dyDescent="0.25">
      <c r="O13210" s="42"/>
      <c r="R13210" s="42"/>
      <c r="AC13210" s="42"/>
    </row>
    <row r="13211" spans="15:29" x14ac:dyDescent="0.25">
      <c r="O13211" s="42"/>
      <c r="R13211" s="42"/>
      <c r="AC13211" s="42"/>
    </row>
    <row r="13212" spans="15:29" x14ac:dyDescent="0.25">
      <c r="O13212" s="42"/>
      <c r="R13212" s="42"/>
      <c r="AC13212" s="42"/>
    </row>
    <row r="13213" spans="15:29" x14ac:dyDescent="0.25">
      <c r="O13213" s="42"/>
      <c r="R13213" s="42"/>
      <c r="AC13213" s="42"/>
    </row>
    <row r="13214" spans="15:29" x14ac:dyDescent="0.25">
      <c r="O13214" s="42"/>
      <c r="R13214" s="42"/>
      <c r="AC13214" s="42"/>
    </row>
    <row r="13215" spans="15:29" x14ac:dyDescent="0.25">
      <c r="O13215" s="42"/>
      <c r="R13215" s="42"/>
      <c r="AC13215" s="42"/>
    </row>
    <row r="13216" spans="15:29" x14ac:dyDescent="0.25">
      <c r="O13216" s="42"/>
      <c r="R13216" s="42"/>
      <c r="AC13216" s="42"/>
    </row>
    <row r="13217" spans="15:29" x14ac:dyDescent="0.25">
      <c r="O13217" s="42"/>
      <c r="R13217" s="42"/>
      <c r="AC13217" s="42"/>
    </row>
    <row r="13218" spans="15:29" x14ac:dyDescent="0.25">
      <c r="O13218" s="42"/>
      <c r="R13218" s="42"/>
      <c r="AC13218" s="42"/>
    </row>
    <row r="13219" spans="15:29" x14ac:dyDescent="0.25">
      <c r="O13219" s="42"/>
      <c r="R13219" s="42"/>
      <c r="AC13219" s="42"/>
    </row>
    <row r="13220" spans="15:29" x14ac:dyDescent="0.25">
      <c r="O13220" s="42"/>
      <c r="R13220" s="42"/>
      <c r="AC13220" s="42"/>
    </row>
    <row r="13221" spans="15:29" x14ac:dyDescent="0.25">
      <c r="O13221" s="42"/>
      <c r="R13221" s="42"/>
      <c r="AC13221" s="42"/>
    </row>
    <row r="13222" spans="15:29" x14ac:dyDescent="0.25">
      <c r="O13222" s="42"/>
      <c r="R13222" s="42"/>
      <c r="AC13222" s="42"/>
    </row>
    <row r="13223" spans="15:29" x14ac:dyDescent="0.25">
      <c r="O13223" s="42"/>
      <c r="R13223" s="42"/>
      <c r="AC13223" s="42"/>
    </row>
    <row r="13224" spans="15:29" x14ac:dyDescent="0.25">
      <c r="O13224" s="42"/>
      <c r="R13224" s="42"/>
      <c r="AC13224" s="42"/>
    </row>
    <row r="13225" spans="15:29" x14ac:dyDescent="0.25">
      <c r="O13225" s="42"/>
      <c r="R13225" s="42"/>
      <c r="AC13225" s="42"/>
    </row>
    <row r="13226" spans="15:29" x14ac:dyDescent="0.25">
      <c r="O13226" s="42"/>
      <c r="R13226" s="42"/>
      <c r="AC13226" s="42"/>
    </row>
    <row r="13227" spans="15:29" x14ac:dyDescent="0.25">
      <c r="O13227" s="42"/>
      <c r="R13227" s="42"/>
      <c r="AC13227" s="42"/>
    </row>
    <row r="13228" spans="15:29" x14ac:dyDescent="0.25">
      <c r="O13228" s="42"/>
      <c r="R13228" s="42"/>
      <c r="AC13228" s="42"/>
    </row>
    <row r="13229" spans="15:29" x14ac:dyDescent="0.25">
      <c r="O13229" s="42"/>
      <c r="R13229" s="42"/>
      <c r="AC13229" s="42"/>
    </row>
    <row r="13230" spans="15:29" x14ac:dyDescent="0.25">
      <c r="O13230" s="42"/>
      <c r="R13230" s="42"/>
      <c r="AC13230" s="42"/>
    </row>
    <row r="13231" spans="15:29" x14ac:dyDescent="0.25">
      <c r="O13231" s="42"/>
      <c r="R13231" s="42"/>
      <c r="AC13231" s="42"/>
    </row>
    <row r="13232" spans="15:29" x14ac:dyDescent="0.25">
      <c r="O13232" s="42"/>
      <c r="R13232" s="42"/>
      <c r="AC13232" s="42"/>
    </row>
    <row r="13233" spans="15:29" x14ac:dyDescent="0.25">
      <c r="O13233" s="42"/>
      <c r="R13233" s="42"/>
      <c r="AC13233" s="42"/>
    </row>
    <row r="13234" spans="15:29" x14ac:dyDescent="0.25">
      <c r="O13234" s="42"/>
      <c r="R13234" s="42"/>
      <c r="AC13234" s="42"/>
    </row>
    <row r="13235" spans="15:29" x14ac:dyDescent="0.25">
      <c r="O13235" s="42"/>
      <c r="R13235" s="42"/>
      <c r="AC13235" s="42"/>
    </row>
    <row r="13236" spans="15:29" x14ac:dyDescent="0.25">
      <c r="O13236" s="42"/>
      <c r="R13236" s="42"/>
      <c r="AC13236" s="42"/>
    </row>
    <row r="13237" spans="15:29" x14ac:dyDescent="0.25">
      <c r="O13237" s="42"/>
      <c r="R13237" s="42"/>
      <c r="AC13237" s="42"/>
    </row>
    <row r="13238" spans="15:29" x14ac:dyDescent="0.25">
      <c r="O13238" s="42"/>
      <c r="R13238" s="42"/>
      <c r="AC13238" s="42"/>
    </row>
    <row r="13239" spans="15:29" x14ac:dyDescent="0.25">
      <c r="O13239" s="42"/>
      <c r="R13239" s="42"/>
      <c r="AC13239" s="42"/>
    </row>
    <row r="13240" spans="15:29" x14ac:dyDescent="0.25">
      <c r="O13240" s="42"/>
      <c r="R13240" s="42"/>
      <c r="AC13240" s="42"/>
    </row>
    <row r="13241" spans="15:29" x14ac:dyDescent="0.25">
      <c r="O13241" s="42"/>
      <c r="R13241" s="42"/>
      <c r="AC13241" s="42"/>
    </row>
    <row r="13242" spans="15:29" x14ac:dyDescent="0.25">
      <c r="O13242" s="42"/>
      <c r="R13242" s="42"/>
      <c r="AC13242" s="42"/>
    </row>
    <row r="13243" spans="15:29" x14ac:dyDescent="0.25">
      <c r="O13243" s="42"/>
      <c r="R13243" s="42"/>
      <c r="AC13243" s="42"/>
    </row>
    <row r="13244" spans="15:29" x14ac:dyDescent="0.25">
      <c r="O13244" s="42"/>
      <c r="R13244" s="42"/>
      <c r="AC13244" s="42"/>
    </row>
    <row r="13245" spans="15:29" x14ac:dyDescent="0.25">
      <c r="O13245" s="42"/>
      <c r="R13245" s="42"/>
      <c r="AC13245" s="42"/>
    </row>
    <row r="13246" spans="15:29" x14ac:dyDescent="0.25">
      <c r="O13246" s="42"/>
      <c r="R13246" s="42"/>
      <c r="AC13246" s="42"/>
    </row>
    <row r="13247" spans="15:29" x14ac:dyDescent="0.25">
      <c r="O13247" s="42"/>
      <c r="R13247" s="42"/>
      <c r="AC13247" s="42"/>
    </row>
    <row r="13248" spans="15:29" x14ac:dyDescent="0.25">
      <c r="O13248" s="42"/>
      <c r="R13248" s="42"/>
      <c r="AC13248" s="42"/>
    </row>
    <row r="13249" spans="15:29" x14ac:dyDescent="0.25">
      <c r="O13249" s="42"/>
      <c r="R13249" s="42"/>
      <c r="AC13249" s="42"/>
    </row>
    <row r="13250" spans="15:29" x14ac:dyDescent="0.25">
      <c r="O13250" s="42"/>
      <c r="R13250" s="42"/>
      <c r="AC13250" s="42"/>
    </row>
    <row r="13251" spans="15:29" x14ac:dyDescent="0.25">
      <c r="O13251" s="42"/>
      <c r="R13251" s="42"/>
      <c r="AC13251" s="42"/>
    </row>
    <row r="13252" spans="15:29" x14ac:dyDescent="0.25">
      <c r="O13252" s="42"/>
      <c r="R13252" s="42"/>
      <c r="AC13252" s="42"/>
    </row>
    <row r="13253" spans="15:29" x14ac:dyDescent="0.25">
      <c r="O13253" s="42"/>
      <c r="R13253" s="42"/>
      <c r="AC13253" s="42"/>
    </row>
    <row r="13254" spans="15:29" x14ac:dyDescent="0.25">
      <c r="O13254" s="42"/>
      <c r="R13254" s="42"/>
      <c r="AC13254" s="42"/>
    </row>
    <row r="13255" spans="15:29" x14ac:dyDescent="0.25">
      <c r="O13255" s="42"/>
      <c r="R13255" s="42"/>
      <c r="AC13255" s="42"/>
    </row>
    <row r="13256" spans="15:29" x14ac:dyDescent="0.25">
      <c r="O13256" s="42"/>
      <c r="R13256" s="42"/>
      <c r="AC13256" s="42"/>
    </row>
    <row r="13257" spans="15:29" x14ac:dyDescent="0.25">
      <c r="O13257" s="42"/>
      <c r="R13257" s="42"/>
      <c r="AC13257" s="42"/>
    </row>
    <row r="13258" spans="15:29" x14ac:dyDescent="0.25">
      <c r="O13258" s="42"/>
      <c r="R13258" s="42"/>
      <c r="AC13258" s="42"/>
    </row>
    <row r="13259" spans="15:29" x14ac:dyDescent="0.25">
      <c r="O13259" s="42"/>
      <c r="R13259" s="42"/>
      <c r="AC13259" s="42"/>
    </row>
    <row r="13260" spans="15:29" x14ac:dyDescent="0.25">
      <c r="O13260" s="42"/>
      <c r="R13260" s="42"/>
      <c r="AC13260" s="42"/>
    </row>
    <row r="13261" spans="15:29" x14ac:dyDescent="0.25">
      <c r="O13261" s="42"/>
      <c r="R13261" s="42"/>
      <c r="AC13261" s="42"/>
    </row>
    <row r="13262" spans="15:29" x14ac:dyDescent="0.25">
      <c r="O13262" s="42"/>
      <c r="R13262" s="42"/>
      <c r="AC13262" s="42"/>
    </row>
    <row r="13263" spans="15:29" x14ac:dyDescent="0.25">
      <c r="O13263" s="42"/>
      <c r="R13263" s="42"/>
      <c r="AC13263" s="42"/>
    </row>
    <row r="13264" spans="15:29" x14ac:dyDescent="0.25">
      <c r="O13264" s="42"/>
      <c r="R13264" s="42"/>
      <c r="AC13264" s="42"/>
    </row>
    <row r="13265" spans="15:29" x14ac:dyDescent="0.25">
      <c r="O13265" s="42"/>
      <c r="R13265" s="42"/>
      <c r="AC13265" s="42"/>
    </row>
    <row r="13266" spans="15:29" x14ac:dyDescent="0.25">
      <c r="O13266" s="42"/>
      <c r="R13266" s="42"/>
      <c r="AC13266" s="42"/>
    </row>
    <row r="13267" spans="15:29" x14ac:dyDescent="0.25">
      <c r="O13267" s="42"/>
      <c r="R13267" s="42"/>
      <c r="AC13267" s="42"/>
    </row>
    <row r="13268" spans="15:29" x14ac:dyDescent="0.25">
      <c r="O13268" s="42"/>
      <c r="R13268" s="42"/>
      <c r="AC13268" s="42"/>
    </row>
    <row r="13269" spans="15:29" x14ac:dyDescent="0.25">
      <c r="O13269" s="42"/>
      <c r="R13269" s="42"/>
      <c r="AC13269" s="42"/>
    </row>
    <row r="13270" spans="15:29" x14ac:dyDescent="0.25">
      <c r="O13270" s="42"/>
      <c r="R13270" s="42"/>
      <c r="AC13270" s="42"/>
    </row>
    <row r="13271" spans="15:29" x14ac:dyDescent="0.25">
      <c r="O13271" s="42"/>
      <c r="R13271" s="42"/>
      <c r="AC13271" s="42"/>
    </row>
    <row r="13272" spans="15:29" x14ac:dyDescent="0.25">
      <c r="O13272" s="42"/>
      <c r="R13272" s="42"/>
      <c r="AC13272" s="42"/>
    </row>
    <row r="13273" spans="15:29" x14ac:dyDescent="0.25">
      <c r="O13273" s="42"/>
      <c r="R13273" s="42"/>
      <c r="AC13273" s="42"/>
    </row>
    <row r="13274" spans="15:29" x14ac:dyDescent="0.25">
      <c r="O13274" s="42"/>
      <c r="R13274" s="42"/>
      <c r="AC13274" s="42"/>
    </row>
    <row r="13275" spans="15:29" x14ac:dyDescent="0.25">
      <c r="O13275" s="42"/>
      <c r="R13275" s="42"/>
      <c r="AC13275" s="42"/>
    </row>
    <row r="13276" spans="15:29" x14ac:dyDescent="0.25">
      <c r="O13276" s="42"/>
      <c r="R13276" s="42"/>
      <c r="AC13276" s="42"/>
    </row>
    <row r="13277" spans="15:29" x14ac:dyDescent="0.25">
      <c r="O13277" s="42"/>
      <c r="R13277" s="42"/>
      <c r="AC13277" s="42"/>
    </row>
    <row r="13278" spans="15:29" x14ac:dyDescent="0.25">
      <c r="O13278" s="42"/>
      <c r="R13278" s="42"/>
      <c r="AC13278" s="42"/>
    </row>
    <row r="13279" spans="15:29" x14ac:dyDescent="0.25">
      <c r="O13279" s="42"/>
      <c r="R13279" s="42"/>
      <c r="AC13279" s="42"/>
    </row>
    <row r="13280" spans="15:29" x14ac:dyDescent="0.25">
      <c r="O13280" s="42"/>
      <c r="R13280" s="42"/>
      <c r="AC13280" s="42"/>
    </row>
    <row r="13281" spans="15:29" x14ac:dyDescent="0.25">
      <c r="O13281" s="42"/>
      <c r="R13281" s="42"/>
      <c r="AC13281" s="42"/>
    </row>
    <row r="13282" spans="15:29" x14ac:dyDescent="0.25">
      <c r="O13282" s="42"/>
      <c r="R13282" s="42"/>
      <c r="AC13282" s="42"/>
    </row>
    <row r="13283" spans="15:29" x14ac:dyDescent="0.25">
      <c r="O13283" s="42"/>
      <c r="R13283" s="42"/>
      <c r="AC13283" s="42"/>
    </row>
    <row r="13284" spans="15:29" x14ac:dyDescent="0.25">
      <c r="O13284" s="42"/>
      <c r="R13284" s="42"/>
      <c r="AC13284" s="42"/>
    </row>
    <row r="13285" spans="15:29" x14ac:dyDescent="0.25">
      <c r="O13285" s="42"/>
      <c r="R13285" s="42"/>
      <c r="AC13285" s="42"/>
    </row>
    <row r="13286" spans="15:29" x14ac:dyDescent="0.25">
      <c r="O13286" s="42"/>
      <c r="R13286" s="42"/>
      <c r="AC13286" s="42"/>
    </row>
    <row r="13287" spans="15:29" x14ac:dyDescent="0.25">
      <c r="O13287" s="42"/>
      <c r="R13287" s="42"/>
      <c r="AC13287" s="42"/>
    </row>
    <row r="13288" spans="15:29" x14ac:dyDescent="0.25">
      <c r="O13288" s="42"/>
      <c r="R13288" s="42"/>
      <c r="AC13288" s="42"/>
    </row>
    <row r="13289" spans="15:29" x14ac:dyDescent="0.25">
      <c r="O13289" s="42"/>
      <c r="R13289" s="42"/>
      <c r="AC13289" s="42"/>
    </row>
    <row r="13290" spans="15:29" x14ac:dyDescent="0.25">
      <c r="O13290" s="42"/>
      <c r="R13290" s="42"/>
      <c r="AC13290" s="42"/>
    </row>
    <row r="13291" spans="15:29" x14ac:dyDescent="0.25">
      <c r="O13291" s="42"/>
      <c r="R13291" s="42"/>
      <c r="AC13291" s="42"/>
    </row>
    <row r="13292" spans="15:29" x14ac:dyDescent="0.25">
      <c r="O13292" s="42"/>
      <c r="R13292" s="42"/>
      <c r="AC13292" s="42"/>
    </row>
    <row r="13293" spans="15:29" x14ac:dyDescent="0.25">
      <c r="O13293" s="42"/>
      <c r="R13293" s="42"/>
      <c r="AC13293" s="42"/>
    </row>
    <row r="13294" spans="15:29" x14ac:dyDescent="0.25">
      <c r="O13294" s="42"/>
      <c r="R13294" s="42"/>
      <c r="AC13294" s="42"/>
    </row>
    <row r="13295" spans="15:29" x14ac:dyDescent="0.25">
      <c r="O13295" s="42"/>
      <c r="R13295" s="42"/>
      <c r="AC13295" s="42"/>
    </row>
    <row r="13296" spans="15:29" x14ac:dyDescent="0.25">
      <c r="O13296" s="42"/>
      <c r="R13296" s="42"/>
      <c r="AC13296" s="42"/>
    </row>
    <row r="13297" spans="15:29" x14ac:dyDescent="0.25">
      <c r="O13297" s="42"/>
      <c r="R13297" s="42"/>
      <c r="AC13297" s="42"/>
    </row>
    <row r="13298" spans="15:29" x14ac:dyDescent="0.25">
      <c r="O13298" s="42"/>
      <c r="R13298" s="42"/>
      <c r="AC13298" s="42"/>
    </row>
    <row r="13299" spans="15:29" x14ac:dyDescent="0.25">
      <c r="O13299" s="42"/>
      <c r="R13299" s="42"/>
      <c r="AC13299" s="42"/>
    </row>
    <row r="13300" spans="15:29" x14ac:dyDescent="0.25">
      <c r="O13300" s="42"/>
      <c r="R13300" s="42"/>
      <c r="AC13300" s="42"/>
    </row>
    <row r="13301" spans="15:29" x14ac:dyDescent="0.25">
      <c r="O13301" s="42"/>
      <c r="R13301" s="42"/>
      <c r="AC13301" s="42"/>
    </row>
    <row r="13302" spans="15:29" x14ac:dyDescent="0.25">
      <c r="O13302" s="42"/>
      <c r="R13302" s="42"/>
      <c r="AC13302" s="42"/>
    </row>
    <row r="13303" spans="15:29" x14ac:dyDescent="0.25">
      <c r="O13303" s="42"/>
      <c r="R13303" s="42"/>
      <c r="AC13303" s="42"/>
    </row>
    <row r="13304" spans="15:29" x14ac:dyDescent="0.25">
      <c r="O13304" s="42"/>
      <c r="R13304" s="42"/>
      <c r="AC13304" s="42"/>
    </row>
    <row r="13305" spans="15:29" x14ac:dyDescent="0.25">
      <c r="O13305" s="42"/>
      <c r="R13305" s="42"/>
      <c r="AC13305" s="42"/>
    </row>
    <row r="13306" spans="15:29" x14ac:dyDescent="0.25">
      <c r="O13306" s="42"/>
      <c r="R13306" s="42"/>
      <c r="AC13306" s="42"/>
    </row>
    <row r="13307" spans="15:29" x14ac:dyDescent="0.25">
      <c r="O13307" s="42"/>
      <c r="R13307" s="42"/>
      <c r="AC13307" s="42"/>
    </row>
    <row r="13308" spans="15:29" x14ac:dyDescent="0.25">
      <c r="O13308" s="42"/>
      <c r="R13308" s="42"/>
      <c r="AC13308" s="42"/>
    </row>
    <row r="13309" spans="15:29" x14ac:dyDescent="0.25">
      <c r="O13309" s="42"/>
      <c r="R13309" s="42"/>
      <c r="AC13309" s="42"/>
    </row>
    <row r="13310" spans="15:29" x14ac:dyDescent="0.25">
      <c r="O13310" s="42"/>
      <c r="R13310" s="42"/>
      <c r="AC13310" s="42"/>
    </row>
    <row r="13311" spans="15:29" x14ac:dyDescent="0.25">
      <c r="O13311" s="42"/>
      <c r="R13311" s="42"/>
      <c r="AC13311" s="42"/>
    </row>
    <row r="13312" spans="15:29" x14ac:dyDescent="0.25">
      <c r="O13312" s="42"/>
      <c r="R13312" s="42"/>
      <c r="AC13312" s="42"/>
    </row>
    <row r="13313" spans="15:29" x14ac:dyDescent="0.25">
      <c r="O13313" s="42"/>
      <c r="R13313" s="42"/>
      <c r="AC13313" s="42"/>
    </row>
    <row r="13314" spans="15:29" x14ac:dyDescent="0.25">
      <c r="O13314" s="42"/>
      <c r="R13314" s="42"/>
      <c r="AC13314" s="42"/>
    </row>
    <row r="13315" spans="15:29" x14ac:dyDescent="0.25">
      <c r="O13315" s="42"/>
      <c r="R13315" s="42"/>
      <c r="AC13315" s="42"/>
    </row>
    <row r="13316" spans="15:29" x14ac:dyDescent="0.25">
      <c r="O13316" s="42"/>
      <c r="R13316" s="42"/>
      <c r="AC13316" s="42"/>
    </row>
    <row r="13317" spans="15:29" x14ac:dyDescent="0.25">
      <c r="O13317" s="42"/>
      <c r="R13317" s="42"/>
      <c r="AC13317" s="42"/>
    </row>
    <row r="13318" spans="15:29" x14ac:dyDescent="0.25">
      <c r="O13318" s="42"/>
      <c r="R13318" s="42"/>
      <c r="AC13318" s="42"/>
    </row>
    <row r="13319" spans="15:29" x14ac:dyDescent="0.25">
      <c r="O13319" s="42"/>
      <c r="R13319" s="42"/>
      <c r="AC13319" s="42"/>
    </row>
    <row r="13320" spans="15:29" x14ac:dyDescent="0.25">
      <c r="O13320" s="42"/>
      <c r="R13320" s="42"/>
      <c r="AC13320" s="42"/>
    </row>
    <row r="13321" spans="15:29" x14ac:dyDescent="0.25">
      <c r="O13321" s="42"/>
      <c r="R13321" s="42"/>
      <c r="AC13321" s="42"/>
    </row>
    <row r="13322" spans="15:29" x14ac:dyDescent="0.25">
      <c r="O13322" s="42"/>
      <c r="R13322" s="42"/>
      <c r="AC13322" s="42"/>
    </row>
    <row r="13323" spans="15:29" x14ac:dyDescent="0.25">
      <c r="O13323" s="42"/>
      <c r="R13323" s="42"/>
      <c r="AC13323" s="42"/>
    </row>
    <row r="13324" spans="15:29" x14ac:dyDescent="0.25">
      <c r="O13324" s="42"/>
      <c r="R13324" s="42"/>
      <c r="AC13324" s="42"/>
    </row>
    <row r="13325" spans="15:29" x14ac:dyDescent="0.25">
      <c r="O13325" s="42"/>
      <c r="R13325" s="42"/>
      <c r="AC13325" s="42"/>
    </row>
    <row r="13326" spans="15:29" x14ac:dyDescent="0.25">
      <c r="O13326" s="42"/>
      <c r="R13326" s="42"/>
      <c r="AC13326" s="42"/>
    </row>
    <row r="13327" spans="15:29" x14ac:dyDescent="0.25">
      <c r="O13327" s="42"/>
      <c r="R13327" s="42"/>
      <c r="AC13327" s="42"/>
    </row>
    <row r="13328" spans="15:29" x14ac:dyDescent="0.25">
      <c r="O13328" s="42"/>
      <c r="R13328" s="42"/>
      <c r="AC13328" s="42"/>
    </row>
    <row r="13329" spans="15:29" x14ac:dyDescent="0.25">
      <c r="O13329" s="42"/>
      <c r="R13329" s="42"/>
      <c r="AC13329" s="42"/>
    </row>
    <row r="13330" spans="15:29" x14ac:dyDescent="0.25">
      <c r="O13330" s="42"/>
      <c r="R13330" s="42"/>
      <c r="AC13330" s="42"/>
    </row>
    <row r="13331" spans="15:29" x14ac:dyDescent="0.25">
      <c r="O13331" s="42"/>
      <c r="R13331" s="42"/>
      <c r="AC13331" s="42"/>
    </row>
    <row r="13332" spans="15:29" x14ac:dyDescent="0.25">
      <c r="O13332" s="42"/>
      <c r="R13332" s="42"/>
      <c r="AC13332" s="42"/>
    </row>
    <row r="13333" spans="15:29" x14ac:dyDescent="0.25">
      <c r="O13333" s="42"/>
      <c r="R13333" s="42"/>
      <c r="AC13333" s="42"/>
    </row>
    <row r="13334" spans="15:29" x14ac:dyDescent="0.25">
      <c r="O13334" s="42"/>
      <c r="R13334" s="42"/>
      <c r="AC13334" s="42"/>
    </row>
    <row r="13335" spans="15:29" x14ac:dyDescent="0.25">
      <c r="O13335" s="42"/>
      <c r="R13335" s="42"/>
      <c r="AC13335" s="42"/>
    </row>
    <row r="13336" spans="15:29" x14ac:dyDescent="0.25">
      <c r="O13336" s="42"/>
      <c r="R13336" s="42"/>
      <c r="AC13336" s="42"/>
    </row>
    <row r="13337" spans="15:29" x14ac:dyDescent="0.25">
      <c r="O13337" s="42"/>
      <c r="R13337" s="42"/>
      <c r="AC13337" s="42"/>
    </row>
    <row r="13338" spans="15:29" x14ac:dyDescent="0.25">
      <c r="O13338" s="42"/>
      <c r="R13338" s="42"/>
      <c r="AC13338" s="42"/>
    </row>
    <row r="13339" spans="15:29" x14ac:dyDescent="0.25">
      <c r="O13339" s="42"/>
      <c r="R13339" s="42"/>
      <c r="AC13339" s="42"/>
    </row>
    <row r="13340" spans="15:29" x14ac:dyDescent="0.25">
      <c r="O13340" s="42"/>
      <c r="R13340" s="42"/>
      <c r="AC13340" s="42"/>
    </row>
    <row r="13341" spans="15:29" x14ac:dyDescent="0.25">
      <c r="O13341" s="42"/>
      <c r="R13341" s="42"/>
      <c r="AC13341" s="42"/>
    </row>
    <row r="13342" spans="15:29" x14ac:dyDescent="0.25">
      <c r="O13342" s="42"/>
      <c r="R13342" s="42"/>
      <c r="AC13342" s="42"/>
    </row>
    <row r="13343" spans="15:29" x14ac:dyDescent="0.25">
      <c r="O13343" s="42"/>
      <c r="R13343" s="42"/>
      <c r="AC13343" s="42"/>
    </row>
    <row r="13344" spans="15:29" x14ac:dyDescent="0.25">
      <c r="O13344" s="42"/>
      <c r="R13344" s="42"/>
      <c r="AC13344" s="42"/>
    </row>
    <row r="13345" spans="15:29" x14ac:dyDescent="0.25">
      <c r="O13345" s="42"/>
      <c r="R13345" s="42"/>
      <c r="AC13345" s="42"/>
    </row>
    <row r="13346" spans="15:29" x14ac:dyDescent="0.25">
      <c r="O13346" s="42"/>
      <c r="R13346" s="42"/>
      <c r="AC13346" s="42"/>
    </row>
    <row r="13347" spans="15:29" x14ac:dyDescent="0.25">
      <c r="O13347" s="42"/>
      <c r="R13347" s="42"/>
      <c r="AC13347" s="42"/>
    </row>
    <row r="13348" spans="15:29" x14ac:dyDescent="0.25">
      <c r="O13348" s="42"/>
      <c r="R13348" s="42"/>
      <c r="AC13348" s="42"/>
    </row>
    <row r="13349" spans="15:29" x14ac:dyDescent="0.25">
      <c r="O13349" s="42"/>
      <c r="R13349" s="42"/>
      <c r="AC13349" s="42"/>
    </row>
    <row r="13350" spans="15:29" x14ac:dyDescent="0.25">
      <c r="O13350" s="42"/>
      <c r="R13350" s="42"/>
      <c r="AC13350" s="42"/>
    </row>
    <row r="13351" spans="15:29" x14ac:dyDescent="0.25">
      <c r="O13351" s="42"/>
      <c r="R13351" s="42"/>
      <c r="AC13351" s="42"/>
    </row>
    <row r="13352" spans="15:29" x14ac:dyDescent="0.25">
      <c r="O13352" s="42"/>
      <c r="R13352" s="42"/>
      <c r="AC13352" s="42"/>
    </row>
    <row r="13353" spans="15:29" x14ac:dyDescent="0.25">
      <c r="O13353" s="42"/>
      <c r="R13353" s="42"/>
      <c r="AC13353" s="42"/>
    </row>
    <row r="13354" spans="15:29" x14ac:dyDescent="0.25">
      <c r="O13354" s="42"/>
      <c r="R13354" s="42"/>
      <c r="AC13354" s="42"/>
    </row>
    <row r="13355" spans="15:29" x14ac:dyDescent="0.25">
      <c r="O13355" s="42"/>
      <c r="R13355" s="42"/>
      <c r="AC13355" s="42"/>
    </row>
    <row r="13356" spans="15:29" x14ac:dyDescent="0.25">
      <c r="O13356" s="42"/>
      <c r="R13356" s="42"/>
      <c r="AC13356" s="42"/>
    </row>
    <row r="13357" spans="15:29" x14ac:dyDescent="0.25">
      <c r="O13357" s="42"/>
      <c r="R13357" s="42"/>
      <c r="AC13357" s="42"/>
    </row>
    <row r="13358" spans="15:29" x14ac:dyDescent="0.25">
      <c r="O13358" s="42"/>
      <c r="R13358" s="42"/>
      <c r="AC13358" s="42"/>
    </row>
    <row r="13359" spans="15:29" x14ac:dyDescent="0.25">
      <c r="O13359" s="42"/>
      <c r="R13359" s="42"/>
      <c r="AC13359" s="42"/>
    </row>
    <row r="13360" spans="15:29" x14ac:dyDescent="0.25">
      <c r="O13360" s="42"/>
      <c r="R13360" s="42"/>
      <c r="AC13360" s="42"/>
    </row>
    <row r="13361" spans="15:29" x14ac:dyDescent="0.25">
      <c r="O13361" s="42"/>
      <c r="R13361" s="42"/>
      <c r="AC13361" s="42"/>
    </row>
    <row r="13362" spans="15:29" x14ac:dyDescent="0.25">
      <c r="O13362" s="42"/>
      <c r="R13362" s="42"/>
      <c r="AC13362" s="42"/>
    </row>
    <row r="13363" spans="15:29" x14ac:dyDescent="0.25">
      <c r="O13363" s="42"/>
      <c r="R13363" s="42"/>
      <c r="AC13363" s="42"/>
    </row>
    <row r="13364" spans="15:29" x14ac:dyDescent="0.25">
      <c r="O13364" s="42"/>
      <c r="R13364" s="42"/>
      <c r="AC13364" s="42"/>
    </row>
    <row r="13365" spans="15:29" x14ac:dyDescent="0.25">
      <c r="O13365" s="42"/>
      <c r="R13365" s="42"/>
      <c r="AC13365" s="42"/>
    </row>
    <row r="13366" spans="15:29" x14ac:dyDescent="0.25">
      <c r="O13366" s="42"/>
      <c r="R13366" s="42"/>
      <c r="AC13366" s="42"/>
    </row>
    <row r="13367" spans="15:29" x14ac:dyDescent="0.25">
      <c r="O13367" s="42"/>
      <c r="R13367" s="42"/>
      <c r="AC13367" s="42"/>
    </row>
    <row r="13368" spans="15:29" x14ac:dyDescent="0.25">
      <c r="O13368" s="42"/>
      <c r="R13368" s="42"/>
      <c r="AC13368" s="42"/>
    </row>
    <row r="13369" spans="15:29" x14ac:dyDescent="0.25">
      <c r="O13369" s="42"/>
      <c r="R13369" s="42"/>
      <c r="AC13369" s="42"/>
    </row>
    <row r="13370" spans="15:29" x14ac:dyDescent="0.25">
      <c r="O13370" s="42"/>
      <c r="R13370" s="42"/>
      <c r="AC13370" s="42"/>
    </row>
    <row r="13371" spans="15:29" x14ac:dyDescent="0.25">
      <c r="O13371" s="42"/>
      <c r="R13371" s="42"/>
      <c r="AC13371" s="42"/>
    </row>
    <row r="13372" spans="15:29" x14ac:dyDescent="0.25">
      <c r="O13372" s="42"/>
      <c r="R13372" s="42"/>
      <c r="AC13372" s="42"/>
    </row>
    <row r="13373" spans="15:29" x14ac:dyDescent="0.25">
      <c r="O13373" s="42"/>
      <c r="R13373" s="42"/>
      <c r="AC13373" s="42"/>
    </row>
    <row r="13374" spans="15:29" x14ac:dyDescent="0.25">
      <c r="O13374" s="42"/>
      <c r="R13374" s="42"/>
      <c r="AC13374" s="42"/>
    </row>
    <row r="13375" spans="15:29" x14ac:dyDescent="0.25">
      <c r="O13375" s="42"/>
      <c r="R13375" s="42"/>
      <c r="AC13375" s="42"/>
    </row>
    <row r="13376" spans="15:29" x14ac:dyDescent="0.25">
      <c r="O13376" s="42"/>
      <c r="R13376" s="42"/>
      <c r="AC13376" s="42"/>
    </row>
    <row r="13377" spans="15:29" x14ac:dyDescent="0.25">
      <c r="O13377" s="42"/>
      <c r="R13377" s="42"/>
      <c r="AC13377" s="42"/>
    </row>
    <row r="13378" spans="15:29" x14ac:dyDescent="0.25">
      <c r="O13378" s="42"/>
      <c r="R13378" s="42"/>
      <c r="AC13378" s="42"/>
    </row>
    <row r="13379" spans="15:29" x14ac:dyDescent="0.25">
      <c r="O13379" s="42"/>
      <c r="R13379" s="42"/>
      <c r="AC13379" s="42"/>
    </row>
    <row r="13380" spans="15:29" x14ac:dyDescent="0.25">
      <c r="O13380" s="42"/>
      <c r="R13380" s="42"/>
      <c r="AC13380" s="42"/>
    </row>
    <row r="13381" spans="15:29" x14ac:dyDescent="0.25">
      <c r="O13381" s="42"/>
      <c r="R13381" s="42"/>
      <c r="AC13381" s="42"/>
    </row>
    <row r="13382" spans="15:29" x14ac:dyDescent="0.25">
      <c r="O13382" s="42"/>
      <c r="R13382" s="42"/>
      <c r="AC13382" s="42"/>
    </row>
    <row r="13383" spans="15:29" x14ac:dyDescent="0.25">
      <c r="O13383" s="42"/>
      <c r="R13383" s="42"/>
      <c r="AC13383" s="42"/>
    </row>
    <row r="13384" spans="15:29" x14ac:dyDescent="0.25">
      <c r="O13384" s="42"/>
      <c r="R13384" s="42"/>
      <c r="AC13384" s="42"/>
    </row>
    <row r="13385" spans="15:29" x14ac:dyDescent="0.25">
      <c r="O13385" s="42"/>
      <c r="R13385" s="42"/>
      <c r="AC13385" s="42"/>
    </row>
    <row r="13386" spans="15:29" x14ac:dyDescent="0.25">
      <c r="O13386" s="42"/>
      <c r="R13386" s="42"/>
      <c r="AC13386" s="42"/>
    </row>
    <row r="13387" spans="15:29" x14ac:dyDescent="0.25">
      <c r="O13387" s="42"/>
      <c r="R13387" s="42"/>
      <c r="AC13387" s="42"/>
    </row>
    <row r="13388" spans="15:29" x14ac:dyDescent="0.25">
      <c r="O13388" s="42"/>
      <c r="R13388" s="42"/>
      <c r="AC13388" s="42"/>
    </row>
    <row r="13389" spans="15:29" x14ac:dyDescent="0.25">
      <c r="O13389" s="42"/>
      <c r="R13389" s="42"/>
      <c r="AC13389" s="42"/>
    </row>
    <row r="13390" spans="15:29" x14ac:dyDescent="0.25">
      <c r="O13390" s="42"/>
      <c r="R13390" s="42"/>
      <c r="AC13390" s="42"/>
    </row>
    <row r="13391" spans="15:29" x14ac:dyDescent="0.25">
      <c r="O13391" s="42"/>
      <c r="R13391" s="42"/>
      <c r="AC13391" s="42"/>
    </row>
    <row r="13392" spans="15:29" x14ac:dyDescent="0.25">
      <c r="O13392" s="42"/>
      <c r="R13392" s="42"/>
      <c r="AC13392" s="42"/>
    </row>
    <row r="13393" spans="15:29" x14ac:dyDescent="0.25">
      <c r="O13393" s="42"/>
      <c r="R13393" s="42"/>
      <c r="AC13393" s="42"/>
    </row>
    <row r="13394" spans="15:29" x14ac:dyDescent="0.25">
      <c r="O13394" s="42"/>
      <c r="R13394" s="42"/>
      <c r="AC13394" s="42"/>
    </row>
    <row r="13395" spans="15:29" x14ac:dyDescent="0.25">
      <c r="O13395" s="42"/>
      <c r="R13395" s="42"/>
      <c r="AC13395" s="42"/>
    </row>
    <row r="13396" spans="15:29" x14ac:dyDescent="0.25">
      <c r="O13396" s="42"/>
      <c r="R13396" s="42"/>
      <c r="AC13396" s="42"/>
    </row>
    <row r="13397" spans="15:29" x14ac:dyDescent="0.25">
      <c r="O13397" s="42"/>
      <c r="R13397" s="42"/>
      <c r="AC13397" s="42"/>
    </row>
    <row r="13398" spans="15:29" x14ac:dyDescent="0.25">
      <c r="O13398" s="42"/>
      <c r="R13398" s="42"/>
      <c r="AC13398" s="42"/>
    </row>
    <row r="13399" spans="15:29" x14ac:dyDescent="0.25">
      <c r="O13399" s="42"/>
      <c r="R13399" s="42"/>
      <c r="AC13399" s="42"/>
    </row>
    <row r="13400" spans="15:29" x14ac:dyDescent="0.25">
      <c r="O13400" s="42"/>
      <c r="R13400" s="42"/>
      <c r="AC13400" s="42"/>
    </row>
    <row r="13401" spans="15:29" x14ac:dyDescent="0.25">
      <c r="O13401" s="42"/>
      <c r="R13401" s="42"/>
      <c r="AC13401" s="42"/>
    </row>
    <row r="13402" spans="15:29" x14ac:dyDescent="0.25">
      <c r="O13402" s="42"/>
      <c r="R13402" s="42"/>
      <c r="AC13402" s="42"/>
    </row>
    <row r="13403" spans="15:29" x14ac:dyDescent="0.25">
      <c r="O13403" s="42"/>
      <c r="R13403" s="42"/>
      <c r="AC13403" s="42"/>
    </row>
    <row r="13404" spans="15:29" x14ac:dyDescent="0.25">
      <c r="O13404" s="42"/>
      <c r="R13404" s="42"/>
      <c r="AC13404" s="42"/>
    </row>
    <row r="13405" spans="15:29" x14ac:dyDescent="0.25">
      <c r="O13405" s="42"/>
      <c r="R13405" s="42"/>
      <c r="AC13405" s="42"/>
    </row>
    <row r="13406" spans="15:29" x14ac:dyDescent="0.25">
      <c r="O13406" s="42"/>
      <c r="R13406" s="42"/>
      <c r="AC13406" s="42"/>
    </row>
    <row r="13407" spans="15:29" x14ac:dyDescent="0.25">
      <c r="O13407" s="42"/>
      <c r="R13407" s="42"/>
      <c r="AC13407" s="42"/>
    </row>
    <row r="13408" spans="15:29" x14ac:dyDescent="0.25">
      <c r="O13408" s="42"/>
      <c r="R13408" s="42"/>
      <c r="AC13408" s="42"/>
    </row>
    <row r="13409" spans="15:29" x14ac:dyDescent="0.25">
      <c r="O13409" s="42"/>
      <c r="R13409" s="42"/>
      <c r="AC13409" s="42"/>
    </row>
    <row r="13410" spans="15:29" x14ac:dyDescent="0.25">
      <c r="O13410" s="42"/>
      <c r="R13410" s="42"/>
      <c r="AC13410" s="42"/>
    </row>
    <row r="13411" spans="15:29" x14ac:dyDescent="0.25">
      <c r="O13411" s="42"/>
      <c r="R13411" s="42"/>
      <c r="AC13411" s="42"/>
    </row>
    <row r="13412" spans="15:29" x14ac:dyDescent="0.25">
      <c r="O13412" s="42"/>
      <c r="R13412" s="42"/>
      <c r="AC13412" s="42"/>
    </row>
    <row r="13413" spans="15:29" x14ac:dyDescent="0.25">
      <c r="O13413" s="42"/>
      <c r="R13413" s="42"/>
      <c r="AC13413" s="42"/>
    </row>
    <row r="13414" spans="15:29" x14ac:dyDescent="0.25">
      <c r="O13414" s="42"/>
      <c r="R13414" s="42"/>
      <c r="AC13414" s="42"/>
    </row>
    <row r="13415" spans="15:29" x14ac:dyDescent="0.25">
      <c r="O13415" s="42"/>
      <c r="R13415" s="42"/>
      <c r="AC13415" s="42"/>
    </row>
    <row r="13416" spans="15:29" x14ac:dyDescent="0.25">
      <c r="O13416" s="42"/>
      <c r="R13416" s="42"/>
      <c r="AC13416" s="42"/>
    </row>
    <row r="13417" spans="15:29" x14ac:dyDescent="0.25">
      <c r="O13417" s="42"/>
      <c r="R13417" s="42"/>
      <c r="AC13417" s="42"/>
    </row>
    <row r="13418" spans="15:29" x14ac:dyDescent="0.25">
      <c r="O13418" s="42"/>
      <c r="R13418" s="42"/>
      <c r="AC13418" s="42"/>
    </row>
    <row r="13419" spans="15:29" x14ac:dyDescent="0.25">
      <c r="O13419" s="42"/>
      <c r="R13419" s="42"/>
      <c r="AC13419" s="42"/>
    </row>
    <row r="13420" spans="15:29" x14ac:dyDescent="0.25">
      <c r="O13420" s="42"/>
      <c r="R13420" s="42"/>
      <c r="AC13420" s="42"/>
    </row>
    <row r="13421" spans="15:29" x14ac:dyDescent="0.25">
      <c r="O13421" s="42"/>
      <c r="R13421" s="42"/>
      <c r="AC13421" s="42"/>
    </row>
    <row r="13422" spans="15:29" x14ac:dyDescent="0.25">
      <c r="O13422" s="42"/>
      <c r="R13422" s="42"/>
      <c r="AC13422" s="42"/>
    </row>
    <row r="13423" spans="15:29" x14ac:dyDescent="0.25">
      <c r="O13423" s="42"/>
      <c r="R13423" s="42"/>
      <c r="AC13423" s="42"/>
    </row>
    <row r="13424" spans="15:29" x14ac:dyDescent="0.25">
      <c r="O13424" s="42"/>
      <c r="R13424" s="42"/>
      <c r="AC13424" s="42"/>
    </row>
    <row r="13425" spans="15:29" x14ac:dyDescent="0.25">
      <c r="O13425" s="42"/>
      <c r="R13425" s="42"/>
      <c r="AC13425" s="42"/>
    </row>
    <row r="13426" spans="15:29" x14ac:dyDescent="0.25">
      <c r="O13426" s="42"/>
      <c r="R13426" s="42"/>
      <c r="AC13426" s="42"/>
    </row>
    <row r="13427" spans="15:29" x14ac:dyDescent="0.25">
      <c r="O13427" s="42"/>
      <c r="R13427" s="42"/>
      <c r="AC13427" s="42"/>
    </row>
    <row r="13428" spans="15:29" x14ac:dyDescent="0.25">
      <c r="O13428" s="42"/>
      <c r="R13428" s="42"/>
      <c r="AC13428" s="42"/>
    </row>
    <row r="13429" spans="15:29" x14ac:dyDescent="0.25">
      <c r="O13429" s="42"/>
      <c r="R13429" s="42"/>
      <c r="AC13429" s="42"/>
    </row>
    <row r="13430" spans="15:29" x14ac:dyDescent="0.25">
      <c r="O13430" s="42"/>
      <c r="R13430" s="42"/>
      <c r="AC13430" s="42"/>
    </row>
    <row r="13431" spans="15:29" x14ac:dyDescent="0.25">
      <c r="O13431" s="42"/>
      <c r="R13431" s="42"/>
      <c r="AC13431" s="42"/>
    </row>
    <row r="13432" spans="15:29" x14ac:dyDescent="0.25">
      <c r="O13432" s="42"/>
      <c r="R13432" s="42"/>
      <c r="AC13432" s="42"/>
    </row>
    <row r="13433" spans="15:29" x14ac:dyDescent="0.25">
      <c r="O13433" s="42"/>
      <c r="R13433" s="42"/>
      <c r="AC13433" s="42"/>
    </row>
    <row r="13434" spans="15:29" x14ac:dyDescent="0.25">
      <c r="O13434" s="42"/>
      <c r="R13434" s="42"/>
      <c r="AC13434" s="42"/>
    </row>
    <row r="13435" spans="15:29" x14ac:dyDescent="0.25">
      <c r="O13435" s="42"/>
      <c r="R13435" s="42"/>
      <c r="AC13435" s="42"/>
    </row>
    <row r="13436" spans="15:29" x14ac:dyDescent="0.25">
      <c r="O13436" s="42"/>
      <c r="R13436" s="42"/>
      <c r="AC13436" s="42"/>
    </row>
    <row r="13437" spans="15:29" x14ac:dyDescent="0.25">
      <c r="O13437" s="42"/>
      <c r="R13437" s="42"/>
      <c r="AC13437" s="42"/>
    </row>
    <row r="13438" spans="15:29" x14ac:dyDescent="0.25">
      <c r="O13438" s="42"/>
      <c r="R13438" s="42"/>
      <c r="AC13438" s="42"/>
    </row>
    <row r="13439" spans="15:29" x14ac:dyDescent="0.25">
      <c r="O13439" s="42"/>
      <c r="R13439" s="42"/>
      <c r="AC13439" s="42"/>
    </row>
    <row r="13440" spans="15:29" x14ac:dyDescent="0.25">
      <c r="O13440" s="42"/>
      <c r="R13440" s="42"/>
      <c r="AC13440" s="42"/>
    </row>
    <row r="13441" spans="15:29" x14ac:dyDescent="0.25">
      <c r="O13441" s="42"/>
      <c r="R13441" s="42"/>
      <c r="AC13441" s="42"/>
    </row>
    <row r="13442" spans="15:29" x14ac:dyDescent="0.25">
      <c r="O13442" s="42"/>
      <c r="R13442" s="42"/>
      <c r="AC13442" s="42"/>
    </row>
    <row r="13443" spans="15:29" x14ac:dyDescent="0.25">
      <c r="O13443" s="42"/>
      <c r="R13443" s="42"/>
      <c r="AC13443" s="42"/>
    </row>
    <row r="13444" spans="15:29" x14ac:dyDescent="0.25">
      <c r="O13444" s="42"/>
      <c r="R13444" s="42"/>
      <c r="AC13444" s="42"/>
    </row>
    <row r="13445" spans="15:29" x14ac:dyDescent="0.25">
      <c r="O13445" s="42"/>
      <c r="R13445" s="42"/>
      <c r="AC13445" s="42"/>
    </row>
    <row r="13446" spans="15:29" x14ac:dyDescent="0.25">
      <c r="O13446" s="42"/>
      <c r="R13446" s="42"/>
      <c r="AC13446" s="42"/>
    </row>
    <row r="13447" spans="15:29" x14ac:dyDescent="0.25">
      <c r="O13447" s="42"/>
      <c r="R13447" s="42"/>
      <c r="AC13447" s="42"/>
    </row>
    <row r="13448" spans="15:29" x14ac:dyDescent="0.25">
      <c r="O13448" s="42"/>
      <c r="R13448" s="42"/>
      <c r="AC13448" s="42"/>
    </row>
    <row r="13449" spans="15:29" x14ac:dyDescent="0.25">
      <c r="O13449" s="42"/>
      <c r="R13449" s="42"/>
      <c r="AC13449" s="42"/>
    </row>
    <row r="13450" spans="15:29" x14ac:dyDescent="0.25">
      <c r="O13450" s="42"/>
      <c r="R13450" s="42"/>
      <c r="AC13450" s="42"/>
    </row>
    <row r="13451" spans="15:29" x14ac:dyDescent="0.25">
      <c r="O13451" s="42"/>
      <c r="R13451" s="42"/>
      <c r="AC13451" s="42"/>
    </row>
    <row r="13452" spans="15:29" x14ac:dyDescent="0.25">
      <c r="O13452" s="42"/>
      <c r="R13452" s="42"/>
      <c r="AC13452" s="42"/>
    </row>
    <row r="13453" spans="15:29" x14ac:dyDescent="0.25">
      <c r="O13453" s="42"/>
      <c r="R13453" s="42"/>
      <c r="AC13453" s="42"/>
    </row>
    <row r="13454" spans="15:29" x14ac:dyDescent="0.25">
      <c r="O13454" s="42"/>
      <c r="R13454" s="42"/>
      <c r="AC13454" s="42"/>
    </row>
    <row r="13455" spans="15:29" x14ac:dyDescent="0.25">
      <c r="O13455" s="42"/>
      <c r="R13455" s="42"/>
      <c r="AC13455" s="42"/>
    </row>
    <row r="13456" spans="15:29" x14ac:dyDescent="0.25">
      <c r="O13456" s="42"/>
      <c r="R13456" s="42"/>
      <c r="AC13456" s="42"/>
    </row>
    <row r="13457" spans="15:29" x14ac:dyDescent="0.25">
      <c r="O13457" s="42"/>
      <c r="R13457" s="42"/>
      <c r="AC13457" s="42"/>
    </row>
    <row r="13458" spans="15:29" x14ac:dyDescent="0.25">
      <c r="O13458" s="42"/>
      <c r="R13458" s="42"/>
      <c r="AC13458" s="42"/>
    </row>
    <row r="13459" spans="15:29" x14ac:dyDescent="0.25">
      <c r="O13459" s="42"/>
      <c r="R13459" s="42"/>
      <c r="AC13459" s="42"/>
    </row>
    <row r="13460" spans="15:29" x14ac:dyDescent="0.25">
      <c r="O13460" s="42"/>
      <c r="R13460" s="42"/>
      <c r="AC13460" s="42"/>
    </row>
    <row r="13461" spans="15:29" x14ac:dyDescent="0.25">
      <c r="O13461" s="42"/>
      <c r="R13461" s="42"/>
      <c r="AC13461" s="42"/>
    </row>
    <row r="13462" spans="15:29" x14ac:dyDescent="0.25">
      <c r="O13462" s="42"/>
      <c r="R13462" s="42"/>
      <c r="AC13462" s="42"/>
    </row>
    <row r="13463" spans="15:29" x14ac:dyDescent="0.25">
      <c r="O13463" s="42"/>
      <c r="R13463" s="42"/>
      <c r="AC13463" s="42"/>
    </row>
    <row r="13464" spans="15:29" x14ac:dyDescent="0.25">
      <c r="O13464" s="42"/>
      <c r="R13464" s="42"/>
      <c r="AC13464" s="42"/>
    </row>
    <row r="13465" spans="15:29" x14ac:dyDescent="0.25">
      <c r="O13465" s="42"/>
      <c r="R13465" s="42"/>
      <c r="AC13465" s="42"/>
    </row>
    <row r="13466" spans="15:29" x14ac:dyDescent="0.25">
      <c r="O13466" s="42"/>
      <c r="R13466" s="42"/>
      <c r="AC13466" s="42"/>
    </row>
    <row r="13467" spans="15:29" x14ac:dyDescent="0.25">
      <c r="O13467" s="42"/>
      <c r="R13467" s="42"/>
      <c r="AC13467" s="42"/>
    </row>
    <row r="13468" spans="15:29" x14ac:dyDescent="0.25">
      <c r="O13468" s="42"/>
      <c r="R13468" s="42"/>
      <c r="AC13468" s="42"/>
    </row>
    <row r="13469" spans="15:29" x14ac:dyDescent="0.25">
      <c r="O13469" s="42"/>
      <c r="R13469" s="42"/>
      <c r="AC13469" s="42"/>
    </row>
    <row r="13470" spans="15:29" x14ac:dyDescent="0.25">
      <c r="O13470" s="42"/>
      <c r="R13470" s="42"/>
      <c r="AC13470" s="42"/>
    </row>
    <row r="13471" spans="15:29" x14ac:dyDescent="0.25">
      <c r="O13471" s="42"/>
      <c r="R13471" s="42"/>
      <c r="AC13471" s="42"/>
    </row>
    <row r="13472" spans="15:29" x14ac:dyDescent="0.25">
      <c r="O13472" s="42"/>
      <c r="R13472" s="42"/>
      <c r="AC13472" s="42"/>
    </row>
    <row r="13473" spans="15:29" x14ac:dyDescent="0.25">
      <c r="O13473" s="42"/>
      <c r="R13473" s="42"/>
      <c r="AC13473" s="42"/>
    </row>
    <row r="13474" spans="15:29" x14ac:dyDescent="0.25">
      <c r="O13474" s="42"/>
      <c r="R13474" s="42"/>
      <c r="AC13474" s="42"/>
    </row>
    <row r="13475" spans="15:29" x14ac:dyDescent="0.25">
      <c r="O13475" s="42"/>
      <c r="R13475" s="42"/>
      <c r="AC13475" s="42"/>
    </row>
    <row r="13476" spans="15:29" x14ac:dyDescent="0.25">
      <c r="O13476" s="42"/>
      <c r="R13476" s="42"/>
      <c r="AC13476" s="42"/>
    </row>
    <row r="13477" spans="15:29" x14ac:dyDescent="0.25">
      <c r="O13477" s="42"/>
      <c r="R13477" s="42"/>
      <c r="AC13477" s="42"/>
    </row>
    <row r="13478" spans="15:29" x14ac:dyDescent="0.25">
      <c r="O13478" s="42"/>
      <c r="R13478" s="42"/>
      <c r="AC13478" s="42"/>
    </row>
    <row r="13479" spans="15:29" x14ac:dyDescent="0.25">
      <c r="O13479" s="42"/>
      <c r="R13479" s="42"/>
      <c r="AC13479" s="42"/>
    </row>
    <row r="13480" spans="15:29" x14ac:dyDescent="0.25">
      <c r="O13480" s="42"/>
      <c r="R13480" s="42"/>
      <c r="AC13480" s="42"/>
    </row>
    <row r="13481" spans="15:29" x14ac:dyDescent="0.25">
      <c r="O13481" s="42"/>
      <c r="R13481" s="42"/>
      <c r="AC13481" s="42"/>
    </row>
    <row r="13482" spans="15:29" x14ac:dyDescent="0.25">
      <c r="O13482" s="42"/>
      <c r="R13482" s="42"/>
      <c r="AC13482" s="42"/>
    </row>
    <row r="13483" spans="15:29" x14ac:dyDescent="0.25">
      <c r="O13483" s="42"/>
      <c r="R13483" s="42"/>
      <c r="AC13483" s="42"/>
    </row>
    <row r="13484" spans="15:29" x14ac:dyDescent="0.25">
      <c r="O13484" s="42"/>
      <c r="R13484" s="42"/>
      <c r="AC13484" s="42"/>
    </row>
    <row r="13485" spans="15:29" x14ac:dyDescent="0.25">
      <c r="O13485" s="42"/>
      <c r="R13485" s="42"/>
      <c r="AC13485" s="42"/>
    </row>
    <row r="13486" spans="15:29" x14ac:dyDescent="0.25">
      <c r="O13486" s="42"/>
      <c r="R13486" s="42"/>
      <c r="AC13486" s="42"/>
    </row>
    <row r="13487" spans="15:29" x14ac:dyDescent="0.25">
      <c r="O13487" s="42"/>
      <c r="R13487" s="42"/>
      <c r="AC13487" s="42"/>
    </row>
    <row r="13488" spans="15:29" x14ac:dyDescent="0.25">
      <c r="O13488" s="42"/>
      <c r="R13488" s="42"/>
      <c r="AC13488" s="42"/>
    </row>
    <row r="13489" spans="15:29" x14ac:dyDescent="0.25">
      <c r="O13489" s="42"/>
      <c r="R13489" s="42"/>
      <c r="AC13489" s="42"/>
    </row>
    <row r="13490" spans="15:29" x14ac:dyDescent="0.25">
      <c r="O13490" s="42"/>
      <c r="R13490" s="42"/>
      <c r="AC13490" s="42"/>
    </row>
    <row r="13491" spans="15:29" x14ac:dyDescent="0.25">
      <c r="O13491" s="42"/>
      <c r="R13491" s="42"/>
      <c r="AC13491" s="42"/>
    </row>
    <row r="13492" spans="15:29" x14ac:dyDescent="0.25">
      <c r="O13492" s="42"/>
      <c r="R13492" s="42"/>
      <c r="AC13492" s="42"/>
    </row>
    <row r="13493" spans="15:29" x14ac:dyDescent="0.25">
      <c r="O13493" s="42"/>
      <c r="R13493" s="42"/>
      <c r="AC13493" s="42"/>
    </row>
    <row r="13494" spans="15:29" x14ac:dyDescent="0.25">
      <c r="O13494" s="42"/>
      <c r="R13494" s="42"/>
      <c r="AC13494" s="42"/>
    </row>
    <row r="13495" spans="15:29" x14ac:dyDescent="0.25">
      <c r="O13495" s="42"/>
      <c r="R13495" s="42"/>
      <c r="AC13495" s="42"/>
    </row>
    <row r="13496" spans="15:29" x14ac:dyDescent="0.25">
      <c r="O13496" s="42"/>
      <c r="R13496" s="42"/>
      <c r="AC13496" s="42"/>
    </row>
    <row r="13497" spans="15:29" x14ac:dyDescent="0.25">
      <c r="O13497" s="42"/>
      <c r="R13497" s="42"/>
      <c r="AC13497" s="42"/>
    </row>
    <row r="13498" spans="15:29" x14ac:dyDescent="0.25">
      <c r="O13498" s="42"/>
      <c r="R13498" s="42"/>
      <c r="AC13498" s="42"/>
    </row>
    <row r="13499" spans="15:29" x14ac:dyDescent="0.25">
      <c r="O13499" s="42"/>
      <c r="R13499" s="42"/>
      <c r="AC13499" s="42"/>
    </row>
    <row r="13500" spans="15:29" x14ac:dyDescent="0.25">
      <c r="O13500" s="42"/>
      <c r="R13500" s="42"/>
      <c r="AC13500" s="42"/>
    </row>
    <row r="13501" spans="15:29" x14ac:dyDescent="0.25">
      <c r="O13501" s="42"/>
      <c r="R13501" s="42"/>
      <c r="AC13501" s="42"/>
    </row>
    <row r="13502" spans="15:29" x14ac:dyDescent="0.25">
      <c r="O13502" s="42"/>
      <c r="R13502" s="42"/>
      <c r="AC13502" s="42"/>
    </row>
    <row r="13503" spans="15:29" x14ac:dyDescent="0.25">
      <c r="O13503" s="42"/>
      <c r="R13503" s="42"/>
      <c r="AC13503" s="42"/>
    </row>
    <row r="13504" spans="15:29" x14ac:dyDescent="0.25">
      <c r="O13504" s="42"/>
      <c r="R13504" s="42"/>
      <c r="AC13504" s="42"/>
    </row>
    <row r="13505" spans="15:29" x14ac:dyDescent="0.25">
      <c r="O13505" s="42"/>
      <c r="R13505" s="42"/>
      <c r="AC13505" s="42"/>
    </row>
    <row r="13506" spans="15:29" x14ac:dyDescent="0.25">
      <c r="O13506" s="42"/>
      <c r="R13506" s="42"/>
      <c r="AC13506" s="42"/>
    </row>
    <row r="13507" spans="15:29" x14ac:dyDescent="0.25">
      <c r="O13507" s="42"/>
      <c r="R13507" s="42"/>
      <c r="AC13507" s="42"/>
    </row>
    <row r="13508" spans="15:29" x14ac:dyDescent="0.25">
      <c r="O13508" s="42"/>
      <c r="R13508" s="42"/>
      <c r="AC13508" s="42"/>
    </row>
    <row r="13509" spans="15:29" x14ac:dyDescent="0.25">
      <c r="O13509" s="42"/>
      <c r="R13509" s="42"/>
      <c r="AC13509" s="42"/>
    </row>
    <row r="13510" spans="15:29" x14ac:dyDescent="0.25">
      <c r="O13510" s="42"/>
      <c r="R13510" s="42"/>
      <c r="AC13510" s="42"/>
    </row>
    <row r="13511" spans="15:29" x14ac:dyDescent="0.25">
      <c r="O13511" s="42"/>
      <c r="R13511" s="42"/>
      <c r="AC13511" s="42"/>
    </row>
    <row r="13512" spans="15:29" x14ac:dyDescent="0.25">
      <c r="O13512" s="42"/>
      <c r="R13512" s="42"/>
      <c r="AC13512" s="42"/>
    </row>
    <row r="13513" spans="15:29" x14ac:dyDescent="0.25">
      <c r="O13513" s="42"/>
      <c r="R13513" s="42"/>
      <c r="AC13513" s="42"/>
    </row>
    <row r="13514" spans="15:29" x14ac:dyDescent="0.25">
      <c r="O13514" s="42"/>
      <c r="R13514" s="42"/>
      <c r="AC13514" s="42"/>
    </row>
    <row r="13515" spans="15:29" x14ac:dyDescent="0.25">
      <c r="O13515" s="42"/>
      <c r="R13515" s="42"/>
      <c r="AC13515" s="42"/>
    </row>
    <row r="13516" spans="15:29" x14ac:dyDescent="0.25">
      <c r="O13516" s="42"/>
      <c r="R13516" s="42"/>
      <c r="AC13516" s="42"/>
    </row>
    <row r="13517" spans="15:29" x14ac:dyDescent="0.25">
      <c r="O13517" s="42"/>
      <c r="R13517" s="42"/>
      <c r="AC13517" s="42"/>
    </row>
    <row r="13518" spans="15:29" x14ac:dyDescent="0.25">
      <c r="O13518" s="42"/>
      <c r="R13518" s="42"/>
      <c r="AC13518" s="42"/>
    </row>
    <row r="13519" spans="15:29" x14ac:dyDescent="0.25">
      <c r="O13519" s="42"/>
      <c r="R13519" s="42"/>
      <c r="AC13519" s="42"/>
    </row>
    <row r="13520" spans="15:29" x14ac:dyDescent="0.25">
      <c r="O13520" s="42"/>
      <c r="R13520" s="42"/>
      <c r="AC13520" s="42"/>
    </row>
    <row r="13521" spans="15:29" x14ac:dyDescent="0.25">
      <c r="O13521" s="42"/>
      <c r="R13521" s="42"/>
      <c r="AC13521" s="42"/>
    </row>
    <row r="13522" spans="15:29" x14ac:dyDescent="0.25">
      <c r="O13522" s="42"/>
      <c r="R13522" s="42"/>
      <c r="AC13522" s="42"/>
    </row>
    <row r="13523" spans="15:29" x14ac:dyDescent="0.25">
      <c r="O13523" s="42"/>
      <c r="R13523" s="42"/>
      <c r="AC13523" s="42"/>
    </row>
    <row r="13524" spans="15:29" x14ac:dyDescent="0.25">
      <c r="O13524" s="42"/>
      <c r="R13524" s="42"/>
      <c r="AC13524" s="42"/>
    </row>
    <row r="13525" spans="15:29" x14ac:dyDescent="0.25">
      <c r="O13525" s="42"/>
      <c r="R13525" s="42"/>
      <c r="AC13525" s="42"/>
    </row>
    <row r="13526" spans="15:29" x14ac:dyDescent="0.25">
      <c r="O13526" s="42"/>
      <c r="R13526" s="42"/>
      <c r="AC13526" s="42"/>
    </row>
    <row r="13527" spans="15:29" x14ac:dyDescent="0.25">
      <c r="O13527" s="42"/>
      <c r="R13527" s="42"/>
      <c r="AC13527" s="42"/>
    </row>
    <row r="13528" spans="15:29" x14ac:dyDescent="0.25">
      <c r="O13528" s="42"/>
      <c r="R13528" s="42"/>
      <c r="AC13528" s="42"/>
    </row>
    <row r="13529" spans="15:29" x14ac:dyDescent="0.25">
      <c r="O13529" s="42"/>
      <c r="R13529" s="42"/>
      <c r="AC13529" s="42"/>
    </row>
    <row r="13530" spans="15:29" x14ac:dyDescent="0.25">
      <c r="O13530" s="42"/>
      <c r="R13530" s="42"/>
      <c r="AC13530" s="42"/>
    </row>
    <row r="13531" spans="15:29" x14ac:dyDescent="0.25">
      <c r="O13531" s="42"/>
      <c r="R13531" s="42"/>
      <c r="AC13531" s="42"/>
    </row>
    <row r="13532" spans="15:29" x14ac:dyDescent="0.25">
      <c r="O13532" s="42"/>
      <c r="R13532" s="42"/>
      <c r="AC13532" s="42"/>
    </row>
    <row r="13533" spans="15:29" x14ac:dyDescent="0.25">
      <c r="O13533" s="42"/>
      <c r="R13533" s="42"/>
      <c r="AC13533" s="42"/>
    </row>
    <row r="13534" spans="15:29" x14ac:dyDescent="0.25">
      <c r="O13534" s="42"/>
      <c r="R13534" s="42"/>
      <c r="AC13534" s="42"/>
    </row>
    <row r="13535" spans="15:29" x14ac:dyDescent="0.25">
      <c r="O13535" s="42"/>
      <c r="R13535" s="42"/>
      <c r="AC13535" s="42"/>
    </row>
    <row r="13536" spans="15:29" x14ac:dyDescent="0.25">
      <c r="O13536" s="42"/>
      <c r="R13536" s="42"/>
      <c r="AC13536" s="42"/>
    </row>
    <row r="13537" spans="15:29" x14ac:dyDescent="0.25">
      <c r="O13537" s="42"/>
      <c r="R13537" s="42"/>
      <c r="AC13537" s="42"/>
    </row>
    <row r="13538" spans="15:29" x14ac:dyDescent="0.25">
      <c r="O13538" s="42"/>
      <c r="R13538" s="42"/>
      <c r="AC13538" s="42"/>
    </row>
    <row r="13539" spans="15:29" x14ac:dyDescent="0.25">
      <c r="O13539" s="42"/>
      <c r="R13539" s="42"/>
      <c r="AC13539" s="42"/>
    </row>
    <row r="13540" spans="15:29" x14ac:dyDescent="0.25">
      <c r="O13540" s="42"/>
      <c r="R13540" s="42"/>
      <c r="AC13540" s="42"/>
    </row>
    <row r="13541" spans="15:29" x14ac:dyDescent="0.25">
      <c r="O13541" s="42"/>
      <c r="R13541" s="42"/>
      <c r="AC13541" s="42"/>
    </row>
    <row r="13542" spans="15:29" x14ac:dyDescent="0.25">
      <c r="O13542" s="42"/>
      <c r="R13542" s="42"/>
      <c r="AC13542" s="42"/>
    </row>
    <row r="13543" spans="15:29" x14ac:dyDescent="0.25">
      <c r="O13543" s="42"/>
      <c r="R13543" s="42"/>
      <c r="AC13543" s="42"/>
    </row>
    <row r="13544" spans="15:29" x14ac:dyDescent="0.25">
      <c r="O13544" s="42"/>
      <c r="R13544" s="42"/>
      <c r="AC13544" s="42"/>
    </row>
    <row r="13545" spans="15:29" x14ac:dyDescent="0.25">
      <c r="O13545" s="42"/>
      <c r="R13545" s="42"/>
      <c r="AC13545" s="42"/>
    </row>
    <row r="13546" spans="15:29" x14ac:dyDescent="0.25">
      <c r="O13546" s="42"/>
      <c r="R13546" s="42"/>
      <c r="AC13546" s="42"/>
    </row>
    <row r="13547" spans="15:29" x14ac:dyDescent="0.25">
      <c r="O13547" s="42"/>
      <c r="R13547" s="42"/>
      <c r="AC13547" s="42"/>
    </row>
    <row r="13548" spans="15:29" x14ac:dyDescent="0.25">
      <c r="O13548" s="42"/>
      <c r="R13548" s="42"/>
      <c r="AC13548" s="42"/>
    </row>
    <row r="13549" spans="15:29" x14ac:dyDescent="0.25">
      <c r="O13549" s="42"/>
      <c r="R13549" s="42"/>
      <c r="AC13549" s="42"/>
    </row>
    <row r="13550" spans="15:29" x14ac:dyDescent="0.25">
      <c r="O13550" s="42"/>
      <c r="R13550" s="42"/>
      <c r="AC13550" s="42"/>
    </row>
    <row r="13551" spans="15:29" x14ac:dyDescent="0.25">
      <c r="O13551" s="42"/>
      <c r="R13551" s="42"/>
      <c r="AC13551" s="42"/>
    </row>
    <row r="13552" spans="15:29" x14ac:dyDescent="0.25">
      <c r="O13552" s="42"/>
      <c r="R13552" s="42"/>
      <c r="AC13552" s="42"/>
    </row>
    <row r="13553" spans="15:29" x14ac:dyDescent="0.25">
      <c r="O13553" s="42"/>
      <c r="R13553" s="42"/>
      <c r="AC13553" s="42"/>
    </row>
    <row r="13554" spans="15:29" x14ac:dyDescent="0.25">
      <c r="O13554" s="42"/>
      <c r="R13554" s="42"/>
      <c r="AC13554" s="42"/>
    </row>
    <row r="13555" spans="15:29" x14ac:dyDescent="0.25">
      <c r="O13555" s="42"/>
      <c r="R13555" s="42"/>
      <c r="AC13555" s="42"/>
    </row>
    <row r="13556" spans="15:29" x14ac:dyDescent="0.25">
      <c r="O13556" s="42"/>
      <c r="R13556" s="42"/>
      <c r="AC13556" s="42"/>
    </row>
    <row r="13557" spans="15:29" x14ac:dyDescent="0.25">
      <c r="O13557" s="42"/>
      <c r="R13557" s="42"/>
      <c r="AC13557" s="42"/>
    </row>
    <row r="13558" spans="15:29" x14ac:dyDescent="0.25">
      <c r="O13558" s="42"/>
      <c r="R13558" s="42"/>
      <c r="AC13558" s="42"/>
    </row>
    <row r="13559" spans="15:29" x14ac:dyDescent="0.25">
      <c r="O13559" s="42"/>
      <c r="R13559" s="42"/>
      <c r="AC13559" s="42"/>
    </row>
    <row r="13560" spans="15:29" x14ac:dyDescent="0.25">
      <c r="O13560" s="42"/>
      <c r="R13560" s="42"/>
      <c r="AC13560" s="42"/>
    </row>
    <row r="13561" spans="15:29" x14ac:dyDescent="0.25">
      <c r="O13561" s="42"/>
      <c r="R13561" s="42"/>
      <c r="AC13561" s="42"/>
    </row>
    <row r="13562" spans="15:29" x14ac:dyDescent="0.25">
      <c r="O13562" s="42"/>
      <c r="R13562" s="42"/>
      <c r="AC13562" s="42"/>
    </row>
    <row r="13563" spans="15:29" x14ac:dyDescent="0.25">
      <c r="O13563" s="42"/>
      <c r="R13563" s="42"/>
      <c r="AC13563" s="42"/>
    </row>
    <row r="13564" spans="15:29" x14ac:dyDescent="0.25">
      <c r="O13564" s="42"/>
      <c r="R13564" s="42"/>
      <c r="AC13564" s="42"/>
    </row>
    <row r="13565" spans="15:29" x14ac:dyDescent="0.25">
      <c r="O13565" s="42"/>
      <c r="R13565" s="42"/>
      <c r="AC13565" s="42"/>
    </row>
    <row r="13566" spans="15:29" x14ac:dyDescent="0.25">
      <c r="O13566" s="42"/>
      <c r="R13566" s="42"/>
      <c r="AC13566" s="42"/>
    </row>
    <row r="13567" spans="15:29" x14ac:dyDescent="0.25">
      <c r="O13567" s="42"/>
      <c r="R13567" s="42"/>
      <c r="AC13567" s="42"/>
    </row>
    <row r="13568" spans="15:29" x14ac:dyDescent="0.25">
      <c r="O13568" s="42"/>
      <c r="R13568" s="42"/>
      <c r="AC13568" s="42"/>
    </row>
    <row r="13569" spans="15:29" x14ac:dyDescent="0.25">
      <c r="O13569" s="42"/>
      <c r="R13569" s="42"/>
      <c r="AC13569" s="42"/>
    </row>
    <row r="13570" spans="15:29" x14ac:dyDescent="0.25">
      <c r="O13570" s="42"/>
      <c r="R13570" s="42"/>
      <c r="AC13570" s="42"/>
    </row>
    <row r="13571" spans="15:29" x14ac:dyDescent="0.25">
      <c r="O13571" s="42"/>
      <c r="R13571" s="42"/>
      <c r="AC13571" s="42"/>
    </row>
    <row r="13572" spans="15:29" x14ac:dyDescent="0.25">
      <c r="O13572" s="42"/>
      <c r="R13572" s="42"/>
      <c r="AC13572" s="42"/>
    </row>
    <row r="13573" spans="15:29" x14ac:dyDescent="0.25">
      <c r="O13573" s="42"/>
      <c r="R13573" s="42"/>
      <c r="AC13573" s="42"/>
    </row>
    <row r="13574" spans="15:29" x14ac:dyDescent="0.25">
      <c r="O13574" s="42"/>
      <c r="R13574" s="42"/>
      <c r="AC13574" s="42"/>
    </row>
    <row r="13575" spans="15:29" x14ac:dyDescent="0.25">
      <c r="O13575" s="42"/>
      <c r="R13575" s="42"/>
      <c r="AC13575" s="42"/>
    </row>
    <row r="13576" spans="15:29" x14ac:dyDescent="0.25">
      <c r="O13576" s="42"/>
      <c r="R13576" s="42"/>
      <c r="AC13576" s="42"/>
    </row>
    <row r="13577" spans="15:29" x14ac:dyDescent="0.25">
      <c r="O13577" s="42"/>
      <c r="R13577" s="42"/>
      <c r="AC13577" s="42"/>
    </row>
    <row r="13578" spans="15:29" x14ac:dyDescent="0.25">
      <c r="O13578" s="42"/>
      <c r="R13578" s="42"/>
      <c r="AC13578" s="42"/>
    </row>
    <row r="13579" spans="15:29" x14ac:dyDescent="0.25">
      <c r="O13579" s="42"/>
      <c r="R13579" s="42"/>
      <c r="AC13579" s="42"/>
    </row>
    <row r="13580" spans="15:29" x14ac:dyDescent="0.25">
      <c r="O13580" s="42"/>
      <c r="R13580" s="42"/>
      <c r="AC13580" s="42"/>
    </row>
    <row r="13581" spans="15:29" x14ac:dyDescent="0.25">
      <c r="O13581" s="42"/>
      <c r="R13581" s="42"/>
      <c r="AC13581" s="42"/>
    </row>
    <row r="13582" spans="15:29" x14ac:dyDescent="0.25">
      <c r="O13582" s="42"/>
      <c r="R13582" s="42"/>
      <c r="AC13582" s="42"/>
    </row>
    <row r="13583" spans="15:29" x14ac:dyDescent="0.25">
      <c r="O13583" s="42"/>
      <c r="R13583" s="42"/>
      <c r="AC13583" s="42"/>
    </row>
    <row r="13584" spans="15:29" x14ac:dyDescent="0.25">
      <c r="O13584" s="42"/>
      <c r="R13584" s="42"/>
      <c r="AC13584" s="42"/>
    </row>
    <row r="13585" spans="15:29" x14ac:dyDescent="0.25">
      <c r="O13585" s="42"/>
      <c r="R13585" s="42"/>
      <c r="AC13585" s="42"/>
    </row>
    <row r="13586" spans="15:29" x14ac:dyDescent="0.25">
      <c r="O13586" s="42"/>
      <c r="R13586" s="42"/>
      <c r="AC13586" s="42"/>
    </row>
    <row r="13587" spans="15:29" x14ac:dyDescent="0.25">
      <c r="O13587" s="42"/>
      <c r="R13587" s="42"/>
      <c r="AC13587" s="42"/>
    </row>
    <row r="13588" spans="15:29" x14ac:dyDescent="0.25">
      <c r="O13588" s="42"/>
      <c r="R13588" s="42"/>
      <c r="AC13588" s="42"/>
    </row>
    <row r="13589" spans="15:29" x14ac:dyDescent="0.25">
      <c r="O13589" s="42"/>
      <c r="R13589" s="42"/>
      <c r="AC13589" s="42"/>
    </row>
    <row r="13590" spans="15:29" x14ac:dyDescent="0.25">
      <c r="O13590" s="42"/>
      <c r="R13590" s="42"/>
      <c r="AC13590" s="42"/>
    </row>
    <row r="13591" spans="15:29" x14ac:dyDescent="0.25">
      <c r="O13591" s="42"/>
      <c r="R13591" s="42"/>
      <c r="AC13591" s="42"/>
    </row>
    <row r="13592" spans="15:29" x14ac:dyDescent="0.25">
      <c r="O13592" s="42"/>
      <c r="R13592" s="42"/>
      <c r="AC13592" s="42"/>
    </row>
    <row r="13593" spans="15:29" x14ac:dyDescent="0.25">
      <c r="O13593" s="42"/>
      <c r="R13593" s="42"/>
      <c r="AC13593" s="42"/>
    </row>
    <row r="13594" spans="15:29" x14ac:dyDescent="0.25">
      <c r="O13594" s="42"/>
      <c r="R13594" s="42"/>
      <c r="AC13594" s="42"/>
    </row>
    <row r="13595" spans="15:29" x14ac:dyDescent="0.25">
      <c r="O13595" s="42"/>
      <c r="R13595" s="42"/>
      <c r="AC13595" s="42"/>
    </row>
    <row r="13596" spans="15:29" x14ac:dyDescent="0.25">
      <c r="O13596" s="42"/>
      <c r="R13596" s="42"/>
      <c r="AC13596" s="42"/>
    </row>
    <row r="13597" spans="15:29" x14ac:dyDescent="0.25">
      <c r="O13597" s="42"/>
      <c r="R13597" s="42"/>
      <c r="AC13597" s="42"/>
    </row>
    <row r="13598" spans="15:29" x14ac:dyDescent="0.25">
      <c r="O13598" s="42"/>
      <c r="R13598" s="42"/>
      <c r="AC13598" s="42"/>
    </row>
    <row r="13599" spans="15:29" x14ac:dyDescent="0.25">
      <c r="O13599" s="42"/>
      <c r="R13599" s="42"/>
      <c r="AC13599" s="42"/>
    </row>
    <row r="13600" spans="15:29" x14ac:dyDescent="0.25">
      <c r="O13600" s="42"/>
      <c r="R13600" s="42"/>
      <c r="AC13600" s="42"/>
    </row>
    <row r="13601" spans="15:29" x14ac:dyDescent="0.25">
      <c r="O13601" s="42"/>
      <c r="R13601" s="42"/>
      <c r="AC13601" s="42"/>
    </row>
    <row r="13602" spans="15:29" x14ac:dyDescent="0.25">
      <c r="O13602" s="42"/>
      <c r="R13602" s="42"/>
      <c r="AC13602" s="42"/>
    </row>
    <row r="13603" spans="15:29" x14ac:dyDescent="0.25">
      <c r="O13603" s="42"/>
      <c r="R13603" s="42"/>
      <c r="AC13603" s="42"/>
    </row>
    <row r="13604" spans="15:29" x14ac:dyDescent="0.25">
      <c r="O13604" s="42"/>
      <c r="R13604" s="42"/>
      <c r="AC13604" s="42"/>
    </row>
    <row r="13605" spans="15:29" x14ac:dyDescent="0.25">
      <c r="O13605" s="42"/>
      <c r="R13605" s="42"/>
      <c r="AC13605" s="42"/>
    </row>
    <row r="13606" spans="15:29" x14ac:dyDescent="0.25">
      <c r="O13606" s="42"/>
      <c r="R13606" s="42"/>
      <c r="AC13606" s="42"/>
    </row>
    <row r="13607" spans="15:29" x14ac:dyDescent="0.25">
      <c r="O13607" s="42"/>
      <c r="R13607" s="42"/>
      <c r="AC13607" s="42"/>
    </row>
    <row r="13608" spans="15:29" x14ac:dyDescent="0.25">
      <c r="O13608" s="42"/>
      <c r="R13608" s="42"/>
      <c r="AC13608" s="42"/>
    </row>
    <row r="13609" spans="15:29" x14ac:dyDescent="0.25">
      <c r="O13609" s="42"/>
      <c r="R13609" s="42"/>
      <c r="AC13609" s="42"/>
    </row>
    <row r="13610" spans="15:29" x14ac:dyDescent="0.25">
      <c r="O13610" s="42"/>
      <c r="R13610" s="42"/>
      <c r="AC13610" s="42"/>
    </row>
    <row r="13611" spans="15:29" x14ac:dyDescent="0.25">
      <c r="O13611" s="42"/>
      <c r="R13611" s="42"/>
      <c r="AC13611" s="42"/>
    </row>
    <row r="13612" spans="15:29" x14ac:dyDescent="0.25">
      <c r="O13612" s="42"/>
      <c r="R13612" s="42"/>
      <c r="AC13612" s="42"/>
    </row>
    <row r="13613" spans="15:29" x14ac:dyDescent="0.25">
      <c r="O13613" s="42"/>
      <c r="R13613" s="42"/>
      <c r="AC13613" s="42"/>
    </row>
    <row r="13614" spans="15:29" x14ac:dyDescent="0.25">
      <c r="O13614" s="42"/>
      <c r="R13614" s="42"/>
      <c r="AC13614" s="42"/>
    </row>
    <row r="13615" spans="15:29" x14ac:dyDescent="0.25">
      <c r="O13615" s="42"/>
      <c r="R13615" s="42"/>
      <c r="AC13615" s="42"/>
    </row>
    <row r="13616" spans="15:29" x14ac:dyDescent="0.25">
      <c r="O13616" s="42"/>
      <c r="R13616" s="42"/>
      <c r="AC13616" s="42"/>
    </row>
    <row r="13617" spans="15:29" x14ac:dyDescent="0.25">
      <c r="O13617" s="42"/>
      <c r="R13617" s="42"/>
      <c r="AC13617" s="42"/>
    </row>
    <row r="13618" spans="15:29" x14ac:dyDescent="0.25">
      <c r="O13618" s="42"/>
      <c r="R13618" s="42"/>
      <c r="AC13618" s="42"/>
    </row>
    <row r="13619" spans="15:29" x14ac:dyDescent="0.25">
      <c r="O13619" s="42"/>
      <c r="R13619" s="42"/>
      <c r="AC13619" s="42"/>
    </row>
    <row r="13620" spans="15:29" x14ac:dyDescent="0.25">
      <c r="O13620" s="42"/>
      <c r="R13620" s="42"/>
      <c r="AC13620" s="42"/>
    </row>
    <row r="13621" spans="15:29" x14ac:dyDescent="0.25">
      <c r="O13621" s="42"/>
      <c r="R13621" s="42"/>
      <c r="AC13621" s="42"/>
    </row>
    <row r="13622" spans="15:29" x14ac:dyDescent="0.25">
      <c r="O13622" s="42"/>
      <c r="R13622" s="42"/>
      <c r="AC13622" s="42"/>
    </row>
    <row r="13623" spans="15:29" x14ac:dyDescent="0.25">
      <c r="O13623" s="42"/>
      <c r="R13623" s="42"/>
      <c r="AC13623" s="42"/>
    </row>
    <row r="13624" spans="15:29" x14ac:dyDescent="0.25">
      <c r="O13624" s="42"/>
      <c r="R13624" s="42"/>
      <c r="AC13624" s="42"/>
    </row>
    <row r="13625" spans="15:29" x14ac:dyDescent="0.25">
      <c r="O13625" s="42"/>
      <c r="R13625" s="42"/>
      <c r="AC13625" s="42"/>
    </row>
    <row r="13626" spans="15:29" x14ac:dyDescent="0.25">
      <c r="O13626" s="42"/>
      <c r="R13626" s="42"/>
      <c r="AC13626" s="42"/>
    </row>
    <row r="13627" spans="15:29" x14ac:dyDescent="0.25">
      <c r="O13627" s="42"/>
      <c r="R13627" s="42"/>
      <c r="AC13627" s="42"/>
    </row>
    <row r="13628" spans="15:29" x14ac:dyDescent="0.25">
      <c r="O13628" s="42"/>
      <c r="R13628" s="42"/>
      <c r="AC13628" s="42"/>
    </row>
    <row r="13629" spans="15:29" x14ac:dyDescent="0.25">
      <c r="O13629" s="42"/>
      <c r="R13629" s="42"/>
      <c r="AC13629" s="42"/>
    </row>
    <row r="13630" spans="15:29" x14ac:dyDescent="0.25">
      <c r="O13630" s="42"/>
      <c r="R13630" s="42"/>
      <c r="AC13630" s="42"/>
    </row>
    <row r="13631" spans="15:29" x14ac:dyDescent="0.25">
      <c r="O13631" s="42"/>
      <c r="R13631" s="42"/>
      <c r="AC13631" s="42"/>
    </row>
    <row r="13632" spans="15:29" x14ac:dyDescent="0.25">
      <c r="O13632" s="42"/>
      <c r="R13632" s="42"/>
      <c r="AC13632" s="42"/>
    </row>
    <row r="13633" spans="15:29" x14ac:dyDescent="0.25">
      <c r="O13633" s="42"/>
      <c r="R13633" s="42"/>
      <c r="AC13633" s="42"/>
    </row>
    <row r="13634" spans="15:29" x14ac:dyDescent="0.25">
      <c r="O13634" s="42"/>
      <c r="R13634" s="42"/>
      <c r="AC13634" s="42"/>
    </row>
    <row r="13635" spans="15:29" x14ac:dyDescent="0.25">
      <c r="O13635" s="42"/>
      <c r="R13635" s="42"/>
      <c r="AC13635" s="42"/>
    </row>
    <row r="13636" spans="15:29" x14ac:dyDescent="0.25">
      <c r="O13636" s="42"/>
      <c r="R13636" s="42"/>
      <c r="AC13636" s="42"/>
    </row>
    <row r="13637" spans="15:29" x14ac:dyDescent="0.25">
      <c r="O13637" s="42"/>
      <c r="R13637" s="42"/>
      <c r="AC13637" s="42"/>
    </row>
    <row r="13638" spans="15:29" x14ac:dyDescent="0.25">
      <c r="O13638" s="42"/>
      <c r="R13638" s="42"/>
      <c r="AC13638" s="42"/>
    </row>
    <row r="13639" spans="15:29" x14ac:dyDescent="0.25">
      <c r="O13639" s="42"/>
      <c r="R13639" s="42"/>
      <c r="AC13639" s="42"/>
    </row>
    <row r="13640" spans="15:29" x14ac:dyDescent="0.25">
      <c r="O13640" s="42"/>
      <c r="R13640" s="42"/>
      <c r="AC13640" s="42"/>
    </row>
    <row r="13641" spans="15:29" x14ac:dyDescent="0.25">
      <c r="O13641" s="42"/>
      <c r="R13641" s="42"/>
      <c r="AC13641" s="42"/>
    </row>
    <row r="13642" spans="15:29" x14ac:dyDescent="0.25">
      <c r="O13642" s="42"/>
      <c r="R13642" s="42"/>
      <c r="AC13642" s="42"/>
    </row>
    <row r="13643" spans="15:29" x14ac:dyDescent="0.25">
      <c r="O13643" s="42"/>
      <c r="R13643" s="42"/>
      <c r="AC13643" s="42"/>
    </row>
    <row r="13644" spans="15:29" x14ac:dyDescent="0.25">
      <c r="O13644" s="42"/>
      <c r="R13644" s="42"/>
      <c r="AC13644" s="42"/>
    </row>
    <row r="13645" spans="15:29" x14ac:dyDescent="0.25">
      <c r="O13645" s="42"/>
      <c r="R13645" s="42"/>
      <c r="AC13645" s="42"/>
    </row>
    <row r="13646" spans="15:29" x14ac:dyDescent="0.25">
      <c r="O13646" s="42"/>
      <c r="R13646" s="42"/>
      <c r="AC13646" s="42"/>
    </row>
    <row r="13647" spans="15:29" x14ac:dyDescent="0.25">
      <c r="O13647" s="42"/>
      <c r="R13647" s="42"/>
      <c r="AC13647" s="42"/>
    </row>
    <row r="13648" spans="15:29" x14ac:dyDescent="0.25">
      <c r="O13648" s="42"/>
      <c r="R13648" s="42"/>
      <c r="AC13648" s="42"/>
    </row>
    <row r="13649" spans="15:29" x14ac:dyDescent="0.25">
      <c r="O13649" s="42"/>
      <c r="R13649" s="42"/>
      <c r="AC13649" s="42"/>
    </row>
    <row r="13650" spans="15:29" x14ac:dyDescent="0.25">
      <c r="O13650" s="42"/>
      <c r="R13650" s="42"/>
      <c r="AC13650" s="42"/>
    </row>
    <row r="13651" spans="15:29" x14ac:dyDescent="0.25">
      <c r="O13651" s="42"/>
      <c r="R13651" s="42"/>
      <c r="AC13651" s="42"/>
    </row>
    <row r="13652" spans="15:29" x14ac:dyDescent="0.25">
      <c r="O13652" s="42"/>
      <c r="R13652" s="42"/>
      <c r="AC13652" s="42"/>
    </row>
    <row r="13653" spans="15:29" x14ac:dyDescent="0.25">
      <c r="O13653" s="42"/>
      <c r="R13653" s="42"/>
      <c r="AC13653" s="42"/>
    </row>
    <row r="13654" spans="15:29" x14ac:dyDescent="0.25">
      <c r="O13654" s="42"/>
      <c r="R13654" s="42"/>
      <c r="AC13654" s="42"/>
    </row>
    <row r="13655" spans="15:29" x14ac:dyDescent="0.25">
      <c r="O13655" s="42"/>
      <c r="R13655" s="42"/>
      <c r="AC13655" s="42"/>
    </row>
    <row r="13656" spans="15:29" x14ac:dyDescent="0.25">
      <c r="O13656" s="42"/>
      <c r="R13656" s="42"/>
      <c r="AC13656" s="42"/>
    </row>
    <row r="13657" spans="15:29" x14ac:dyDescent="0.25">
      <c r="O13657" s="42"/>
      <c r="R13657" s="42"/>
      <c r="AC13657" s="42"/>
    </row>
    <row r="13658" spans="15:29" x14ac:dyDescent="0.25">
      <c r="O13658" s="42"/>
      <c r="R13658" s="42"/>
      <c r="AC13658" s="42"/>
    </row>
    <row r="13659" spans="15:29" x14ac:dyDescent="0.25">
      <c r="O13659" s="42"/>
      <c r="R13659" s="42"/>
      <c r="AC13659" s="42"/>
    </row>
    <row r="13660" spans="15:29" x14ac:dyDescent="0.25">
      <c r="O13660" s="42"/>
      <c r="R13660" s="42"/>
      <c r="AC13660" s="42"/>
    </row>
    <row r="13661" spans="15:29" x14ac:dyDescent="0.25">
      <c r="O13661" s="42"/>
      <c r="R13661" s="42"/>
      <c r="AC13661" s="42"/>
    </row>
    <row r="13662" spans="15:29" x14ac:dyDescent="0.25">
      <c r="O13662" s="42"/>
      <c r="R13662" s="42"/>
      <c r="AC13662" s="42"/>
    </row>
    <row r="13663" spans="15:29" x14ac:dyDescent="0.25">
      <c r="O13663" s="42"/>
      <c r="R13663" s="42"/>
      <c r="AC13663" s="42"/>
    </row>
    <row r="13664" spans="15:29" x14ac:dyDescent="0.25">
      <c r="O13664" s="42"/>
      <c r="R13664" s="42"/>
      <c r="AC13664" s="42"/>
    </row>
    <row r="13665" spans="15:29" x14ac:dyDescent="0.25">
      <c r="O13665" s="42"/>
      <c r="R13665" s="42"/>
      <c r="AC13665" s="42"/>
    </row>
    <row r="13666" spans="15:29" x14ac:dyDescent="0.25">
      <c r="O13666" s="42"/>
      <c r="R13666" s="42"/>
      <c r="AC13666" s="42"/>
    </row>
    <row r="13667" spans="15:29" x14ac:dyDescent="0.25">
      <c r="O13667" s="42"/>
      <c r="R13667" s="42"/>
      <c r="AC13667" s="42"/>
    </row>
    <row r="13668" spans="15:29" x14ac:dyDescent="0.25">
      <c r="O13668" s="42"/>
      <c r="R13668" s="42"/>
      <c r="AC13668" s="42"/>
    </row>
    <row r="13669" spans="15:29" x14ac:dyDescent="0.25">
      <c r="O13669" s="42"/>
      <c r="R13669" s="42"/>
      <c r="AC13669" s="42"/>
    </row>
    <row r="13670" spans="15:29" x14ac:dyDescent="0.25">
      <c r="O13670" s="42"/>
      <c r="R13670" s="42"/>
      <c r="AC13670" s="42"/>
    </row>
    <row r="13671" spans="15:29" x14ac:dyDescent="0.25">
      <c r="O13671" s="42"/>
      <c r="R13671" s="42"/>
      <c r="AC13671" s="42"/>
    </row>
    <row r="13672" spans="15:29" x14ac:dyDescent="0.25">
      <c r="O13672" s="42"/>
      <c r="R13672" s="42"/>
      <c r="AC13672" s="42"/>
    </row>
    <row r="13673" spans="15:29" x14ac:dyDescent="0.25">
      <c r="O13673" s="42"/>
      <c r="R13673" s="42"/>
      <c r="AC13673" s="42"/>
    </row>
    <row r="13674" spans="15:29" x14ac:dyDescent="0.25">
      <c r="O13674" s="42"/>
      <c r="R13674" s="42"/>
      <c r="AC13674" s="42"/>
    </row>
    <row r="13675" spans="15:29" x14ac:dyDescent="0.25">
      <c r="O13675" s="42"/>
      <c r="R13675" s="42"/>
      <c r="AC13675" s="42"/>
    </row>
    <row r="13676" spans="15:29" x14ac:dyDescent="0.25">
      <c r="O13676" s="42"/>
      <c r="R13676" s="42"/>
      <c r="AC13676" s="42"/>
    </row>
    <row r="13677" spans="15:29" x14ac:dyDescent="0.25">
      <c r="O13677" s="42"/>
      <c r="R13677" s="42"/>
      <c r="AC13677" s="42"/>
    </row>
    <row r="13678" spans="15:29" x14ac:dyDescent="0.25">
      <c r="O13678" s="42"/>
      <c r="R13678" s="42"/>
      <c r="AC13678" s="42"/>
    </row>
    <row r="13679" spans="15:29" x14ac:dyDescent="0.25">
      <c r="O13679" s="42"/>
      <c r="R13679" s="42"/>
      <c r="AC13679" s="42"/>
    </row>
    <row r="13680" spans="15:29" x14ac:dyDescent="0.25">
      <c r="O13680" s="42"/>
      <c r="R13680" s="42"/>
      <c r="AC13680" s="42"/>
    </row>
    <row r="13681" spans="15:29" x14ac:dyDescent="0.25">
      <c r="O13681" s="42"/>
      <c r="R13681" s="42"/>
      <c r="AC13681" s="42"/>
    </row>
    <row r="13682" spans="15:29" x14ac:dyDescent="0.25">
      <c r="O13682" s="42"/>
      <c r="R13682" s="42"/>
      <c r="AC13682" s="42"/>
    </row>
    <row r="13683" spans="15:29" x14ac:dyDescent="0.25">
      <c r="O13683" s="42"/>
      <c r="R13683" s="42"/>
      <c r="AC13683" s="42"/>
    </row>
    <row r="13684" spans="15:29" x14ac:dyDescent="0.25">
      <c r="O13684" s="42"/>
      <c r="R13684" s="42"/>
      <c r="AC13684" s="42"/>
    </row>
    <row r="13685" spans="15:29" x14ac:dyDescent="0.25">
      <c r="O13685" s="42"/>
      <c r="R13685" s="42"/>
      <c r="AC13685" s="42"/>
    </row>
    <row r="13686" spans="15:29" x14ac:dyDescent="0.25">
      <c r="O13686" s="42"/>
      <c r="R13686" s="42"/>
      <c r="AC13686" s="42"/>
    </row>
    <row r="13687" spans="15:29" x14ac:dyDescent="0.25">
      <c r="O13687" s="42"/>
      <c r="R13687" s="42"/>
      <c r="AC13687" s="42"/>
    </row>
    <row r="13688" spans="15:29" x14ac:dyDescent="0.25">
      <c r="O13688" s="42"/>
      <c r="R13688" s="42"/>
      <c r="AC13688" s="42"/>
    </row>
    <row r="13689" spans="15:29" x14ac:dyDescent="0.25">
      <c r="O13689" s="42"/>
      <c r="R13689" s="42"/>
      <c r="AC13689" s="42"/>
    </row>
    <row r="13690" spans="15:29" x14ac:dyDescent="0.25">
      <c r="O13690" s="42"/>
      <c r="R13690" s="42"/>
      <c r="AC13690" s="42"/>
    </row>
    <row r="13691" spans="15:29" x14ac:dyDescent="0.25">
      <c r="O13691" s="42"/>
      <c r="R13691" s="42"/>
      <c r="AC13691" s="42"/>
    </row>
    <row r="13692" spans="15:29" x14ac:dyDescent="0.25">
      <c r="O13692" s="42"/>
      <c r="R13692" s="42"/>
      <c r="AC13692" s="42"/>
    </row>
    <row r="13693" spans="15:29" x14ac:dyDescent="0.25">
      <c r="O13693" s="42"/>
      <c r="R13693" s="42"/>
      <c r="AC13693" s="42"/>
    </row>
    <row r="13694" spans="15:29" x14ac:dyDescent="0.25">
      <c r="O13694" s="42"/>
      <c r="R13694" s="42"/>
      <c r="AC13694" s="42"/>
    </row>
    <row r="13695" spans="15:29" x14ac:dyDescent="0.25">
      <c r="O13695" s="42"/>
      <c r="R13695" s="42"/>
      <c r="AC13695" s="42"/>
    </row>
    <row r="13696" spans="15:29" x14ac:dyDescent="0.25">
      <c r="O13696" s="42"/>
      <c r="R13696" s="42"/>
      <c r="AC13696" s="42"/>
    </row>
    <row r="13697" spans="15:29" x14ac:dyDescent="0.25">
      <c r="O13697" s="42"/>
      <c r="R13697" s="42"/>
      <c r="AC13697" s="42"/>
    </row>
    <row r="13698" spans="15:29" x14ac:dyDescent="0.25">
      <c r="O13698" s="42"/>
      <c r="R13698" s="42"/>
      <c r="AC13698" s="42"/>
    </row>
    <row r="13699" spans="15:29" x14ac:dyDescent="0.25">
      <c r="O13699" s="42"/>
      <c r="R13699" s="42"/>
      <c r="AC13699" s="42"/>
    </row>
    <row r="13700" spans="15:29" x14ac:dyDescent="0.25">
      <c r="O13700" s="42"/>
      <c r="R13700" s="42"/>
      <c r="AC13700" s="42"/>
    </row>
    <row r="13701" spans="15:29" x14ac:dyDescent="0.25">
      <c r="O13701" s="42"/>
      <c r="R13701" s="42"/>
      <c r="AC13701" s="42"/>
    </row>
    <row r="13702" spans="15:29" x14ac:dyDescent="0.25">
      <c r="O13702" s="42"/>
      <c r="R13702" s="42"/>
      <c r="AC13702" s="42"/>
    </row>
    <row r="13703" spans="15:29" x14ac:dyDescent="0.25">
      <c r="O13703" s="42"/>
      <c r="R13703" s="42"/>
      <c r="AC13703" s="42"/>
    </row>
    <row r="13704" spans="15:29" x14ac:dyDescent="0.25">
      <c r="O13704" s="42"/>
      <c r="R13704" s="42"/>
      <c r="AC13704" s="42"/>
    </row>
    <row r="13705" spans="15:29" x14ac:dyDescent="0.25">
      <c r="O13705" s="42"/>
      <c r="R13705" s="42"/>
      <c r="AC13705" s="42"/>
    </row>
    <row r="13706" spans="15:29" x14ac:dyDescent="0.25">
      <c r="O13706" s="42"/>
      <c r="R13706" s="42"/>
      <c r="AC13706" s="42"/>
    </row>
    <row r="13707" spans="15:29" x14ac:dyDescent="0.25">
      <c r="O13707" s="42"/>
      <c r="R13707" s="42"/>
      <c r="AC13707" s="42"/>
    </row>
    <row r="13708" spans="15:29" x14ac:dyDescent="0.25">
      <c r="O13708" s="42"/>
      <c r="R13708" s="42"/>
      <c r="AC13708" s="42"/>
    </row>
    <row r="13709" spans="15:29" x14ac:dyDescent="0.25">
      <c r="O13709" s="42"/>
      <c r="R13709" s="42"/>
      <c r="AC13709" s="42"/>
    </row>
    <row r="13710" spans="15:29" x14ac:dyDescent="0.25">
      <c r="O13710" s="42"/>
      <c r="R13710" s="42"/>
      <c r="AC13710" s="42"/>
    </row>
    <row r="13711" spans="15:29" x14ac:dyDescent="0.25">
      <c r="O13711" s="42"/>
      <c r="R13711" s="42"/>
      <c r="AC13711" s="42"/>
    </row>
    <row r="13712" spans="15:29" x14ac:dyDescent="0.25">
      <c r="O13712" s="42"/>
      <c r="R13712" s="42"/>
      <c r="AC13712" s="42"/>
    </row>
    <row r="13713" spans="15:29" x14ac:dyDescent="0.25">
      <c r="O13713" s="42"/>
      <c r="R13713" s="42"/>
      <c r="AC13713" s="42"/>
    </row>
    <row r="13714" spans="15:29" x14ac:dyDescent="0.25">
      <c r="O13714" s="42"/>
      <c r="R13714" s="42"/>
      <c r="AC13714" s="42"/>
    </row>
    <row r="13715" spans="15:29" x14ac:dyDescent="0.25">
      <c r="O13715" s="42"/>
      <c r="R13715" s="42"/>
      <c r="AC13715" s="42"/>
    </row>
    <row r="13716" spans="15:29" x14ac:dyDescent="0.25">
      <c r="O13716" s="42"/>
      <c r="R13716" s="42"/>
      <c r="AC13716" s="42"/>
    </row>
    <row r="13717" spans="15:29" x14ac:dyDescent="0.25">
      <c r="O13717" s="42"/>
      <c r="R13717" s="42"/>
      <c r="AC13717" s="42"/>
    </row>
    <row r="13718" spans="15:29" x14ac:dyDescent="0.25">
      <c r="O13718" s="42"/>
      <c r="R13718" s="42"/>
      <c r="AC13718" s="42"/>
    </row>
    <row r="13719" spans="15:29" x14ac:dyDescent="0.25">
      <c r="O13719" s="42"/>
      <c r="R13719" s="42"/>
      <c r="AC13719" s="42"/>
    </row>
    <row r="13720" spans="15:29" x14ac:dyDescent="0.25">
      <c r="O13720" s="42"/>
      <c r="R13720" s="42"/>
      <c r="AC13720" s="42"/>
    </row>
    <row r="13721" spans="15:29" x14ac:dyDescent="0.25">
      <c r="O13721" s="42"/>
      <c r="R13721" s="42"/>
      <c r="AC13721" s="42"/>
    </row>
    <row r="13722" spans="15:29" x14ac:dyDescent="0.25">
      <c r="O13722" s="42"/>
      <c r="R13722" s="42"/>
      <c r="AC13722" s="42"/>
    </row>
    <row r="13723" spans="15:29" x14ac:dyDescent="0.25">
      <c r="O13723" s="42"/>
      <c r="R13723" s="42"/>
      <c r="AC13723" s="42"/>
    </row>
    <row r="13724" spans="15:29" x14ac:dyDescent="0.25">
      <c r="O13724" s="42"/>
      <c r="R13724" s="42"/>
      <c r="AC13724" s="42"/>
    </row>
    <row r="13725" spans="15:29" x14ac:dyDescent="0.25">
      <c r="O13725" s="42"/>
      <c r="R13725" s="42"/>
      <c r="AC13725" s="42"/>
    </row>
    <row r="13726" spans="15:29" x14ac:dyDescent="0.25">
      <c r="O13726" s="42"/>
      <c r="R13726" s="42"/>
      <c r="AC13726" s="42"/>
    </row>
    <row r="13727" spans="15:29" x14ac:dyDescent="0.25">
      <c r="O13727" s="42"/>
      <c r="R13727" s="42"/>
      <c r="AC13727" s="42"/>
    </row>
    <row r="13728" spans="15:29" x14ac:dyDescent="0.25">
      <c r="O13728" s="42"/>
      <c r="R13728" s="42"/>
      <c r="AC13728" s="42"/>
    </row>
    <row r="13729" spans="15:29" x14ac:dyDescent="0.25">
      <c r="O13729" s="42"/>
      <c r="R13729" s="42"/>
      <c r="AC13729" s="42"/>
    </row>
    <row r="13730" spans="15:29" x14ac:dyDescent="0.25">
      <c r="O13730" s="42"/>
      <c r="R13730" s="42"/>
      <c r="AC13730" s="42"/>
    </row>
    <row r="13731" spans="15:29" x14ac:dyDescent="0.25">
      <c r="O13731" s="42"/>
      <c r="R13731" s="42"/>
      <c r="AC13731" s="42"/>
    </row>
    <row r="13732" spans="15:29" x14ac:dyDescent="0.25">
      <c r="O13732" s="42"/>
      <c r="R13732" s="42"/>
      <c r="AC13732" s="42"/>
    </row>
    <row r="13733" spans="15:29" x14ac:dyDescent="0.25">
      <c r="O13733" s="42"/>
      <c r="R13733" s="42"/>
      <c r="AC13733" s="42"/>
    </row>
    <row r="13734" spans="15:29" x14ac:dyDescent="0.25">
      <c r="O13734" s="42"/>
      <c r="R13734" s="42"/>
      <c r="AC13734" s="42"/>
    </row>
    <row r="13735" spans="15:29" x14ac:dyDescent="0.25">
      <c r="O13735" s="42"/>
      <c r="R13735" s="42"/>
      <c r="AC13735" s="42"/>
    </row>
    <row r="13736" spans="15:29" x14ac:dyDescent="0.25">
      <c r="O13736" s="42"/>
      <c r="R13736" s="42"/>
      <c r="AC13736" s="42"/>
    </row>
    <row r="13737" spans="15:29" x14ac:dyDescent="0.25">
      <c r="O13737" s="42"/>
      <c r="R13737" s="42"/>
      <c r="AC13737" s="42"/>
    </row>
    <row r="13738" spans="15:29" x14ac:dyDescent="0.25">
      <c r="O13738" s="42"/>
      <c r="R13738" s="42"/>
      <c r="AC13738" s="42"/>
    </row>
    <row r="13739" spans="15:29" x14ac:dyDescent="0.25">
      <c r="O13739" s="42"/>
      <c r="R13739" s="42"/>
      <c r="AC13739" s="42"/>
    </row>
    <row r="13740" spans="15:29" x14ac:dyDescent="0.25">
      <c r="O13740" s="42"/>
      <c r="R13740" s="42"/>
      <c r="AC13740" s="42"/>
    </row>
    <row r="13741" spans="15:29" x14ac:dyDescent="0.25">
      <c r="O13741" s="42"/>
      <c r="R13741" s="42"/>
      <c r="AC13741" s="42"/>
    </row>
    <row r="13742" spans="15:29" x14ac:dyDescent="0.25">
      <c r="O13742" s="42"/>
      <c r="R13742" s="42"/>
      <c r="AC13742" s="42"/>
    </row>
    <row r="13743" spans="15:29" x14ac:dyDescent="0.25">
      <c r="O13743" s="42"/>
      <c r="R13743" s="42"/>
      <c r="AC13743" s="42"/>
    </row>
    <row r="13744" spans="15:29" x14ac:dyDescent="0.25">
      <c r="O13744" s="42"/>
      <c r="R13744" s="42"/>
      <c r="AC13744" s="42"/>
    </row>
    <row r="13745" spans="15:29" x14ac:dyDescent="0.25">
      <c r="O13745" s="42"/>
      <c r="R13745" s="42"/>
      <c r="AC13745" s="42"/>
    </row>
    <row r="13746" spans="15:29" x14ac:dyDescent="0.25">
      <c r="O13746" s="42"/>
      <c r="R13746" s="42"/>
      <c r="AC13746" s="42"/>
    </row>
    <row r="13747" spans="15:29" x14ac:dyDescent="0.25">
      <c r="O13747" s="42"/>
      <c r="R13747" s="42"/>
      <c r="AC13747" s="42"/>
    </row>
    <row r="13748" spans="15:29" x14ac:dyDescent="0.25">
      <c r="O13748" s="42"/>
      <c r="R13748" s="42"/>
      <c r="AC13748" s="42"/>
    </row>
    <row r="13749" spans="15:29" x14ac:dyDescent="0.25">
      <c r="O13749" s="42"/>
      <c r="R13749" s="42"/>
      <c r="AC13749" s="42"/>
    </row>
    <row r="13750" spans="15:29" x14ac:dyDescent="0.25">
      <c r="O13750" s="42"/>
      <c r="R13750" s="42"/>
      <c r="AC13750" s="42"/>
    </row>
    <row r="13751" spans="15:29" x14ac:dyDescent="0.25">
      <c r="O13751" s="42"/>
      <c r="R13751" s="42"/>
      <c r="AC13751" s="42"/>
    </row>
    <row r="13752" spans="15:29" x14ac:dyDescent="0.25">
      <c r="O13752" s="42"/>
      <c r="R13752" s="42"/>
      <c r="AC13752" s="42"/>
    </row>
    <row r="13753" spans="15:29" x14ac:dyDescent="0.25">
      <c r="O13753" s="42"/>
      <c r="R13753" s="42"/>
      <c r="AC13753" s="42"/>
    </row>
    <row r="13754" spans="15:29" x14ac:dyDescent="0.25">
      <c r="O13754" s="42"/>
      <c r="R13754" s="42"/>
      <c r="AC13754" s="42"/>
    </row>
    <row r="13755" spans="15:29" x14ac:dyDescent="0.25">
      <c r="O13755" s="42"/>
      <c r="R13755" s="42"/>
      <c r="AC13755" s="42"/>
    </row>
    <row r="13756" spans="15:29" x14ac:dyDescent="0.25">
      <c r="O13756" s="42"/>
      <c r="R13756" s="42"/>
      <c r="AC13756" s="42"/>
    </row>
    <row r="13757" spans="15:29" x14ac:dyDescent="0.25">
      <c r="O13757" s="42"/>
      <c r="R13757" s="42"/>
      <c r="AC13757" s="42"/>
    </row>
    <row r="13758" spans="15:29" x14ac:dyDescent="0.25">
      <c r="O13758" s="42"/>
      <c r="R13758" s="42"/>
      <c r="AC13758" s="42"/>
    </row>
    <row r="13759" spans="15:29" x14ac:dyDescent="0.25">
      <c r="O13759" s="42"/>
      <c r="R13759" s="42"/>
      <c r="AC13759" s="42"/>
    </row>
    <row r="13760" spans="15:29" x14ac:dyDescent="0.25">
      <c r="O13760" s="42"/>
      <c r="R13760" s="42"/>
      <c r="AC13760" s="42"/>
    </row>
    <row r="13761" spans="15:29" x14ac:dyDescent="0.25">
      <c r="O13761" s="42"/>
      <c r="R13761" s="42"/>
      <c r="AC13761" s="42"/>
    </row>
    <row r="13762" spans="15:29" x14ac:dyDescent="0.25">
      <c r="O13762" s="42"/>
      <c r="R13762" s="42"/>
      <c r="AC13762" s="42"/>
    </row>
    <row r="13763" spans="15:29" x14ac:dyDescent="0.25">
      <c r="O13763" s="42"/>
      <c r="R13763" s="42"/>
      <c r="AC13763" s="42"/>
    </row>
    <row r="13764" spans="15:29" x14ac:dyDescent="0.25">
      <c r="O13764" s="42"/>
      <c r="R13764" s="42"/>
      <c r="AC13764" s="42"/>
    </row>
    <row r="13765" spans="15:29" x14ac:dyDescent="0.25">
      <c r="O13765" s="42"/>
      <c r="R13765" s="42"/>
      <c r="AC13765" s="42"/>
    </row>
    <row r="13766" spans="15:29" x14ac:dyDescent="0.25">
      <c r="O13766" s="42"/>
      <c r="R13766" s="42"/>
      <c r="AC13766" s="42"/>
    </row>
    <row r="13767" spans="15:29" x14ac:dyDescent="0.25">
      <c r="O13767" s="42"/>
      <c r="R13767" s="42"/>
      <c r="AC13767" s="42"/>
    </row>
    <row r="13768" spans="15:29" x14ac:dyDescent="0.25">
      <c r="O13768" s="42"/>
      <c r="R13768" s="42"/>
      <c r="AC13768" s="42"/>
    </row>
    <row r="13769" spans="15:29" x14ac:dyDescent="0.25">
      <c r="O13769" s="42"/>
      <c r="R13769" s="42"/>
      <c r="AC13769" s="42"/>
    </row>
    <row r="13770" spans="15:29" x14ac:dyDescent="0.25">
      <c r="O13770" s="42"/>
      <c r="R13770" s="42"/>
      <c r="AC13770" s="42"/>
    </row>
    <row r="13771" spans="15:29" x14ac:dyDescent="0.25">
      <c r="O13771" s="42"/>
      <c r="R13771" s="42"/>
      <c r="AC13771" s="42"/>
    </row>
    <row r="13772" spans="15:29" x14ac:dyDescent="0.25">
      <c r="O13772" s="42"/>
      <c r="R13772" s="42"/>
      <c r="AC13772" s="42"/>
    </row>
    <row r="13773" spans="15:29" x14ac:dyDescent="0.25">
      <c r="O13773" s="42"/>
      <c r="R13773" s="42"/>
      <c r="AC13773" s="42"/>
    </row>
    <row r="13774" spans="15:29" x14ac:dyDescent="0.25">
      <c r="O13774" s="42"/>
      <c r="R13774" s="42"/>
      <c r="AC13774" s="42"/>
    </row>
    <row r="13775" spans="15:29" x14ac:dyDescent="0.25">
      <c r="O13775" s="42"/>
      <c r="R13775" s="42"/>
      <c r="AC13775" s="42"/>
    </row>
    <row r="13776" spans="15:29" x14ac:dyDescent="0.25">
      <c r="O13776" s="42"/>
      <c r="R13776" s="42"/>
      <c r="AC13776" s="42"/>
    </row>
    <row r="13777" spans="15:29" x14ac:dyDescent="0.25">
      <c r="O13777" s="42"/>
      <c r="R13777" s="42"/>
      <c r="AC13777" s="42"/>
    </row>
    <row r="13778" spans="15:29" x14ac:dyDescent="0.25">
      <c r="O13778" s="42"/>
      <c r="R13778" s="42"/>
      <c r="AC13778" s="42"/>
    </row>
    <row r="13779" spans="15:29" x14ac:dyDescent="0.25">
      <c r="O13779" s="42"/>
      <c r="R13779" s="42"/>
      <c r="AC13779" s="42"/>
    </row>
    <row r="13780" spans="15:29" x14ac:dyDescent="0.25">
      <c r="O13780" s="42"/>
      <c r="R13780" s="42"/>
      <c r="AC13780" s="42"/>
    </row>
    <row r="13781" spans="15:29" x14ac:dyDescent="0.25">
      <c r="O13781" s="42"/>
      <c r="R13781" s="42"/>
      <c r="AC13781" s="42"/>
    </row>
    <row r="13782" spans="15:29" x14ac:dyDescent="0.25">
      <c r="O13782" s="42"/>
      <c r="R13782" s="42"/>
      <c r="AC13782" s="42"/>
    </row>
    <row r="13783" spans="15:29" x14ac:dyDescent="0.25">
      <c r="O13783" s="42"/>
      <c r="R13783" s="42"/>
      <c r="AC13783" s="42"/>
    </row>
    <row r="13784" spans="15:29" x14ac:dyDescent="0.25">
      <c r="O13784" s="42"/>
      <c r="R13784" s="42"/>
      <c r="AC13784" s="42"/>
    </row>
    <row r="13785" spans="15:29" x14ac:dyDescent="0.25">
      <c r="O13785" s="42"/>
      <c r="R13785" s="42"/>
      <c r="AC13785" s="42"/>
    </row>
    <row r="13786" spans="15:29" x14ac:dyDescent="0.25">
      <c r="O13786" s="42"/>
      <c r="R13786" s="42"/>
      <c r="AC13786" s="42"/>
    </row>
    <row r="13787" spans="15:29" x14ac:dyDescent="0.25">
      <c r="O13787" s="42"/>
      <c r="R13787" s="42"/>
      <c r="AC13787" s="42"/>
    </row>
    <row r="13788" spans="15:29" x14ac:dyDescent="0.25">
      <c r="O13788" s="42"/>
      <c r="R13788" s="42"/>
      <c r="AC13788" s="42"/>
    </row>
    <row r="13789" spans="15:29" x14ac:dyDescent="0.25">
      <c r="O13789" s="42"/>
      <c r="R13789" s="42"/>
      <c r="AC13789" s="42"/>
    </row>
    <row r="13790" spans="15:29" x14ac:dyDescent="0.25">
      <c r="O13790" s="42"/>
      <c r="R13790" s="42"/>
      <c r="AC13790" s="42"/>
    </row>
    <row r="13791" spans="15:29" x14ac:dyDescent="0.25">
      <c r="O13791" s="42"/>
      <c r="R13791" s="42"/>
      <c r="AC13791" s="42"/>
    </row>
    <row r="13792" spans="15:29" x14ac:dyDescent="0.25">
      <c r="O13792" s="42"/>
      <c r="R13792" s="42"/>
      <c r="AC13792" s="42"/>
    </row>
    <row r="13793" spans="15:29" x14ac:dyDescent="0.25">
      <c r="O13793" s="42"/>
      <c r="R13793" s="42"/>
      <c r="AC13793" s="42"/>
    </row>
    <row r="13794" spans="15:29" x14ac:dyDescent="0.25">
      <c r="O13794" s="42"/>
      <c r="R13794" s="42"/>
      <c r="AC13794" s="42"/>
    </row>
    <row r="13795" spans="15:29" x14ac:dyDescent="0.25">
      <c r="O13795" s="42"/>
      <c r="R13795" s="42"/>
      <c r="AC13795" s="42"/>
    </row>
    <row r="13796" spans="15:29" x14ac:dyDescent="0.25">
      <c r="O13796" s="42"/>
      <c r="R13796" s="42"/>
      <c r="AC13796" s="42"/>
    </row>
    <row r="13797" spans="15:29" x14ac:dyDescent="0.25">
      <c r="O13797" s="42"/>
      <c r="R13797" s="42"/>
      <c r="AC13797" s="42"/>
    </row>
    <row r="13798" spans="15:29" x14ac:dyDescent="0.25">
      <c r="O13798" s="42"/>
      <c r="R13798" s="42"/>
      <c r="AC13798" s="42"/>
    </row>
    <row r="13799" spans="15:29" x14ac:dyDescent="0.25">
      <c r="O13799" s="42"/>
      <c r="R13799" s="42"/>
      <c r="AC13799" s="42"/>
    </row>
    <row r="13800" spans="15:29" x14ac:dyDescent="0.25">
      <c r="O13800" s="42"/>
      <c r="R13800" s="42"/>
      <c r="AC13800" s="42"/>
    </row>
    <row r="13801" spans="15:29" x14ac:dyDescent="0.25">
      <c r="O13801" s="42"/>
      <c r="R13801" s="42"/>
      <c r="AC13801" s="42"/>
    </row>
    <row r="13802" spans="15:29" x14ac:dyDescent="0.25">
      <c r="O13802" s="42"/>
      <c r="R13802" s="42"/>
      <c r="AC13802" s="42"/>
    </row>
    <row r="13803" spans="15:29" x14ac:dyDescent="0.25">
      <c r="O13803" s="42"/>
      <c r="R13803" s="42"/>
      <c r="AC13803" s="42"/>
    </row>
    <row r="13804" spans="15:29" x14ac:dyDescent="0.25">
      <c r="O13804" s="42"/>
      <c r="R13804" s="42"/>
      <c r="AC13804" s="42"/>
    </row>
    <row r="13805" spans="15:29" x14ac:dyDescent="0.25">
      <c r="O13805" s="42"/>
      <c r="R13805" s="42"/>
      <c r="AC13805" s="42"/>
    </row>
    <row r="13806" spans="15:29" x14ac:dyDescent="0.25">
      <c r="O13806" s="42"/>
      <c r="R13806" s="42"/>
      <c r="AC13806" s="42"/>
    </row>
    <row r="13807" spans="15:29" x14ac:dyDescent="0.25">
      <c r="O13807" s="42"/>
      <c r="R13807" s="42"/>
      <c r="AC13807" s="42"/>
    </row>
    <row r="13808" spans="15:29" x14ac:dyDescent="0.25">
      <c r="O13808" s="42"/>
      <c r="R13808" s="42"/>
      <c r="AC13808" s="42"/>
    </row>
    <row r="13809" spans="15:29" x14ac:dyDescent="0.25">
      <c r="O13809" s="42"/>
      <c r="R13809" s="42"/>
      <c r="AC13809" s="42"/>
    </row>
    <row r="13810" spans="15:29" x14ac:dyDescent="0.25">
      <c r="O13810" s="42"/>
      <c r="R13810" s="42"/>
      <c r="AC13810" s="42"/>
    </row>
    <row r="13811" spans="15:29" x14ac:dyDescent="0.25">
      <c r="O13811" s="42"/>
      <c r="R13811" s="42"/>
      <c r="AC13811" s="42"/>
    </row>
    <row r="13812" spans="15:29" x14ac:dyDescent="0.25">
      <c r="O13812" s="42"/>
      <c r="R13812" s="42"/>
      <c r="AC13812" s="42"/>
    </row>
    <row r="13813" spans="15:29" x14ac:dyDescent="0.25">
      <c r="O13813" s="42"/>
      <c r="R13813" s="42"/>
      <c r="AC13813" s="42"/>
    </row>
    <row r="13814" spans="15:29" x14ac:dyDescent="0.25">
      <c r="O13814" s="42"/>
      <c r="R13814" s="42"/>
      <c r="AC13814" s="42"/>
    </row>
    <row r="13815" spans="15:29" x14ac:dyDescent="0.25">
      <c r="O13815" s="42"/>
      <c r="R13815" s="42"/>
      <c r="AC13815" s="42"/>
    </row>
    <row r="13816" spans="15:29" x14ac:dyDescent="0.25">
      <c r="O13816" s="42"/>
      <c r="R13816" s="42"/>
      <c r="AC13816" s="42"/>
    </row>
    <row r="13817" spans="15:29" x14ac:dyDescent="0.25">
      <c r="O13817" s="42"/>
      <c r="R13817" s="42"/>
      <c r="AC13817" s="42"/>
    </row>
    <row r="13818" spans="15:29" x14ac:dyDescent="0.25">
      <c r="O13818" s="42"/>
      <c r="R13818" s="42"/>
      <c r="AC13818" s="42"/>
    </row>
    <row r="13819" spans="15:29" x14ac:dyDescent="0.25">
      <c r="O13819" s="42"/>
      <c r="R13819" s="42"/>
      <c r="AC13819" s="42"/>
    </row>
    <row r="13820" spans="15:29" x14ac:dyDescent="0.25">
      <c r="O13820" s="42"/>
      <c r="R13820" s="42"/>
      <c r="AC13820" s="42"/>
    </row>
    <row r="13821" spans="15:29" x14ac:dyDescent="0.25">
      <c r="O13821" s="42"/>
      <c r="R13821" s="42"/>
      <c r="AC13821" s="42"/>
    </row>
    <row r="13822" spans="15:29" x14ac:dyDescent="0.25">
      <c r="O13822" s="42"/>
      <c r="R13822" s="42"/>
      <c r="AC13822" s="42"/>
    </row>
    <row r="13823" spans="15:29" x14ac:dyDescent="0.25">
      <c r="O13823" s="42"/>
      <c r="R13823" s="42"/>
      <c r="AC13823" s="42"/>
    </row>
    <row r="13824" spans="15:29" x14ac:dyDescent="0.25">
      <c r="O13824" s="42"/>
      <c r="R13824" s="42"/>
      <c r="AC13824" s="42"/>
    </row>
    <row r="13825" spans="15:29" x14ac:dyDescent="0.25">
      <c r="O13825" s="42"/>
      <c r="R13825" s="42"/>
      <c r="AC13825" s="42"/>
    </row>
    <row r="13826" spans="15:29" x14ac:dyDescent="0.25">
      <c r="O13826" s="42"/>
      <c r="R13826" s="42"/>
      <c r="AC13826" s="42"/>
    </row>
    <row r="13827" spans="15:29" x14ac:dyDescent="0.25">
      <c r="O13827" s="42"/>
      <c r="R13827" s="42"/>
      <c r="AC13827" s="42"/>
    </row>
    <row r="13828" spans="15:29" x14ac:dyDescent="0.25">
      <c r="O13828" s="42"/>
      <c r="R13828" s="42"/>
      <c r="AC13828" s="42"/>
    </row>
    <row r="13829" spans="15:29" x14ac:dyDescent="0.25">
      <c r="O13829" s="42"/>
      <c r="R13829" s="42"/>
      <c r="AC13829" s="42"/>
    </row>
    <row r="13830" spans="15:29" x14ac:dyDescent="0.25">
      <c r="O13830" s="42"/>
      <c r="R13830" s="42"/>
      <c r="AC13830" s="42"/>
    </row>
    <row r="13831" spans="15:29" x14ac:dyDescent="0.25">
      <c r="O13831" s="42"/>
      <c r="R13831" s="42"/>
      <c r="AC13831" s="42"/>
    </row>
    <row r="13832" spans="15:29" x14ac:dyDescent="0.25">
      <c r="O13832" s="42"/>
      <c r="R13832" s="42"/>
      <c r="AC13832" s="42"/>
    </row>
    <row r="13833" spans="15:29" x14ac:dyDescent="0.25">
      <c r="O13833" s="42"/>
      <c r="R13833" s="42"/>
      <c r="AC13833" s="42"/>
    </row>
    <row r="13834" spans="15:29" x14ac:dyDescent="0.25">
      <c r="O13834" s="42"/>
      <c r="R13834" s="42"/>
      <c r="AC13834" s="42"/>
    </row>
    <row r="13835" spans="15:29" x14ac:dyDescent="0.25">
      <c r="O13835" s="42"/>
      <c r="R13835" s="42"/>
      <c r="AC13835" s="42"/>
    </row>
    <row r="13836" spans="15:29" x14ac:dyDescent="0.25">
      <c r="O13836" s="42"/>
      <c r="R13836" s="42"/>
      <c r="AC13836" s="42"/>
    </row>
    <row r="13837" spans="15:29" x14ac:dyDescent="0.25">
      <c r="O13837" s="42"/>
      <c r="R13837" s="42"/>
      <c r="AC13837" s="42"/>
    </row>
    <row r="13838" spans="15:29" x14ac:dyDescent="0.25">
      <c r="O13838" s="42"/>
      <c r="R13838" s="42"/>
      <c r="AC13838" s="42"/>
    </row>
    <row r="13839" spans="15:29" x14ac:dyDescent="0.25">
      <c r="O13839" s="42"/>
      <c r="R13839" s="42"/>
      <c r="AC13839" s="42"/>
    </row>
    <row r="13840" spans="15:29" x14ac:dyDescent="0.25">
      <c r="O13840" s="42"/>
      <c r="R13840" s="42"/>
      <c r="AC13840" s="42"/>
    </row>
    <row r="13841" spans="15:29" x14ac:dyDescent="0.25">
      <c r="O13841" s="42"/>
      <c r="R13841" s="42"/>
      <c r="AC13841" s="42"/>
    </row>
    <row r="13842" spans="15:29" x14ac:dyDescent="0.25">
      <c r="O13842" s="42"/>
      <c r="R13842" s="42"/>
      <c r="AC13842" s="42"/>
    </row>
    <row r="13843" spans="15:29" x14ac:dyDescent="0.25">
      <c r="O13843" s="42"/>
      <c r="R13843" s="42"/>
      <c r="AC13843" s="42"/>
    </row>
    <row r="13844" spans="15:29" x14ac:dyDescent="0.25">
      <c r="O13844" s="42"/>
      <c r="R13844" s="42"/>
      <c r="AC13844" s="42"/>
    </row>
    <row r="13845" spans="15:29" x14ac:dyDescent="0.25">
      <c r="O13845" s="42"/>
      <c r="R13845" s="42"/>
      <c r="AC13845" s="42"/>
    </row>
    <row r="13846" spans="15:29" x14ac:dyDescent="0.25">
      <c r="O13846" s="42"/>
      <c r="R13846" s="42"/>
      <c r="AC13846" s="42"/>
    </row>
    <row r="13847" spans="15:29" x14ac:dyDescent="0.25">
      <c r="O13847" s="42"/>
      <c r="R13847" s="42"/>
      <c r="AC13847" s="42"/>
    </row>
    <row r="13848" spans="15:29" x14ac:dyDescent="0.25">
      <c r="O13848" s="42"/>
      <c r="R13848" s="42"/>
      <c r="AC13848" s="42"/>
    </row>
    <row r="13849" spans="15:29" x14ac:dyDescent="0.25">
      <c r="O13849" s="42"/>
      <c r="R13849" s="42"/>
      <c r="AC13849" s="42"/>
    </row>
    <row r="13850" spans="15:29" x14ac:dyDescent="0.25">
      <c r="O13850" s="42"/>
      <c r="R13850" s="42"/>
      <c r="AC13850" s="42"/>
    </row>
    <row r="13851" spans="15:29" x14ac:dyDescent="0.25">
      <c r="O13851" s="42"/>
      <c r="R13851" s="42"/>
      <c r="AC13851" s="42"/>
    </row>
    <row r="13852" spans="15:29" x14ac:dyDescent="0.25">
      <c r="O13852" s="42"/>
      <c r="R13852" s="42"/>
      <c r="AC13852" s="42"/>
    </row>
    <row r="13853" spans="15:29" x14ac:dyDescent="0.25">
      <c r="O13853" s="42"/>
      <c r="R13853" s="42"/>
      <c r="AC13853" s="42"/>
    </row>
    <row r="13854" spans="15:29" x14ac:dyDescent="0.25">
      <c r="O13854" s="42"/>
      <c r="R13854" s="42"/>
      <c r="AC13854" s="42"/>
    </row>
    <row r="13855" spans="15:29" x14ac:dyDescent="0.25">
      <c r="O13855" s="42"/>
      <c r="R13855" s="42"/>
      <c r="AC13855" s="42"/>
    </row>
    <row r="13856" spans="15:29" x14ac:dyDescent="0.25">
      <c r="O13856" s="42"/>
      <c r="R13856" s="42"/>
      <c r="AC13856" s="42"/>
    </row>
    <row r="13857" spans="15:29" x14ac:dyDescent="0.25">
      <c r="O13857" s="42"/>
      <c r="R13857" s="42"/>
      <c r="AC13857" s="42"/>
    </row>
    <row r="13858" spans="15:29" x14ac:dyDescent="0.25">
      <c r="O13858" s="42"/>
      <c r="R13858" s="42"/>
      <c r="AC13858" s="42"/>
    </row>
    <row r="13859" spans="15:29" x14ac:dyDescent="0.25">
      <c r="O13859" s="42"/>
      <c r="R13859" s="42"/>
      <c r="AC13859" s="42"/>
    </row>
    <row r="13860" spans="15:29" x14ac:dyDescent="0.25">
      <c r="O13860" s="42"/>
      <c r="R13860" s="42"/>
      <c r="AC13860" s="42"/>
    </row>
    <row r="13861" spans="15:29" x14ac:dyDescent="0.25">
      <c r="O13861" s="42"/>
      <c r="R13861" s="42"/>
      <c r="AC13861" s="42"/>
    </row>
    <row r="13862" spans="15:29" x14ac:dyDescent="0.25">
      <c r="O13862" s="42"/>
      <c r="R13862" s="42"/>
      <c r="AC13862" s="42"/>
    </row>
    <row r="13863" spans="15:29" x14ac:dyDescent="0.25">
      <c r="O13863" s="42"/>
      <c r="R13863" s="42"/>
      <c r="AC13863" s="42"/>
    </row>
    <row r="13864" spans="15:29" x14ac:dyDescent="0.25">
      <c r="O13864" s="42"/>
      <c r="R13864" s="42"/>
      <c r="AC13864" s="42"/>
    </row>
    <row r="13865" spans="15:29" x14ac:dyDescent="0.25">
      <c r="O13865" s="42"/>
      <c r="R13865" s="42"/>
      <c r="AC13865" s="42"/>
    </row>
    <row r="13866" spans="15:29" x14ac:dyDescent="0.25">
      <c r="O13866" s="42"/>
      <c r="R13866" s="42"/>
      <c r="AC13866" s="42"/>
    </row>
    <row r="13867" spans="15:29" x14ac:dyDescent="0.25">
      <c r="O13867" s="42"/>
      <c r="R13867" s="42"/>
      <c r="AC13867" s="42"/>
    </row>
    <row r="13868" spans="15:29" x14ac:dyDescent="0.25">
      <c r="O13868" s="42"/>
      <c r="R13868" s="42"/>
      <c r="AC13868" s="42"/>
    </row>
    <row r="13869" spans="15:29" x14ac:dyDescent="0.25">
      <c r="O13869" s="42"/>
      <c r="R13869" s="42"/>
      <c r="AC13869" s="42"/>
    </row>
    <row r="13870" spans="15:29" x14ac:dyDescent="0.25">
      <c r="O13870" s="42"/>
      <c r="R13870" s="42"/>
      <c r="AC13870" s="42"/>
    </row>
    <row r="13871" spans="15:29" x14ac:dyDescent="0.25">
      <c r="O13871" s="42"/>
      <c r="R13871" s="42"/>
      <c r="AC13871" s="42"/>
    </row>
    <row r="13872" spans="15:29" x14ac:dyDescent="0.25">
      <c r="O13872" s="42"/>
      <c r="R13872" s="42"/>
      <c r="AC13872" s="42"/>
    </row>
    <row r="13873" spans="15:29" x14ac:dyDescent="0.25">
      <c r="O13873" s="42"/>
      <c r="R13873" s="42"/>
      <c r="AC13873" s="42"/>
    </row>
    <row r="13874" spans="15:29" x14ac:dyDescent="0.25">
      <c r="O13874" s="42"/>
      <c r="R13874" s="42"/>
      <c r="AC13874" s="42"/>
    </row>
    <row r="13875" spans="15:29" x14ac:dyDescent="0.25">
      <c r="O13875" s="42"/>
      <c r="R13875" s="42"/>
      <c r="AC13875" s="42"/>
    </row>
    <row r="13876" spans="15:29" x14ac:dyDescent="0.25">
      <c r="O13876" s="42"/>
      <c r="R13876" s="42"/>
      <c r="AC13876" s="42"/>
    </row>
    <row r="13877" spans="15:29" x14ac:dyDescent="0.25">
      <c r="O13877" s="42"/>
      <c r="R13877" s="42"/>
      <c r="AC13877" s="42"/>
    </row>
    <row r="13878" spans="15:29" x14ac:dyDescent="0.25">
      <c r="O13878" s="42"/>
      <c r="R13878" s="42"/>
      <c r="AC13878" s="42"/>
    </row>
    <row r="13879" spans="15:29" x14ac:dyDescent="0.25">
      <c r="O13879" s="42"/>
      <c r="R13879" s="42"/>
      <c r="AC13879" s="42"/>
    </row>
    <row r="13880" spans="15:29" x14ac:dyDescent="0.25">
      <c r="O13880" s="42"/>
      <c r="R13880" s="42"/>
      <c r="AC13880" s="42"/>
    </row>
    <row r="13881" spans="15:29" x14ac:dyDescent="0.25">
      <c r="O13881" s="42"/>
      <c r="R13881" s="42"/>
      <c r="AC13881" s="42"/>
    </row>
    <row r="13882" spans="15:29" x14ac:dyDescent="0.25">
      <c r="O13882" s="42"/>
      <c r="R13882" s="42"/>
      <c r="AC13882" s="42"/>
    </row>
    <row r="13883" spans="15:29" x14ac:dyDescent="0.25">
      <c r="O13883" s="42"/>
      <c r="R13883" s="42"/>
      <c r="AC13883" s="42"/>
    </row>
    <row r="13884" spans="15:29" x14ac:dyDescent="0.25">
      <c r="O13884" s="42"/>
      <c r="R13884" s="42"/>
      <c r="AC13884" s="42"/>
    </row>
    <row r="13885" spans="15:29" x14ac:dyDescent="0.25">
      <c r="O13885" s="42"/>
      <c r="R13885" s="42"/>
      <c r="AC13885" s="42"/>
    </row>
    <row r="13886" spans="15:29" x14ac:dyDescent="0.25">
      <c r="O13886" s="42"/>
      <c r="R13886" s="42"/>
      <c r="AC13886" s="42"/>
    </row>
    <row r="13887" spans="15:29" x14ac:dyDescent="0.25">
      <c r="O13887" s="42"/>
      <c r="R13887" s="42"/>
      <c r="AC13887" s="42"/>
    </row>
    <row r="13888" spans="15:29" x14ac:dyDescent="0.25">
      <c r="O13888" s="42"/>
      <c r="R13888" s="42"/>
      <c r="AC13888" s="42"/>
    </row>
    <row r="13889" spans="15:29" x14ac:dyDescent="0.25">
      <c r="O13889" s="42"/>
      <c r="R13889" s="42"/>
      <c r="AC13889" s="42"/>
    </row>
    <row r="13890" spans="15:29" x14ac:dyDescent="0.25">
      <c r="O13890" s="42"/>
      <c r="R13890" s="42"/>
      <c r="AC13890" s="42"/>
    </row>
    <row r="13891" spans="15:29" x14ac:dyDescent="0.25">
      <c r="O13891" s="42"/>
      <c r="R13891" s="42"/>
      <c r="AC13891" s="42"/>
    </row>
    <row r="13892" spans="15:29" x14ac:dyDescent="0.25">
      <c r="O13892" s="42"/>
      <c r="R13892" s="42"/>
      <c r="AC13892" s="42"/>
    </row>
    <row r="13893" spans="15:29" x14ac:dyDescent="0.25">
      <c r="O13893" s="42"/>
      <c r="R13893" s="42"/>
      <c r="AC13893" s="42"/>
    </row>
    <row r="13894" spans="15:29" x14ac:dyDescent="0.25">
      <c r="O13894" s="42"/>
      <c r="R13894" s="42"/>
      <c r="AC13894" s="42"/>
    </row>
    <row r="13895" spans="15:29" x14ac:dyDescent="0.25">
      <c r="O13895" s="42"/>
      <c r="R13895" s="42"/>
      <c r="AC13895" s="42"/>
    </row>
    <row r="13896" spans="15:29" x14ac:dyDescent="0.25">
      <c r="O13896" s="42"/>
      <c r="R13896" s="42"/>
      <c r="AC13896" s="42"/>
    </row>
    <row r="13897" spans="15:29" x14ac:dyDescent="0.25">
      <c r="O13897" s="42"/>
      <c r="R13897" s="42"/>
      <c r="AC13897" s="42"/>
    </row>
    <row r="13898" spans="15:29" x14ac:dyDescent="0.25">
      <c r="O13898" s="42"/>
      <c r="R13898" s="42"/>
      <c r="AC13898" s="42"/>
    </row>
    <row r="13899" spans="15:29" x14ac:dyDescent="0.25">
      <c r="O13899" s="42"/>
      <c r="R13899" s="42"/>
      <c r="AC13899" s="42"/>
    </row>
    <row r="13900" spans="15:29" x14ac:dyDescent="0.25">
      <c r="O13900" s="42"/>
      <c r="R13900" s="42"/>
      <c r="AC13900" s="42"/>
    </row>
    <row r="13901" spans="15:29" x14ac:dyDescent="0.25">
      <c r="O13901" s="42"/>
      <c r="R13901" s="42"/>
      <c r="AC13901" s="42"/>
    </row>
    <row r="13902" spans="15:29" x14ac:dyDescent="0.25">
      <c r="O13902" s="42"/>
      <c r="R13902" s="42"/>
      <c r="AC13902" s="42"/>
    </row>
    <row r="13903" spans="15:29" x14ac:dyDescent="0.25">
      <c r="O13903" s="42"/>
      <c r="R13903" s="42"/>
      <c r="AC13903" s="42"/>
    </row>
    <row r="13904" spans="15:29" x14ac:dyDescent="0.25">
      <c r="O13904" s="42"/>
      <c r="R13904" s="42"/>
      <c r="AC13904" s="42"/>
    </row>
    <row r="13905" spans="15:29" x14ac:dyDescent="0.25">
      <c r="O13905" s="42"/>
      <c r="R13905" s="42"/>
      <c r="AC13905" s="42"/>
    </row>
    <row r="13906" spans="15:29" x14ac:dyDescent="0.25">
      <c r="O13906" s="42"/>
      <c r="R13906" s="42"/>
      <c r="AC13906" s="42"/>
    </row>
    <row r="13907" spans="15:29" x14ac:dyDescent="0.25">
      <c r="O13907" s="42"/>
      <c r="R13907" s="42"/>
      <c r="AC13907" s="42"/>
    </row>
    <row r="13908" spans="15:29" x14ac:dyDescent="0.25">
      <c r="O13908" s="42"/>
      <c r="R13908" s="42"/>
      <c r="AC13908" s="42"/>
    </row>
    <row r="13909" spans="15:29" x14ac:dyDescent="0.25">
      <c r="O13909" s="42"/>
      <c r="R13909" s="42"/>
      <c r="AC13909" s="42"/>
    </row>
    <row r="13910" spans="15:29" x14ac:dyDescent="0.25">
      <c r="O13910" s="42"/>
      <c r="R13910" s="42"/>
      <c r="AC13910" s="42"/>
    </row>
    <row r="13911" spans="15:29" x14ac:dyDescent="0.25">
      <c r="O13911" s="42"/>
      <c r="R13911" s="42"/>
      <c r="AC13911" s="42"/>
    </row>
    <row r="13912" spans="15:29" x14ac:dyDescent="0.25">
      <c r="O13912" s="42"/>
      <c r="R13912" s="42"/>
      <c r="AC13912" s="42"/>
    </row>
    <row r="13913" spans="15:29" x14ac:dyDescent="0.25">
      <c r="O13913" s="42"/>
      <c r="R13913" s="42"/>
      <c r="AC13913" s="42"/>
    </row>
    <row r="13914" spans="15:29" x14ac:dyDescent="0.25">
      <c r="O13914" s="42"/>
      <c r="R13914" s="42"/>
      <c r="AC13914" s="42"/>
    </row>
    <row r="13915" spans="15:29" x14ac:dyDescent="0.25">
      <c r="O13915" s="42"/>
      <c r="R13915" s="42"/>
      <c r="AC13915" s="42"/>
    </row>
    <row r="13916" spans="15:29" x14ac:dyDescent="0.25">
      <c r="O13916" s="42"/>
      <c r="R13916" s="42"/>
      <c r="AC13916" s="42"/>
    </row>
    <row r="13917" spans="15:29" x14ac:dyDescent="0.25">
      <c r="O13917" s="42"/>
      <c r="R13917" s="42"/>
      <c r="AC13917" s="42"/>
    </row>
    <row r="13918" spans="15:29" x14ac:dyDescent="0.25">
      <c r="O13918" s="42"/>
      <c r="R13918" s="42"/>
      <c r="AC13918" s="42"/>
    </row>
    <row r="13919" spans="15:29" x14ac:dyDescent="0.25">
      <c r="O13919" s="42"/>
      <c r="R13919" s="42"/>
      <c r="AC13919" s="42"/>
    </row>
    <row r="13920" spans="15:29" x14ac:dyDescent="0.25">
      <c r="O13920" s="42"/>
      <c r="R13920" s="42"/>
      <c r="AC13920" s="42"/>
    </row>
    <row r="13921" spans="15:29" x14ac:dyDescent="0.25">
      <c r="O13921" s="42"/>
      <c r="R13921" s="42"/>
      <c r="AC13921" s="42"/>
    </row>
    <row r="13922" spans="15:29" x14ac:dyDescent="0.25">
      <c r="O13922" s="42"/>
      <c r="R13922" s="42"/>
      <c r="AC13922" s="42"/>
    </row>
    <row r="13923" spans="15:29" x14ac:dyDescent="0.25">
      <c r="O13923" s="42"/>
      <c r="R13923" s="42"/>
      <c r="AC13923" s="42"/>
    </row>
    <row r="13924" spans="15:29" x14ac:dyDescent="0.25">
      <c r="O13924" s="42"/>
      <c r="R13924" s="42"/>
      <c r="AC13924" s="42"/>
    </row>
    <row r="13925" spans="15:29" x14ac:dyDescent="0.25">
      <c r="O13925" s="42"/>
      <c r="R13925" s="42"/>
      <c r="AC13925" s="42"/>
    </row>
    <row r="13926" spans="15:29" x14ac:dyDescent="0.25">
      <c r="O13926" s="42"/>
      <c r="R13926" s="42"/>
      <c r="AC13926" s="42"/>
    </row>
    <row r="13927" spans="15:29" x14ac:dyDescent="0.25">
      <c r="O13927" s="42"/>
      <c r="R13927" s="42"/>
      <c r="AC13927" s="42"/>
    </row>
    <row r="13928" spans="15:29" x14ac:dyDescent="0.25">
      <c r="O13928" s="42"/>
      <c r="R13928" s="42"/>
      <c r="AC13928" s="42"/>
    </row>
    <row r="13929" spans="15:29" x14ac:dyDescent="0.25">
      <c r="O13929" s="42"/>
      <c r="R13929" s="42"/>
      <c r="AC13929" s="42"/>
    </row>
    <row r="13930" spans="15:29" x14ac:dyDescent="0.25">
      <c r="O13930" s="42"/>
      <c r="R13930" s="42"/>
      <c r="AC13930" s="42"/>
    </row>
    <row r="13931" spans="15:29" x14ac:dyDescent="0.25">
      <c r="O13931" s="42"/>
      <c r="R13931" s="42"/>
      <c r="AC13931" s="42"/>
    </row>
    <row r="13932" spans="15:29" x14ac:dyDescent="0.25">
      <c r="O13932" s="42"/>
      <c r="R13932" s="42"/>
      <c r="AC13932" s="42"/>
    </row>
    <row r="13933" spans="15:29" x14ac:dyDescent="0.25">
      <c r="O13933" s="42"/>
      <c r="R13933" s="42"/>
      <c r="AC13933" s="42"/>
    </row>
    <row r="13934" spans="15:29" x14ac:dyDescent="0.25">
      <c r="O13934" s="42"/>
      <c r="R13934" s="42"/>
      <c r="AC13934" s="42"/>
    </row>
    <row r="13935" spans="15:29" x14ac:dyDescent="0.25">
      <c r="O13935" s="42"/>
      <c r="R13935" s="42"/>
      <c r="AC13935" s="42"/>
    </row>
    <row r="13936" spans="15:29" x14ac:dyDescent="0.25">
      <c r="O13936" s="42"/>
      <c r="R13936" s="42"/>
      <c r="AC13936" s="42"/>
    </row>
    <row r="13937" spans="15:29" x14ac:dyDescent="0.25">
      <c r="O13937" s="42"/>
      <c r="R13937" s="42"/>
      <c r="AC13937" s="42"/>
    </row>
    <row r="13938" spans="15:29" x14ac:dyDescent="0.25">
      <c r="O13938" s="42"/>
      <c r="R13938" s="42"/>
      <c r="AC13938" s="42"/>
    </row>
    <row r="13939" spans="15:29" x14ac:dyDescent="0.25">
      <c r="O13939" s="42"/>
      <c r="R13939" s="42"/>
      <c r="AC13939" s="42"/>
    </row>
    <row r="13940" spans="15:29" x14ac:dyDescent="0.25">
      <c r="O13940" s="42"/>
      <c r="R13940" s="42"/>
      <c r="AC13940" s="42"/>
    </row>
    <row r="13941" spans="15:29" x14ac:dyDescent="0.25">
      <c r="O13941" s="42"/>
      <c r="R13941" s="42"/>
      <c r="AC13941" s="42"/>
    </row>
    <row r="13942" spans="15:29" x14ac:dyDescent="0.25">
      <c r="O13942" s="42"/>
      <c r="R13942" s="42"/>
      <c r="AC13942" s="42"/>
    </row>
    <row r="13943" spans="15:29" x14ac:dyDescent="0.25">
      <c r="O13943" s="42"/>
      <c r="R13943" s="42"/>
      <c r="AC13943" s="42"/>
    </row>
    <row r="13944" spans="15:29" x14ac:dyDescent="0.25">
      <c r="O13944" s="42"/>
      <c r="R13944" s="42"/>
      <c r="AC13944" s="42"/>
    </row>
    <row r="13945" spans="15:29" x14ac:dyDescent="0.25">
      <c r="O13945" s="42"/>
      <c r="R13945" s="42"/>
      <c r="AC13945" s="42"/>
    </row>
    <row r="13946" spans="15:29" x14ac:dyDescent="0.25">
      <c r="O13946" s="42"/>
      <c r="R13946" s="42"/>
      <c r="AC13946" s="42"/>
    </row>
    <row r="13947" spans="15:29" x14ac:dyDescent="0.25">
      <c r="O13947" s="42"/>
      <c r="R13947" s="42"/>
      <c r="AC13947" s="42"/>
    </row>
    <row r="13948" spans="15:29" x14ac:dyDescent="0.25">
      <c r="O13948" s="42"/>
      <c r="R13948" s="42"/>
      <c r="AC13948" s="42"/>
    </row>
    <row r="13949" spans="15:29" x14ac:dyDescent="0.25">
      <c r="O13949" s="42"/>
      <c r="R13949" s="42"/>
      <c r="AC13949" s="42"/>
    </row>
    <row r="13950" spans="15:29" x14ac:dyDescent="0.25">
      <c r="O13950" s="42"/>
      <c r="R13950" s="42"/>
      <c r="AC13950" s="42"/>
    </row>
    <row r="13951" spans="15:29" x14ac:dyDescent="0.25">
      <c r="O13951" s="42"/>
      <c r="R13951" s="42"/>
      <c r="AC13951" s="42"/>
    </row>
    <row r="13952" spans="15:29" x14ac:dyDescent="0.25">
      <c r="O13952" s="42"/>
      <c r="R13952" s="42"/>
      <c r="AC13952" s="42"/>
    </row>
    <row r="13953" spans="15:29" x14ac:dyDescent="0.25">
      <c r="O13953" s="42"/>
      <c r="R13953" s="42"/>
      <c r="AC13953" s="42"/>
    </row>
    <row r="13954" spans="15:29" x14ac:dyDescent="0.25">
      <c r="O13954" s="42"/>
      <c r="R13954" s="42"/>
      <c r="AC13954" s="42"/>
    </row>
    <row r="13955" spans="15:29" x14ac:dyDescent="0.25">
      <c r="O13955" s="42"/>
      <c r="R13955" s="42"/>
      <c r="AC13955" s="42"/>
    </row>
    <row r="13956" spans="15:29" x14ac:dyDescent="0.25">
      <c r="O13956" s="42"/>
      <c r="R13956" s="42"/>
      <c r="AC13956" s="42"/>
    </row>
    <row r="13957" spans="15:29" x14ac:dyDescent="0.25">
      <c r="O13957" s="42"/>
      <c r="R13957" s="42"/>
      <c r="AC13957" s="42"/>
    </row>
    <row r="13958" spans="15:29" x14ac:dyDescent="0.25">
      <c r="O13958" s="42"/>
      <c r="R13958" s="42"/>
      <c r="AC13958" s="42"/>
    </row>
    <row r="13959" spans="15:29" x14ac:dyDescent="0.25">
      <c r="O13959" s="42"/>
      <c r="R13959" s="42"/>
      <c r="AC13959" s="42"/>
    </row>
    <row r="13960" spans="15:29" x14ac:dyDescent="0.25">
      <c r="O13960" s="42"/>
      <c r="R13960" s="42"/>
      <c r="AC13960" s="42"/>
    </row>
    <row r="13961" spans="15:29" x14ac:dyDescent="0.25">
      <c r="O13961" s="42"/>
      <c r="R13961" s="42"/>
      <c r="AC13961" s="42"/>
    </row>
    <row r="13962" spans="15:29" x14ac:dyDescent="0.25">
      <c r="O13962" s="42"/>
      <c r="R13962" s="42"/>
      <c r="AC13962" s="42"/>
    </row>
    <row r="13963" spans="15:29" x14ac:dyDescent="0.25">
      <c r="O13963" s="42"/>
      <c r="R13963" s="42"/>
      <c r="AC13963" s="42"/>
    </row>
    <row r="13964" spans="15:29" x14ac:dyDescent="0.25">
      <c r="O13964" s="42"/>
      <c r="R13964" s="42"/>
      <c r="AC13964" s="42"/>
    </row>
    <row r="13965" spans="15:29" x14ac:dyDescent="0.25">
      <c r="O13965" s="42"/>
      <c r="R13965" s="42"/>
      <c r="AC13965" s="42"/>
    </row>
    <row r="13966" spans="15:29" x14ac:dyDescent="0.25">
      <c r="O13966" s="42"/>
      <c r="R13966" s="42"/>
      <c r="AC13966" s="42"/>
    </row>
    <row r="13967" spans="15:29" x14ac:dyDescent="0.25">
      <c r="O13967" s="42"/>
      <c r="R13967" s="42"/>
      <c r="AC13967" s="42"/>
    </row>
    <row r="13968" spans="15:29" x14ac:dyDescent="0.25">
      <c r="O13968" s="42"/>
      <c r="R13968" s="42"/>
      <c r="AC13968" s="42"/>
    </row>
    <row r="13969" spans="15:29" x14ac:dyDescent="0.25">
      <c r="O13969" s="42"/>
      <c r="R13969" s="42"/>
      <c r="AC13969" s="42"/>
    </row>
    <row r="13970" spans="15:29" x14ac:dyDescent="0.25">
      <c r="O13970" s="42"/>
      <c r="R13970" s="42"/>
      <c r="AC13970" s="42"/>
    </row>
    <row r="13971" spans="15:29" x14ac:dyDescent="0.25">
      <c r="O13971" s="42"/>
      <c r="R13971" s="42"/>
      <c r="AC13971" s="42"/>
    </row>
    <row r="13972" spans="15:29" x14ac:dyDescent="0.25">
      <c r="O13972" s="42"/>
      <c r="R13972" s="42"/>
      <c r="AC13972" s="42"/>
    </row>
    <row r="13973" spans="15:29" x14ac:dyDescent="0.25">
      <c r="O13973" s="42"/>
      <c r="R13973" s="42"/>
      <c r="AC13973" s="42"/>
    </row>
    <row r="13974" spans="15:29" x14ac:dyDescent="0.25">
      <c r="O13974" s="42"/>
      <c r="R13974" s="42"/>
      <c r="AC13974" s="42"/>
    </row>
    <row r="13975" spans="15:29" x14ac:dyDescent="0.25">
      <c r="O13975" s="42"/>
      <c r="R13975" s="42"/>
      <c r="AC13975" s="42"/>
    </row>
    <row r="13976" spans="15:29" x14ac:dyDescent="0.25">
      <c r="O13976" s="42"/>
      <c r="R13976" s="42"/>
      <c r="AC13976" s="42"/>
    </row>
    <row r="13977" spans="15:29" x14ac:dyDescent="0.25">
      <c r="O13977" s="42"/>
      <c r="R13977" s="42"/>
      <c r="AC13977" s="42"/>
    </row>
    <row r="13978" spans="15:29" x14ac:dyDescent="0.25">
      <c r="O13978" s="42"/>
      <c r="R13978" s="42"/>
      <c r="AC13978" s="42"/>
    </row>
    <row r="13979" spans="15:29" x14ac:dyDescent="0.25">
      <c r="O13979" s="42"/>
      <c r="R13979" s="42"/>
      <c r="AC13979" s="42"/>
    </row>
    <row r="13980" spans="15:29" x14ac:dyDescent="0.25">
      <c r="O13980" s="42"/>
      <c r="R13980" s="42"/>
      <c r="AC13980" s="42"/>
    </row>
    <row r="13981" spans="15:29" x14ac:dyDescent="0.25">
      <c r="O13981" s="42"/>
      <c r="R13981" s="42"/>
      <c r="AC13981" s="42"/>
    </row>
    <row r="13982" spans="15:29" x14ac:dyDescent="0.25">
      <c r="O13982" s="42"/>
      <c r="R13982" s="42"/>
      <c r="AC13982" s="42"/>
    </row>
    <row r="13983" spans="15:29" x14ac:dyDescent="0.25">
      <c r="O13983" s="42"/>
      <c r="R13983" s="42"/>
      <c r="AC13983" s="42"/>
    </row>
    <row r="13984" spans="15:29" x14ac:dyDescent="0.25">
      <c r="O13984" s="42"/>
      <c r="R13984" s="42"/>
      <c r="AC13984" s="42"/>
    </row>
    <row r="13985" spans="15:29" x14ac:dyDescent="0.25">
      <c r="O13985" s="42"/>
      <c r="R13985" s="42"/>
      <c r="AC13985" s="42"/>
    </row>
    <row r="13986" spans="15:29" x14ac:dyDescent="0.25">
      <c r="O13986" s="42"/>
      <c r="R13986" s="42"/>
      <c r="AC13986" s="42"/>
    </row>
    <row r="13987" spans="15:29" x14ac:dyDescent="0.25">
      <c r="O13987" s="42"/>
      <c r="R13987" s="42"/>
      <c r="AC13987" s="42"/>
    </row>
    <row r="13988" spans="15:29" x14ac:dyDescent="0.25">
      <c r="O13988" s="42"/>
      <c r="R13988" s="42"/>
      <c r="AC13988" s="42"/>
    </row>
    <row r="13989" spans="15:29" x14ac:dyDescent="0.25">
      <c r="O13989" s="42"/>
      <c r="R13989" s="42"/>
      <c r="AC13989" s="42"/>
    </row>
    <row r="13990" spans="15:29" x14ac:dyDescent="0.25">
      <c r="O13990" s="42"/>
      <c r="R13990" s="42"/>
      <c r="AC13990" s="42"/>
    </row>
    <row r="13991" spans="15:29" x14ac:dyDescent="0.25">
      <c r="O13991" s="42"/>
      <c r="R13991" s="42"/>
      <c r="AC13991" s="42"/>
    </row>
    <row r="13992" spans="15:29" x14ac:dyDescent="0.25">
      <c r="O13992" s="42"/>
      <c r="R13992" s="42"/>
      <c r="AC13992" s="42"/>
    </row>
    <row r="13993" spans="15:29" x14ac:dyDescent="0.25">
      <c r="O13993" s="42"/>
      <c r="R13993" s="42"/>
      <c r="AC13993" s="42"/>
    </row>
    <row r="13994" spans="15:29" x14ac:dyDescent="0.25">
      <c r="O13994" s="42"/>
      <c r="R13994" s="42"/>
      <c r="AC13994" s="42"/>
    </row>
    <row r="13995" spans="15:29" x14ac:dyDescent="0.25">
      <c r="O13995" s="42"/>
      <c r="R13995" s="42"/>
      <c r="AC13995" s="42"/>
    </row>
    <row r="13996" spans="15:29" x14ac:dyDescent="0.25">
      <c r="O13996" s="42"/>
      <c r="R13996" s="42"/>
      <c r="AC13996" s="42"/>
    </row>
    <row r="13997" spans="15:29" x14ac:dyDescent="0.25">
      <c r="O13997" s="42"/>
      <c r="R13997" s="42"/>
      <c r="AC13997" s="42"/>
    </row>
    <row r="13998" spans="15:29" x14ac:dyDescent="0.25">
      <c r="O13998" s="42"/>
      <c r="R13998" s="42"/>
      <c r="AC13998" s="42"/>
    </row>
    <row r="13999" spans="15:29" x14ac:dyDescent="0.25">
      <c r="O13999" s="42"/>
      <c r="R13999" s="42"/>
      <c r="AC13999" s="42"/>
    </row>
    <row r="14000" spans="15:29" x14ac:dyDescent="0.25">
      <c r="O14000" s="42"/>
      <c r="R14000" s="42"/>
      <c r="AC14000" s="42"/>
    </row>
    <row r="14001" spans="15:29" x14ac:dyDescent="0.25">
      <c r="O14001" s="42"/>
      <c r="R14001" s="42"/>
      <c r="AC14001" s="42"/>
    </row>
    <row r="14002" spans="15:29" x14ac:dyDescent="0.25">
      <c r="O14002" s="42"/>
      <c r="R14002" s="42"/>
      <c r="AC14002" s="42"/>
    </row>
    <row r="14003" spans="15:29" x14ac:dyDescent="0.25">
      <c r="O14003" s="42"/>
      <c r="R14003" s="42"/>
      <c r="AC14003" s="42"/>
    </row>
    <row r="14004" spans="15:29" x14ac:dyDescent="0.25">
      <c r="O14004" s="42"/>
      <c r="R14004" s="42"/>
      <c r="AC14004" s="42"/>
    </row>
    <row r="14005" spans="15:29" x14ac:dyDescent="0.25">
      <c r="O14005" s="42"/>
      <c r="R14005" s="42"/>
      <c r="AC14005" s="42"/>
    </row>
    <row r="14006" spans="15:29" x14ac:dyDescent="0.25">
      <c r="O14006" s="42"/>
      <c r="R14006" s="42"/>
      <c r="AC14006" s="42"/>
    </row>
    <row r="14007" spans="15:29" x14ac:dyDescent="0.25">
      <c r="O14007" s="42"/>
      <c r="R14007" s="42"/>
      <c r="AC14007" s="42"/>
    </row>
    <row r="14008" spans="15:29" x14ac:dyDescent="0.25">
      <c r="O14008" s="42"/>
      <c r="R14008" s="42"/>
      <c r="AC14008" s="42"/>
    </row>
    <row r="14009" spans="15:29" x14ac:dyDescent="0.25">
      <c r="O14009" s="42"/>
      <c r="R14009" s="42"/>
      <c r="AC14009" s="42"/>
    </row>
    <row r="14010" spans="15:29" x14ac:dyDescent="0.25">
      <c r="O14010" s="42"/>
      <c r="R14010" s="42"/>
      <c r="AC14010" s="42"/>
    </row>
    <row r="14011" spans="15:29" x14ac:dyDescent="0.25">
      <c r="O14011" s="42"/>
      <c r="R14011" s="42"/>
      <c r="AC14011" s="42"/>
    </row>
    <row r="14012" spans="15:29" x14ac:dyDescent="0.25">
      <c r="O14012" s="42"/>
      <c r="R14012" s="42"/>
      <c r="AC14012" s="42"/>
    </row>
    <row r="14013" spans="15:29" x14ac:dyDescent="0.25">
      <c r="O14013" s="42"/>
      <c r="R14013" s="42"/>
      <c r="AC14013" s="42"/>
    </row>
    <row r="14014" spans="15:29" x14ac:dyDescent="0.25">
      <c r="O14014" s="42"/>
      <c r="R14014" s="42"/>
      <c r="AC14014" s="42"/>
    </row>
    <row r="14015" spans="15:29" x14ac:dyDescent="0.25">
      <c r="O14015" s="42"/>
      <c r="R14015" s="42"/>
      <c r="AC14015" s="42"/>
    </row>
    <row r="14016" spans="15:29" x14ac:dyDescent="0.25">
      <c r="O14016" s="42"/>
      <c r="R14016" s="42"/>
      <c r="AC14016" s="42"/>
    </row>
    <row r="14017" spans="15:29" x14ac:dyDescent="0.25">
      <c r="O14017" s="42"/>
      <c r="R14017" s="42"/>
      <c r="AC14017" s="42"/>
    </row>
    <row r="14018" spans="15:29" x14ac:dyDescent="0.25">
      <c r="O14018" s="42"/>
      <c r="R14018" s="42"/>
      <c r="AC14018" s="42"/>
    </row>
    <row r="14019" spans="15:29" x14ac:dyDescent="0.25">
      <c r="O14019" s="42"/>
      <c r="R14019" s="42"/>
      <c r="AC14019" s="42"/>
    </row>
    <row r="14020" spans="15:29" x14ac:dyDescent="0.25">
      <c r="O14020" s="42"/>
      <c r="R14020" s="42"/>
      <c r="AC14020" s="42"/>
    </row>
    <row r="14021" spans="15:29" x14ac:dyDescent="0.25">
      <c r="O14021" s="42"/>
      <c r="R14021" s="42"/>
      <c r="AC14021" s="42"/>
    </row>
    <row r="14022" spans="15:29" x14ac:dyDescent="0.25">
      <c r="O14022" s="42"/>
      <c r="R14022" s="42"/>
      <c r="AC14022" s="42"/>
    </row>
    <row r="14023" spans="15:29" x14ac:dyDescent="0.25">
      <c r="O14023" s="42"/>
      <c r="R14023" s="42"/>
      <c r="AC14023" s="42"/>
    </row>
    <row r="14024" spans="15:29" x14ac:dyDescent="0.25">
      <c r="O14024" s="42"/>
      <c r="R14024" s="42"/>
      <c r="AC14024" s="42"/>
    </row>
    <row r="14025" spans="15:29" x14ac:dyDescent="0.25">
      <c r="O14025" s="42"/>
      <c r="R14025" s="42"/>
      <c r="AC14025" s="42"/>
    </row>
    <row r="14026" spans="15:29" x14ac:dyDescent="0.25">
      <c r="O14026" s="42"/>
      <c r="R14026" s="42"/>
      <c r="AC14026" s="42"/>
    </row>
    <row r="14027" spans="15:29" x14ac:dyDescent="0.25">
      <c r="O14027" s="42"/>
      <c r="R14027" s="42"/>
      <c r="AC14027" s="42"/>
    </row>
    <row r="14028" spans="15:29" x14ac:dyDescent="0.25">
      <c r="O14028" s="42"/>
      <c r="R14028" s="42"/>
      <c r="AC14028" s="42"/>
    </row>
    <row r="14029" spans="15:29" x14ac:dyDescent="0.25">
      <c r="O14029" s="42"/>
      <c r="R14029" s="42"/>
      <c r="AC14029" s="42"/>
    </row>
    <row r="14030" spans="15:29" x14ac:dyDescent="0.25">
      <c r="O14030" s="42"/>
      <c r="R14030" s="42"/>
      <c r="AC14030" s="42"/>
    </row>
    <row r="14031" spans="15:29" x14ac:dyDescent="0.25">
      <c r="O14031" s="42"/>
      <c r="R14031" s="42"/>
      <c r="AC14031" s="42"/>
    </row>
    <row r="14032" spans="15:29" x14ac:dyDescent="0.25">
      <c r="O14032" s="42"/>
      <c r="R14032" s="42"/>
      <c r="AC14032" s="42"/>
    </row>
    <row r="14033" spans="15:29" x14ac:dyDescent="0.25">
      <c r="O14033" s="42"/>
      <c r="R14033" s="42"/>
      <c r="AC14033" s="42"/>
    </row>
    <row r="14034" spans="15:29" x14ac:dyDescent="0.25">
      <c r="O14034" s="42"/>
      <c r="R14034" s="42"/>
      <c r="AC14034" s="42"/>
    </row>
    <row r="14035" spans="15:29" x14ac:dyDescent="0.25">
      <c r="O14035" s="42"/>
      <c r="R14035" s="42"/>
      <c r="AC14035" s="42"/>
    </row>
    <row r="14036" spans="15:29" x14ac:dyDescent="0.25">
      <c r="O14036" s="42"/>
      <c r="R14036" s="42"/>
      <c r="AC14036" s="42"/>
    </row>
    <row r="14037" spans="15:29" x14ac:dyDescent="0.25">
      <c r="O14037" s="42"/>
      <c r="R14037" s="42"/>
      <c r="AC14037" s="42"/>
    </row>
    <row r="14038" spans="15:29" x14ac:dyDescent="0.25">
      <c r="O14038" s="42"/>
      <c r="R14038" s="42"/>
      <c r="AC14038" s="42"/>
    </row>
    <row r="14039" spans="15:29" x14ac:dyDescent="0.25">
      <c r="O14039" s="42"/>
      <c r="R14039" s="42"/>
      <c r="AC14039" s="42"/>
    </row>
    <row r="14040" spans="15:29" x14ac:dyDescent="0.25">
      <c r="O14040" s="42"/>
      <c r="R14040" s="42"/>
      <c r="AC14040" s="42"/>
    </row>
    <row r="14041" spans="15:29" x14ac:dyDescent="0.25">
      <c r="O14041" s="42"/>
      <c r="R14041" s="42"/>
      <c r="AC14041" s="42"/>
    </row>
    <row r="14042" spans="15:29" x14ac:dyDescent="0.25">
      <c r="O14042" s="42"/>
      <c r="R14042" s="42"/>
      <c r="AC14042" s="42"/>
    </row>
    <row r="14043" spans="15:29" x14ac:dyDescent="0.25">
      <c r="O14043" s="42"/>
      <c r="R14043" s="42"/>
      <c r="AC14043" s="42"/>
    </row>
    <row r="14044" spans="15:29" x14ac:dyDescent="0.25">
      <c r="O14044" s="42"/>
      <c r="R14044" s="42"/>
      <c r="AC14044" s="42"/>
    </row>
    <row r="14045" spans="15:29" x14ac:dyDescent="0.25">
      <c r="O14045" s="42"/>
      <c r="R14045" s="42"/>
      <c r="AC14045" s="42"/>
    </row>
    <row r="14046" spans="15:29" x14ac:dyDescent="0.25">
      <c r="O14046" s="42"/>
      <c r="R14046" s="42"/>
      <c r="AC14046" s="42"/>
    </row>
    <row r="14047" spans="15:29" x14ac:dyDescent="0.25">
      <c r="O14047" s="42"/>
      <c r="R14047" s="42"/>
      <c r="AC14047" s="42"/>
    </row>
    <row r="14048" spans="15:29" x14ac:dyDescent="0.25">
      <c r="O14048" s="42"/>
      <c r="R14048" s="42"/>
      <c r="AC14048" s="42"/>
    </row>
    <row r="14049" spans="15:29" x14ac:dyDescent="0.25">
      <c r="O14049" s="42"/>
      <c r="R14049" s="42"/>
      <c r="AC14049" s="42"/>
    </row>
    <row r="14050" spans="15:29" x14ac:dyDescent="0.25">
      <c r="O14050" s="42"/>
      <c r="R14050" s="42"/>
      <c r="AC14050" s="42"/>
    </row>
    <row r="14051" spans="15:29" x14ac:dyDescent="0.25">
      <c r="O14051" s="42"/>
      <c r="R14051" s="42"/>
      <c r="AC14051" s="42"/>
    </row>
    <row r="14052" spans="15:29" x14ac:dyDescent="0.25">
      <c r="O14052" s="42"/>
      <c r="R14052" s="42"/>
      <c r="AC14052" s="42"/>
    </row>
    <row r="14053" spans="15:29" x14ac:dyDescent="0.25">
      <c r="O14053" s="42"/>
      <c r="R14053" s="42"/>
      <c r="AC14053" s="42"/>
    </row>
    <row r="14054" spans="15:29" x14ac:dyDescent="0.25">
      <c r="O14054" s="42"/>
      <c r="R14054" s="42"/>
      <c r="AC14054" s="42"/>
    </row>
    <row r="14055" spans="15:29" x14ac:dyDescent="0.25">
      <c r="O14055" s="42"/>
      <c r="R14055" s="42"/>
      <c r="AC14055" s="42"/>
    </row>
    <row r="14056" spans="15:29" x14ac:dyDescent="0.25">
      <c r="O14056" s="42"/>
      <c r="R14056" s="42"/>
      <c r="AC14056" s="42"/>
    </row>
    <row r="14057" spans="15:29" x14ac:dyDescent="0.25">
      <c r="O14057" s="42"/>
      <c r="R14057" s="42"/>
      <c r="AC14057" s="42"/>
    </row>
    <row r="14058" spans="15:29" x14ac:dyDescent="0.25">
      <c r="O14058" s="42"/>
      <c r="R14058" s="42"/>
      <c r="AC14058" s="42"/>
    </row>
    <row r="14059" spans="15:29" x14ac:dyDescent="0.25">
      <c r="O14059" s="42"/>
      <c r="R14059" s="42"/>
      <c r="AC14059" s="42"/>
    </row>
    <row r="14060" spans="15:29" x14ac:dyDescent="0.25">
      <c r="O14060" s="42"/>
      <c r="R14060" s="42"/>
      <c r="AC14060" s="42"/>
    </row>
    <row r="14061" spans="15:29" x14ac:dyDescent="0.25">
      <c r="O14061" s="42"/>
      <c r="R14061" s="42"/>
      <c r="AC14061" s="42"/>
    </row>
    <row r="14062" spans="15:29" x14ac:dyDescent="0.25">
      <c r="O14062" s="42"/>
      <c r="R14062" s="42"/>
      <c r="AC14062" s="42"/>
    </row>
    <row r="14063" spans="15:29" x14ac:dyDescent="0.25">
      <c r="O14063" s="42"/>
      <c r="R14063" s="42"/>
      <c r="AC14063" s="42"/>
    </row>
    <row r="14064" spans="15:29" x14ac:dyDescent="0.25">
      <c r="O14064" s="42"/>
      <c r="R14064" s="42"/>
      <c r="AC14064" s="42"/>
    </row>
    <row r="14065" spans="15:29" x14ac:dyDescent="0.25">
      <c r="O14065" s="42"/>
      <c r="R14065" s="42"/>
      <c r="AC14065" s="42"/>
    </row>
    <row r="14066" spans="15:29" x14ac:dyDescent="0.25">
      <c r="O14066" s="42"/>
      <c r="R14066" s="42"/>
      <c r="AC14066" s="42"/>
    </row>
    <row r="14067" spans="15:29" x14ac:dyDescent="0.25">
      <c r="O14067" s="42"/>
      <c r="R14067" s="42"/>
      <c r="AC14067" s="42"/>
    </row>
    <row r="14068" spans="15:29" x14ac:dyDescent="0.25">
      <c r="O14068" s="42"/>
      <c r="R14068" s="42"/>
      <c r="AC14068" s="42"/>
    </row>
    <row r="14069" spans="15:29" x14ac:dyDescent="0.25">
      <c r="O14069" s="42"/>
      <c r="R14069" s="42"/>
      <c r="AC14069" s="42"/>
    </row>
    <row r="14070" spans="15:29" x14ac:dyDescent="0.25">
      <c r="O14070" s="42"/>
      <c r="R14070" s="42"/>
      <c r="AC14070" s="42"/>
    </row>
    <row r="14071" spans="15:29" x14ac:dyDescent="0.25">
      <c r="O14071" s="42"/>
      <c r="R14071" s="42"/>
      <c r="AC14071" s="42"/>
    </row>
    <row r="14072" spans="15:29" x14ac:dyDescent="0.25">
      <c r="O14072" s="42"/>
      <c r="R14072" s="42"/>
      <c r="AC14072" s="42"/>
    </row>
    <row r="14073" spans="15:29" x14ac:dyDescent="0.25">
      <c r="O14073" s="42"/>
      <c r="R14073" s="42"/>
      <c r="AC14073" s="42"/>
    </row>
    <row r="14074" spans="15:29" x14ac:dyDescent="0.25">
      <c r="O14074" s="42"/>
      <c r="R14074" s="42"/>
      <c r="AC14074" s="42"/>
    </row>
    <row r="14075" spans="15:29" x14ac:dyDescent="0.25">
      <c r="O14075" s="42"/>
      <c r="R14075" s="42"/>
      <c r="AC14075" s="42"/>
    </row>
    <row r="14076" spans="15:29" x14ac:dyDescent="0.25">
      <c r="O14076" s="42"/>
      <c r="R14076" s="42"/>
      <c r="AC14076" s="42"/>
    </row>
    <row r="14077" spans="15:29" x14ac:dyDescent="0.25">
      <c r="O14077" s="42"/>
      <c r="R14077" s="42"/>
      <c r="AC14077" s="42"/>
    </row>
    <row r="14078" spans="15:29" x14ac:dyDescent="0.25">
      <c r="O14078" s="42"/>
      <c r="R14078" s="42"/>
      <c r="AC14078" s="42"/>
    </row>
    <row r="14079" spans="15:29" x14ac:dyDescent="0.25">
      <c r="O14079" s="42"/>
      <c r="R14079" s="42"/>
      <c r="AC14079" s="42"/>
    </row>
    <row r="14080" spans="15:29" x14ac:dyDescent="0.25">
      <c r="O14080" s="42"/>
      <c r="R14080" s="42"/>
      <c r="AC14080" s="42"/>
    </row>
    <row r="14081" spans="15:29" x14ac:dyDescent="0.25">
      <c r="O14081" s="42"/>
      <c r="R14081" s="42"/>
      <c r="AC14081" s="42"/>
    </row>
    <row r="14082" spans="15:29" x14ac:dyDescent="0.25">
      <c r="O14082" s="42"/>
      <c r="R14082" s="42"/>
      <c r="AC14082" s="42"/>
    </row>
    <row r="14083" spans="15:29" x14ac:dyDescent="0.25">
      <c r="O14083" s="42"/>
      <c r="R14083" s="42"/>
      <c r="AC14083" s="42"/>
    </row>
    <row r="14084" spans="15:29" x14ac:dyDescent="0.25">
      <c r="O14084" s="42"/>
      <c r="R14084" s="42"/>
      <c r="AC14084" s="42"/>
    </row>
    <row r="14085" spans="15:29" x14ac:dyDescent="0.25">
      <c r="O14085" s="42"/>
      <c r="R14085" s="42"/>
      <c r="AC14085" s="42"/>
    </row>
    <row r="14086" spans="15:29" x14ac:dyDescent="0.25">
      <c r="O14086" s="42"/>
      <c r="R14086" s="42"/>
      <c r="AC14086" s="42"/>
    </row>
    <row r="14087" spans="15:29" x14ac:dyDescent="0.25">
      <c r="O14087" s="42"/>
      <c r="R14087" s="42"/>
      <c r="AC14087" s="42"/>
    </row>
    <row r="14088" spans="15:29" x14ac:dyDescent="0.25">
      <c r="O14088" s="42"/>
      <c r="R14088" s="42"/>
      <c r="AC14088" s="42"/>
    </row>
    <row r="14089" spans="15:29" x14ac:dyDescent="0.25">
      <c r="O14089" s="42"/>
      <c r="R14089" s="42"/>
      <c r="AC14089" s="42"/>
    </row>
    <row r="14090" spans="15:29" x14ac:dyDescent="0.25">
      <c r="O14090" s="42"/>
      <c r="R14090" s="42"/>
      <c r="AC14090" s="42"/>
    </row>
    <row r="14091" spans="15:29" x14ac:dyDescent="0.25">
      <c r="O14091" s="42"/>
      <c r="R14091" s="42"/>
      <c r="AC14091" s="42"/>
    </row>
    <row r="14092" spans="15:29" x14ac:dyDescent="0.25">
      <c r="O14092" s="42"/>
      <c r="R14092" s="42"/>
      <c r="AC14092" s="42"/>
    </row>
    <row r="14093" spans="15:29" x14ac:dyDescent="0.25">
      <c r="O14093" s="42"/>
      <c r="R14093" s="42"/>
      <c r="AC14093" s="42"/>
    </row>
    <row r="14094" spans="15:29" x14ac:dyDescent="0.25">
      <c r="O14094" s="42"/>
      <c r="R14094" s="42"/>
      <c r="AC14094" s="42"/>
    </row>
    <row r="14095" spans="15:29" x14ac:dyDescent="0.25">
      <c r="O14095" s="42"/>
      <c r="R14095" s="42"/>
      <c r="AC14095" s="42"/>
    </row>
    <row r="14096" spans="15:29" x14ac:dyDescent="0.25">
      <c r="O14096" s="42"/>
      <c r="R14096" s="42"/>
      <c r="AC14096" s="42"/>
    </row>
    <row r="14097" spans="15:29" x14ac:dyDescent="0.25">
      <c r="O14097" s="42"/>
      <c r="R14097" s="42"/>
      <c r="AC14097" s="42"/>
    </row>
    <row r="14098" spans="15:29" x14ac:dyDescent="0.25">
      <c r="O14098" s="42"/>
      <c r="R14098" s="42"/>
      <c r="AC14098" s="42"/>
    </row>
    <row r="14099" spans="15:29" x14ac:dyDescent="0.25">
      <c r="O14099" s="42"/>
      <c r="R14099" s="42"/>
      <c r="AC14099" s="42"/>
    </row>
    <row r="14100" spans="15:29" x14ac:dyDescent="0.25">
      <c r="O14100" s="42"/>
      <c r="R14100" s="42"/>
      <c r="AC14100" s="42"/>
    </row>
    <row r="14101" spans="15:29" x14ac:dyDescent="0.25">
      <c r="O14101" s="42"/>
      <c r="R14101" s="42"/>
      <c r="AC14101" s="42"/>
    </row>
    <row r="14102" spans="15:29" x14ac:dyDescent="0.25">
      <c r="O14102" s="42"/>
      <c r="R14102" s="42"/>
      <c r="AC14102" s="42"/>
    </row>
    <row r="14103" spans="15:29" x14ac:dyDescent="0.25">
      <c r="O14103" s="42"/>
      <c r="R14103" s="42"/>
      <c r="AC14103" s="42"/>
    </row>
    <row r="14104" spans="15:29" x14ac:dyDescent="0.25">
      <c r="O14104" s="42"/>
      <c r="R14104" s="42"/>
      <c r="AC14104" s="42"/>
    </row>
    <row r="14105" spans="15:29" x14ac:dyDescent="0.25">
      <c r="O14105" s="42"/>
      <c r="R14105" s="42"/>
      <c r="AC14105" s="42"/>
    </row>
    <row r="14106" spans="15:29" x14ac:dyDescent="0.25">
      <c r="O14106" s="42"/>
      <c r="R14106" s="42"/>
      <c r="AC14106" s="42"/>
    </row>
    <row r="14107" spans="15:29" x14ac:dyDescent="0.25">
      <c r="O14107" s="42"/>
      <c r="R14107" s="42"/>
      <c r="AC14107" s="42"/>
    </row>
    <row r="14108" spans="15:29" x14ac:dyDescent="0.25">
      <c r="O14108" s="42"/>
      <c r="R14108" s="42"/>
      <c r="AC14108" s="42"/>
    </row>
    <row r="14109" spans="15:29" x14ac:dyDescent="0.25">
      <c r="O14109" s="42"/>
      <c r="R14109" s="42"/>
      <c r="AC14109" s="42"/>
    </row>
    <row r="14110" spans="15:29" x14ac:dyDescent="0.25">
      <c r="O14110" s="42"/>
      <c r="R14110" s="42"/>
      <c r="AC14110" s="42"/>
    </row>
    <row r="14111" spans="15:29" x14ac:dyDescent="0.25">
      <c r="O14111" s="42"/>
      <c r="R14111" s="42"/>
      <c r="AC14111" s="42"/>
    </row>
    <row r="14112" spans="15:29" x14ac:dyDescent="0.25">
      <c r="O14112" s="42"/>
      <c r="R14112" s="42"/>
      <c r="AC14112" s="42"/>
    </row>
    <row r="14113" spans="15:29" x14ac:dyDescent="0.25">
      <c r="O14113" s="42"/>
      <c r="R14113" s="42"/>
      <c r="AC14113" s="42"/>
    </row>
    <row r="14114" spans="15:29" x14ac:dyDescent="0.25">
      <c r="O14114" s="42"/>
      <c r="R14114" s="42"/>
      <c r="AC14114" s="42"/>
    </row>
    <row r="14115" spans="15:29" x14ac:dyDescent="0.25">
      <c r="O14115" s="42"/>
      <c r="R14115" s="42"/>
      <c r="AC14115" s="42"/>
    </row>
    <row r="14116" spans="15:29" x14ac:dyDescent="0.25">
      <c r="O14116" s="42"/>
      <c r="R14116" s="42"/>
      <c r="AC14116" s="42"/>
    </row>
    <row r="14117" spans="15:29" x14ac:dyDescent="0.25">
      <c r="O14117" s="42"/>
      <c r="R14117" s="42"/>
      <c r="AC14117" s="42"/>
    </row>
    <row r="14118" spans="15:29" x14ac:dyDescent="0.25">
      <c r="O14118" s="42"/>
      <c r="R14118" s="42"/>
      <c r="AC14118" s="42"/>
    </row>
    <row r="14119" spans="15:29" x14ac:dyDescent="0.25">
      <c r="O14119" s="42"/>
      <c r="R14119" s="42"/>
      <c r="AC14119" s="42"/>
    </row>
    <row r="14120" spans="15:29" x14ac:dyDescent="0.25">
      <c r="O14120" s="42"/>
      <c r="R14120" s="42"/>
      <c r="AC14120" s="42"/>
    </row>
    <row r="14121" spans="15:29" x14ac:dyDescent="0.25">
      <c r="O14121" s="42"/>
      <c r="R14121" s="42"/>
      <c r="AC14121" s="42"/>
    </row>
    <row r="14122" spans="15:29" x14ac:dyDescent="0.25">
      <c r="O14122" s="42"/>
      <c r="R14122" s="42"/>
      <c r="AC14122" s="42"/>
    </row>
    <row r="14123" spans="15:29" x14ac:dyDescent="0.25">
      <c r="O14123" s="42"/>
      <c r="R14123" s="42"/>
      <c r="AC14123" s="42"/>
    </row>
    <row r="14124" spans="15:29" x14ac:dyDescent="0.25">
      <c r="O14124" s="42"/>
      <c r="R14124" s="42"/>
      <c r="AC14124" s="42"/>
    </row>
    <row r="14125" spans="15:29" x14ac:dyDescent="0.25">
      <c r="O14125" s="42"/>
      <c r="R14125" s="42"/>
      <c r="AC14125" s="42"/>
    </row>
    <row r="14126" spans="15:29" x14ac:dyDescent="0.25">
      <c r="O14126" s="42"/>
      <c r="R14126" s="42"/>
      <c r="AC14126" s="42"/>
    </row>
    <row r="14127" spans="15:29" x14ac:dyDescent="0.25">
      <c r="O14127" s="42"/>
      <c r="R14127" s="42"/>
      <c r="AC14127" s="42"/>
    </row>
    <row r="14128" spans="15:29" x14ac:dyDescent="0.25">
      <c r="O14128" s="42"/>
      <c r="R14128" s="42"/>
      <c r="AC14128" s="42"/>
    </row>
    <row r="14129" spans="15:29" x14ac:dyDescent="0.25">
      <c r="O14129" s="42"/>
      <c r="R14129" s="42"/>
      <c r="AC14129" s="42"/>
    </row>
    <row r="14130" spans="15:29" x14ac:dyDescent="0.25">
      <c r="O14130" s="42"/>
      <c r="R14130" s="42"/>
      <c r="AC14130" s="42"/>
    </row>
    <row r="14131" spans="15:29" x14ac:dyDescent="0.25">
      <c r="O14131" s="42"/>
      <c r="R14131" s="42"/>
      <c r="AC14131" s="42"/>
    </row>
    <row r="14132" spans="15:29" x14ac:dyDescent="0.25">
      <c r="O14132" s="42"/>
      <c r="R14132" s="42"/>
      <c r="AC14132" s="42"/>
    </row>
    <row r="14133" spans="15:29" x14ac:dyDescent="0.25">
      <c r="O14133" s="42"/>
      <c r="R14133" s="42"/>
      <c r="AC14133" s="42"/>
    </row>
    <row r="14134" spans="15:29" x14ac:dyDescent="0.25">
      <c r="O14134" s="42"/>
      <c r="R14134" s="42"/>
      <c r="AC14134" s="42"/>
    </row>
    <row r="14135" spans="15:29" x14ac:dyDescent="0.25">
      <c r="O14135" s="42"/>
      <c r="R14135" s="42"/>
      <c r="AC14135" s="42"/>
    </row>
    <row r="14136" spans="15:29" x14ac:dyDescent="0.25">
      <c r="O14136" s="42"/>
      <c r="R14136" s="42"/>
      <c r="AC14136" s="42"/>
    </row>
    <row r="14137" spans="15:29" x14ac:dyDescent="0.25">
      <c r="O14137" s="42"/>
      <c r="R14137" s="42"/>
      <c r="AC14137" s="42"/>
    </row>
    <row r="14138" spans="15:29" x14ac:dyDescent="0.25">
      <c r="O14138" s="42"/>
      <c r="R14138" s="42"/>
      <c r="AC14138" s="42"/>
    </row>
    <row r="14139" spans="15:29" x14ac:dyDescent="0.25">
      <c r="O14139" s="42"/>
      <c r="R14139" s="42"/>
      <c r="AC14139" s="42"/>
    </row>
    <row r="14140" spans="15:29" x14ac:dyDescent="0.25">
      <c r="O14140" s="42"/>
      <c r="R14140" s="42"/>
      <c r="AC14140" s="42"/>
    </row>
    <row r="14141" spans="15:29" x14ac:dyDescent="0.25">
      <c r="O14141" s="42"/>
      <c r="R14141" s="42"/>
      <c r="AC14141" s="42"/>
    </row>
    <row r="14142" spans="15:29" x14ac:dyDescent="0.25">
      <c r="O14142" s="42"/>
      <c r="R14142" s="42"/>
      <c r="AC14142" s="42"/>
    </row>
    <row r="14143" spans="15:29" x14ac:dyDescent="0.25">
      <c r="O14143" s="42"/>
      <c r="R14143" s="42"/>
      <c r="AC14143" s="42"/>
    </row>
    <row r="14144" spans="15:29" x14ac:dyDescent="0.25">
      <c r="O14144" s="42"/>
      <c r="R14144" s="42"/>
      <c r="AC14144" s="42"/>
    </row>
    <row r="14145" spans="15:29" x14ac:dyDescent="0.25">
      <c r="O14145" s="42"/>
      <c r="R14145" s="42"/>
      <c r="AC14145" s="42"/>
    </row>
    <row r="14146" spans="15:29" x14ac:dyDescent="0.25">
      <c r="O14146" s="42"/>
      <c r="R14146" s="42"/>
      <c r="AC14146" s="42"/>
    </row>
    <row r="14147" spans="15:29" x14ac:dyDescent="0.25">
      <c r="O14147" s="42"/>
      <c r="R14147" s="42"/>
      <c r="AC14147" s="42"/>
    </row>
    <row r="14148" spans="15:29" x14ac:dyDescent="0.25">
      <c r="O14148" s="42"/>
      <c r="R14148" s="42"/>
      <c r="AC14148" s="42"/>
    </row>
    <row r="14149" spans="15:29" x14ac:dyDescent="0.25">
      <c r="O14149" s="42"/>
      <c r="R14149" s="42"/>
      <c r="AC14149" s="42"/>
    </row>
    <row r="14150" spans="15:29" x14ac:dyDescent="0.25">
      <c r="O14150" s="42"/>
      <c r="R14150" s="42"/>
      <c r="AC14150" s="42"/>
    </row>
    <row r="14151" spans="15:29" x14ac:dyDescent="0.25">
      <c r="O14151" s="42"/>
      <c r="R14151" s="42"/>
      <c r="AC14151" s="42"/>
    </row>
    <row r="14152" spans="15:29" x14ac:dyDescent="0.25">
      <c r="O14152" s="42"/>
      <c r="R14152" s="42"/>
      <c r="AC14152" s="42"/>
    </row>
    <row r="14153" spans="15:29" x14ac:dyDescent="0.25">
      <c r="O14153" s="42"/>
      <c r="R14153" s="42"/>
      <c r="AC14153" s="42"/>
    </row>
    <row r="14154" spans="15:29" x14ac:dyDescent="0.25">
      <c r="O14154" s="42"/>
      <c r="R14154" s="42"/>
      <c r="AC14154" s="42"/>
    </row>
    <row r="14155" spans="15:29" x14ac:dyDescent="0.25">
      <c r="O14155" s="42"/>
      <c r="R14155" s="42"/>
      <c r="AC14155" s="42"/>
    </row>
    <row r="14156" spans="15:29" x14ac:dyDescent="0.25">
      <c r="O14156" s="42"/>
      <c r="R14156" s="42"/>
      <c r="AC14156" s="42"/>
    </row>
    <row r="14157" spans="15:29" x14ac:dyDescent="0.25">
      <c r="O14157" s="42"/>
      <c r="R14157" s="42"/>
      <c r="AC14157" s="42"/>
    </row>
    <row r="14158" spans="15:29" x14ac:dyDescent="0.25">
      <c r="O14158" s="42"/>
      <c r="R14158" s="42"/>
      <c r="AC14158" s="42"/>
    </row>
    <row r="14159" spans="15:29" x14ac:dyDescent="0.25">
      <c r="O14159" s="42"/>
      <c r="R14159" s="42"/>
      <c r="AC14159" s="42"/>
    </row>
    <row r="14160" spans="15:29" x14ac:dyDescent="0.25">
      <c r="O14160" s="42"/>
      <c r="R14160" s="42"/>
      <c r="AC14160" s="42"/>
    </row>
    <row r="14161" spans="15:29" x14ac:dyDescent="0.25">
      <c r="O14161" s="42"/>
      <c r="R14161" s="42"/>
      <c r="AC14161" s="42"/>
    </row>
    <row r="14162" spans="15:29" x14ac:dyDescent="0.25">
      <c r="O14162" s="42"/>
      <c r="R14162" s="42"/>
      <c r="AC14162" s="42"/>
    </row>
    <row r="14163" spans="15:29" x14ac:dyDescent="0.25">
      <c r="O14163" s="42"/>
      <c r="R14163" s="42"/>
      <c r="AC14163" s="42"/>
    </row>
    <row r="14164" spans="15:29" x14ac:dyDescent="0.25">
      <c r="O14164" s="42"/>
      <c r="R14164" s="42"/>
      <c r="AC14164" s="42"/>
    </row>
    <row r="14165" spans="15:29" x14ac:dyDescent="0.25">
      <c r="O14165" s="42"/>
      <c r="R14165" s="42"/>
      <c r="AC14165" s="42"/>
    </row>
    <row r="14166" spans="15:29" x14ac:dyDescent="0.25">
      <c r="O14166" s="42"/>
      <c r="R14166" s="42"/>
      <c r="AC14166" s="42"/>
    </row>
    <row r="14167" spans="15:29" x14ac:dyDescent="0.25">
      <c r="O14167" s="42"/>
      <c r="R14167" s="42"/>
      <c r="AC14167" s="42"/>
    </row>
    <row r="14168" spans="15:29" x14ac:dyDescent="0.25">
      <c r="O14168" s="42"/>
      <c r="R14168" s="42"/>
      <c r="AC14168" s="42"/>
    </row>
    <row r="14169" spans="15:29" x14ac:dyDescent="0.25">
      <c r="O14169" s="42"/>
      <c r="R14169" s="42"/>
      <c r="AC14169" s="42"/>
    </row>
    <row r="14170" spans="15:29" x14ac:dyDescent="0.25">
      <c r="O14170" s="42"/>
      <c r="R14170" s="42"/>
      <c r="AC14170" s="42"/>
    </row>
    <row r="14171" spans="15:29" x14ac:dyDescent="0.25">
      <c r="O14171" s="42"/>
      <c r="R14171" s="42"/>
      <c r="AC14171" s="42"/>
    </row>
    <row r="14172" spans="15:29" x14ac:dyDescent="0.25">
      <c r="O14172" s="42"/>
      <c r="R14172" s="42"/>
      <c r="AC14172" s="42"/>
    </row>
    <row r="14173" spans="15:29" x14ac:dyDescent="0.25">
      <c r="O14173" s="42"/>
      <c r="R14173" s="42"/>
      <c r="AC14173" s="42"/>
    </row>
    <row r="14174" spans="15:29" x14ac:dyDescent="0.25">
      <c r="O14174" s="42"/>
      <c r="R14174" s="42"/>
      <c r="AC14174" s="42"/>
    </row>
    <row r="14175" spans="15:29" x14ac:dyDescent="0.25">
      <c r="O14175" s="42"/>
      <c r="R14175" s="42"/>
      <c r="AC14175" s="42"/>
    </row>
    <row r="14176" spans="15:29" x14ac:dyDescent="0.25">
      <c r="O14176" s="42"/>
      <c r="R14176" s="42"/>
      <c r="AC14176" s="42"/>
    </row>
    <row r="14177" spans="15:29" x14ac:dyDescent="0.25">
      <c r="O14177" s="42"/>
      <c r="R14177" s="42"/>
      <c r="AC14177" s="42"/>
    </row>
    <row r="14178" spans="15:29" x14ac:dyDescent="0.25">
      <c r="O14178" s="42"/>
      <c r="R14178" s="42"/>
      <c r="AC14178" s="42"/>
    </row>
    <row r="14179" spans="15:29" x14ac:dyDescent="0.25">
      <c r="O14179" s="42"/>
      <c r="R14179" s="42"/>
      <c r="AC14179" s="42"/>
    </row>
    <row r="14180" spans="15:29" x14ac:dyDescent="0.25">
      <c r="O14180" s="42"/>
      <c r="R14180" s="42"/>
      <c r="AC14180" s="42"/>
    </row>
    <row r="14181" spans="15:29" x14ac:dyDescent="0.25">
      <c r="O14181" s="42"/>
      <c r="R14181" s="42"/>
      <c r="AC14181" s="42"/>
    </row>
    <row r="14182" spans="15:29" x14ac:dyDescent="0.25">
      <c r="O14182" s="42"/>
      <c r="R14182" s="42"/>
      <c r="AC14182" s="42"/>
    </row>
    <row r="14183" spans="15:29" x14ac:dyDescent="0.25">
      <c r="O14183" s="42"/>
      <c r="R14183" s="42"/>
      <c r="AC14183" s="42"/>
    </row>
    <row r="14184" spans="15:29" x14ac:dyDescent="0.25">
      <c r="O14184" s="42"/>
      <c r="R14184" s="42"/>
      <c r="AC14184" s="42"/>
    </row>
    <row r="14185" spans="15:29" x14ac:dyDescent="0.25">
      <c r="O14185" s="42"/>
      <c r="R14185" s="42"/>
      <c r="AC14185" s="42"/>
    </row>
    <row r="14186" spans="15:29" x14ac:dyDescent="0.25">
      <c r="O14186" s="42"/>
      <c r="R14186" s="42"/>
      <c r="AC14186" s="42"/>
    </row>
    <row r="14187" spans="15:29" x14ac:dyDescent="0.25">
      <c r="O14187" s="42"/>
      <c r="R14187" s="42"/>
      <c r="AC14187" s="42"/>
    </row>
    <row r="14188" spans="15:29" x14ac:dyDescent="0.25">
      <c r="O14188" s="42"/>
      <c r="R14188" s="42"/>
      <c r="AC14188" s="42"/>
    </row>
    <row r="14189" spans="15:29" x14ac:dyDescent="0.25">
      <c r="O14189" s="42"/>
      <c r="R14189" s="42"/>
      <c r="AC14189" s="42"/>
    </row>
    <row r="14190" spans="15:29" x14ac:dyDescent="0.25">
      <c r="O14190" s="42"/>
      <c r="R14190" s="42"/>
      <c r="AC14190" s="42"/>
    </row>
    <row r="14191" spans="15:29" x14ac:dyDescent="0.25">
      <c r="O14191" s="42"/>
      <c r="R14191" s="42"/>
      <c r="AC14191" s="42"/>
    </row>
    <row r="14192" spans="15:29" x14ac:dyDescent="0.25">
      <c r="O14192" s="42"/>
      <c r="R14192" s="42"/>
      <c r="AC14192" s="42"/>
    </row>
    <row r="14193" spans="15:29" x14ac:dyDescent="0.25">
      <c r="O14193" s="42"/>
      <c r="R14193" s="42"/>
      <c r="AC14193" s="42"/>
    </row>
    <row r="14194" spans="15:29" x14ac:dyDescent="0.25">
      <c r="O14194" s="42"/>
      <c r="R14194" s="42"/>
      <c r="AC14194" s="42"/>
    </row>
    <row r="14195" spans="15:29" x14ac:dyDescent="0.25">
      <c r="O14195" s="42"/>
      <c r="R14195" s="42"/>
      <c r="AC14195" s="42"/>
    </row>
    <row r="14196" spans="15:29" x14ac:dyDescent="0.25">
      <c r="O14196" s="42"/>
      <c r="R14196" s="42"/>
      <c r="AC14196" s="42"/>
    </row>
    <row r="14197" spans="15:29" x14ac:dyDescent="0.25">
      <c r="O14197" s="42"/>
      <c r="R14197" s="42"/>
      <c r="AC14197" s="42"/>
    </row>
    <row r="14198" spans="15:29" x14ac:dyDescent="0.25">
      <c r="O14198" s="42"/>
      <c r="R14198" s="42"/>
      <c r="AC14198" s="42"/>
    </row>
    <row r="14199" spans="15:29" x14ac:dyDescent="0.25">
      <c r="O14199" s="42"/>
      <c r="R14199" s="42"/>
      <c r="AC14199" s="42"/>
    </row>
    <row r="14200" spans="15:29" x14ac:dyDescent="0.25">
      <c r="O14200" s="42"/>
      <c r="R14200" s="42"/>
      <c r="AC14200" s="42"/>
    </row>
    <row r="14201" spans="15:29" x14ac:dyDescent="0.25">
      <c r="O14201" s="42"/>
      <c r="R14201" s="42"/>
      <c r="AC14201" s="42"/>
    </row>
    <row r="14202" spans="15:29" x14ac:dyDescent="0.25">
      <c r="O14202" s="42"/>
      <c r="R14202" s="42"/>
      <c r="AC14202" s="42"/>
    </row>
    <row r="14203" spans="15:29" x14ac:dyDescent="0.25">
      <c r="O14203" s="42"/>
      <c r="R14203" s="42"/>
      <c r="AC14203" s="42"/>
    </row>
    <row r="14204" spans="15:29" x14ac:dyDescent="0.25">
      <c r="O14204" s="42"/>
      <c r="R14204" s="42"/>
      <c r="AC14204" s="42"/>
    </row>
    <row r="14205" spans="15:29" x14ac:dyDescent="0.25">
      <c r="O14205" s="42"/>
      <c r="R14205" s="42"/>
      <c r="AC14205" s="42"/>
    </row>
    <row r="14206" spans="15:29" x14ac:dyDescent="0.25">
      <c r="O14206" s="42"/>
      <c r="R14206" s="42"/>
      <c r="AC14206" s="42"/>
    </row>
    <row r="14207" spans="15:29" x14ac:dyDescent="0.25">
      <c r="O14207" s="42"/>
      <c r="R14207" s="42"/>
      <c r="AC14207" s="42"/>
    </row>
    <row r="14208" spans="15:29" x14ac:dyDescent="0.25">
      <c r="O14208" s="42"/>
      <c r="R14208" s="42"/>
      <c r="AC14208" s="42"/>
    </row>
    <row r="14209" spans="15:29" x14ac:dyDescent="0.25">
      <c r="O14209" s="42"/>
      <c r="R14209" s="42"/>
      <c r="AC14209" s="42"/>
    </row>
    <row r="14210" spans="15:29" x14ac:dyDescent="0.25">
      <c r="O14210" s="42"/>
      <c r="R14210" s="42"/>
      <c r="AC14210" s="42"/>
    </row>
    <row r="14211" spans="15:29" x14ac:dyDescent="0.25">
      <c r="O14211" s="42"/>
      <c r="R14211" s="42"/>
      <c r="AC14211" s="42"/>
    </row>
    <row r="14212" spans="15:29" x14ac:dyDescent="0.25">
      <c r="O14212" s="42"/>
      <c r="R14212" s="42"/>
      <c r="AC14212" s="42"/>
    </row>
    <row r="14213" spans="15:29" x14ac:dyDescent="0.25">
      <c r="O14213" s="42"/>
      <c r="R14213" s="42"/>
      <c r="AC14213" s="42"/>
    </row>
    <row r="14214" spans="15:29" x14ac:dyDescent="0.25">
      <c r="O14214" s="42"/>
      <c r="R14214" s="42"/>
      <c r="AC14214" s="42"/>
    </row>
    <row r="14215" spans="15:29" x14ac:dyDescent="0.25">
      <c r="O14215" s="42"/>
      <c r="R14215" s="42"/>
      <c r="AC14215" s="42"/>
    </row>
    <row r="14216" spans="15:29" x14ac:dyDescent="0.25">
      <c r="O14216" s="42"/>
      <c r="R14216" s="42"/>
      <c r="AC14216" s="42"/>
    </row>
    <row r="14217" spans="15:29" x14ac:dyDescent="0.25">
      <c r="O14217" s="42"/>
      <c r="R14217" s="42"/>
      <c r="AC14217" s="42"/>
    </row>
    <row r="14218" spans="15:29" x14ac:dyDescent="0.25">
      <c r="O14218" s="42"/>
      <c r="R14218" s="42"/>
      <c r="AC14218" s="42"/>
    </row>
    <row r="14219" spans="15:29" x14ac:dyDescent="0.25">
      <c r="O14219" s="42"/>
      <c r="R14219" s="42"/>
      <c r="AC14219" s="42"/>
    </row>
    <row r="14220" spans="15:29" x14ac:dyDescent="0.25">
      <c r="O14220" s="42"/>
      <c r="R14220" s="42"/>
      <c r="AC14220" s="42"/>
    </row>
    <row r="14221" spans="15:29" x14ac:dyDescent="0.25">
      <c r="O14221" s="42"/>
      <c r="R14221" s="42"/>
      <c r="AC14221" s="42"/>
    </row>
    <row r="14222" spans="15:29" x14ac:dyDescent="0.25">
      <c r="O14222" s="42"/>
      <c r="R14222" s="42"/>
      <c r="AC14222" s="42"/>
    </row>
    <row r="14223" spans="15:29" x14ac:dyDescent="0.25">
      <c r="O14223" s="42"/>
      <c r="R14223" s="42"/>
      <c r="AC14223" s="42"/>
    </row>
    <row r="14224" spans="15:29" x14ac:dyDescent="0.25">
      <c r="O14224" s="42"/>
      <c r="R14224" s="42"/>
      <c r="AC14224" s="42"/>
    </row>
    <row r="14225" spans="15:29" x14ac:dyDescent="0.25">
      <c r="O14225" s="42"/>
      <c r="R14225" s="42"/>
      <c r="AC14225" s="42"/>
    </row>
    <row r="14226" spans="15:29" x14ac:dyDescent="0.25">
      <c r="O14226" s="42"/>
      <c r="R14226" s="42"/>
      <c r="AC14226" s="42"/>
    </row>
    <row r="14227" spans="15:29" x14ac:dyDescent="0.25">
      <c r="O14227" s="42"/>
      <c r="R14227" s="42"/>
      <c r="AC14227" s="42"/>
    </row>
    <row r="14228" spans="15:29" x14ac:dyDescent="0.25">
      <c r="O14228" s="42"/>
      <c r="R14228" s="42"/>
      <c r="AC14228" s="42"/>
    </row>
    <row r="14229" spans="15:29" x14ac:dyDescent="0.25">
      <c r="O14229" s="42"/>
      <c r="R14229" s="42"/>
      <c r="AC14229" s="42"/>
    </row>
    <row r="14230" spans="15:29" x14ac:dyDescent="0.25">
      <c r="O14230" s="42"/>
      <c r="R14230" s="42"/>
      <c r="AC14230" s="42"/>
    </row>
    <row r="14231" spans="15:29" x14ac:dyDescent="0.25">
      <c r="O14231" s="42"/>
      <c r="R14231" s="42"/>
      <c r="AC14231" s="42"/>
    </row>
    <row r="14232" spans="15:29" x14ac:dyDescent="0.25">
      <c r="O14232" s="42"/>
      <c r="R14232" s="42"/>
      <c r="AC14232" s="42"/>
    </row>
    <row r="14233" spans="15:29" x14ac:dyDescent="0.25">
      <c r="O14233" s="42"/>
      <c r="R14233" s="42"/>
      <c r="AC14233" s="42"/>
    </row>
    <row r="14234" spans="15:29" x14ac:dyDescent="0.25">
      <c r="O14234" s="42"/>
      <c r="R14234" s="42"/>
      <c r="AC14234" s="42"/>
    </row>
    <row r="14235" spans="15:29" x14ac:dyDescent="0.25">
      <c r="O14235" s="42"/>
      <c r="R14235" s="42"/>
      <c r="AC14235" s="42"/>
    </row>
    <row r="14236" spans="15:29" x14ac:dyDescent="0.25">
      <c r="O14236" s="42"/>
      <c r="R14236" s="42"/>
      <c r="AC14236" s="42"/>
    </row>
    <row r="14237" spans="15:29" x14ac:dyDescent="0.25">
      <c r="O14237" s="42"/>
      <c r="R14237" s="42"/>
      <c r="AC14237" s="42"/>
    </row>
    <row r="14238" spans="15:29" x14ac:dyDescent="0.25">
      <c r="O14238" s="42"/>
      <c r="R14238" s="42"/>
      <c r="AC14238" s="42"/>
    </row>
    <row r="14239" spans="15:29" x14ac:dyDescent="0.25">
      <c r="O14239" s="42"/>
      <c r="R14239" s="42"/>
      <c r="AC14239" s="42"/>
    </row>
    <row r="14240" spans="15:29" x14ac:dyDescent="0.25">
      <c r="O14240" s="42"/>
      <c r="R14240" s="42"/>
      <c r="AC14240" s="42"/>
    </row>
    <row r="14241" spans="15:29" x14ac:dyDescent="0.25">
      <c r="O14241" s="42"/>
      <c r="R14241" s="42"/>
      <c r="AC14241" s="42"/>
    </row>
    <row r="14242" spans="15:29" x14ac:dyDescent="0.25">
      <c r="O14242" s="42"/>
      <c r="R14242" s="42"/>
      <c r="AC14242" s="42"/>
    </row>
    <row r="14243" spans="15:29" x14ac:dyDescent="0.25">
      <c r="O14243" s="42"/>
      <c r="R14243" s="42"/>
      <c r="AC14243" s="42"/>
    </row>
    <row r="14244" spans="15:29" x14ac:dyDescent="0.25">
      <c r="O14244" s="42"/>
      <c r="R14244" s="42"/>
      <c r="AC14244" s="42"/>
    </row>
    <row r="14245" spans="15:29" x14ac:dyDescent="0.25">
      <c r="O14245" s="42"/>
      <c r="R14245" s="42"/>
      <c r="AC14245" s="42"/>
    </row>
    <row r="14246" spans="15:29" x14ac:dyDescent="0.25">
      <c r="O14246" s="42"/>
      <c r="R14246" s="42"/>
      <c r="AC14246" s="42"/>
    </row>
    <row r="14247" spans="15:29" x14ac:dyDescent="0.25">
      <c r="O14247" s="42"/>
      <c r="R14247" s="42"/>
      <c r="AC14247" s="42"/>
    </row>
    <row r="14248" spans="15:29" x14ac:dyDescent="0.25">
      <c r="O14248" s="42"/>
      <c r="R14248" s="42"/>
      <c r="AC14248" s="42"/>
    </row>
    <row r="14249" spans="15:29" x14ac:dyDescent="0.25">
      <c r="O14249" s="42"/>
      <c r="R14249" s="42"/>
      <c r="AC14249" s="42"/>
    </row>
    <row r="14250" spans="15:29" x14ac:dyDescent="0.25">
      <c r="O14250" s="42"/>
      <c r="R14250" s="42"/>
      <c r="AC14250" s="42"/>
    </row>
    <row r="14251" spans="15:29" x14ac:dyDescent="0.25">
      <c r="O14251" s="42"/>
      <c r="R14251" s="42"/>
      <c r="AC14251" s="42"/>
    </row>
    <row r="14252" spans="15:29" x14ac:dyDescent="0.25">
      <c r="O14252" s="42"/>
      <c r="R14252" s="42"/>
      <c r="AC14252" s="42"/>
    </row>
    <row r="14253" spans="15:29" x14ac:dyDescent="0.25">
      <c r="O14253" s="42"/>
      <c r="R14253" s="42"/>
      <c r="AC14253" s="42"/>
    </row>
    <row r="14254" spans="15:29" x14ac:dyDescent="0.25">
      <c r="O14254" s="42"/>
      <c r="R14254" s="42"/>
      <c r="AC14254" s="42"/>
    </row>
    <row r="14255" spans="15:29" x14ac:dyDescent="0.25">
      <c r="O14255" s="42"/>
      <c r="R14255" s="42"/>
      <c r="AC14255" s="42"/>
    </row>
    <row r="14256" spans="15:29" x14ac:dyDescent="0.25">
      <c r="O14256" s="42"/>
      <c r="R14256" s="42"/>
      <c r="AC14256" s="42"/>
    </row>
    <row r="14257" spans="15:29" x14ac:dyDescent="0.25">
      <c r="O14257" s="42"/>
      <c r="R14257" s="42"/>
      <c r="AC14257" s="42"/>
    </row>
    <row r="14258" spans="15:29" x14ac:dyDescent="0.25">
      <c r="O14258" s="42"/>
      <c r="R14258" s="42"/>
      <c r="AC14258" s="42"/>
    </row>
    <row r="14259" spans="15:29" x14ac:dyDescent="0.25">
      <c r="O14259" s="42"/>
      <c r="R14259" s="42"/>
      <c r="AC14259" s="42"/>
    </row>
    <row r="14260" spans="15:29" x14ac:dyDescent="0.25">
      <c r="O14260" s="42"/>
      <c r="R14260" s="42"/>
      <c r="AC14260" s="42"/>
    </row>
    <row r="14261" spans="15:29" x14ac:dyDescent="0.25">
      <c r="O14261" s="42"/>
      <c r="R14261" s="42"/>
      <c r="AC14261" s="42"/>
    </row>
    <row r="14262" spans="15:29" x14ac:dyDescent="0.25">
      <c r="O14262" s="42"/>
      <c r="R14262" s="42"/>
      <c r="AC14262" s="42"/>
    </row>
    <row r="14263" spans="15:29" x14ac:dyDescent="0.25">
      <c r="O14263" s="42"/>
      <c r="R14263" s="42"/>
      <c r="AC14263" s="42"/>
    </row>
    <row r="14264" spans="15:29" x14ac:dyDescent="0.25">
      <c r="O14264" s="42"/>
      <c r="R14264" s="42"/>
      <c r="AC14264" s="42"/>
    </row>
    <row r="14265" spans="15:29" x14ac:dyDescent="0.25">
      <c r="O14265" s="42"/>
      <c r="R14265" s="42"/>
      <c r="AC14265" s="42"/>
    </row>
    <row r="14266" spans="15:29" x14ac:dyDescent="0.25">
      <c r="O14266" s="42"/>
      <c r="R14266" s="42"/>
      <c r="AC14266" s="42"/>
    </row>
    <row r="14267" spans="15:29" x14ac:dyDescent="0.25">
      <c r="O14267" s="42"/>
      <c r="R14267" s="42"/>
      <c r="AC14267" s="42"/>
    </row>
    <row r="14268" spans="15:29" x14ac:dyDescent="0.25">
      <c r="O14268" s="42"/>
      <c r="R14268" s="42"/>
      <c r="AC14268" s="42"/>
    </row>
    <row r="14269" spans="15:29" x14ac:dyDescent="0.25">
      <c r="O14269" s="42"/>
      <c r="R14269" s="42"/>
      <c r="AC14269" s="42"/>
    </row>
    <row r="14270" spans="15:29" x14ac:dyDescent="0.25">
      <c r="O14270" s="42"/>
      <c r="R14270" s="42"/>
      <c r="AC14270" s="42"/>
    </row>
    <row r="14271" spans="15:29" x14ac:dyDescent="0.25">
      <c r="O14271" s="42"/>
      <c r="R14271" s="42"/>
      <c r="AC14271" s="42"/>
    </row>
    <row r="14272" spans="15:29" x14ac:dyDescent="0.25">
      <c r="O14272" s="42"/>
      <c r="R14272" s="42"/>
      <c r="AC14272" s="42"/>
    </row>
    <row r="14273" spans="15:29" x14ac:dyDescent="0.25">
      <c r="O14273" s="42"/>
      <c r="R14273" s="42"/>
      <c r="AC14273" s="42"/>
    </row>
    <row r="14274" spans="15:29" x14ac:dyDescent="0.25">
      <c r="O14274" s="42"/>
      <c r="R14274" s="42"/>
      <c r="AC14274" s="42"/>
    </row>
    <row r="14275" spans="15:29" x14ac:dyDescent="0.25">
      <c r="O14275" s="42"/>
      <c r="R14275" s="42"/>
      <c r="AC14275" s="42"/>
    </row>
    <row r="14276" spans="15:29" x14ac:dyDescent="0.25">
      <c r="O14276" s="42"/>
      <c r="R14276" s="42"/>
      <c r="AC14276" s="42"/>
    </row>
    <row r="14277" spans="15:29" x14ac:dyDescent="0.25">
      <c r="O14277" s="42"/>
      <c r="R14277" s="42"/>
      <c r="AC14277" s="42"/>
    </row>
    <row r="14278" spans="15:29" x14ac:dyDescent="0.25">
      <c r="O14278" s="42"/>
      <c r="R14278" s="42"/>
      <c r="AC14278" s="42"/>
    </row>
    <row r="14279" spans="15:29" x14ac:dyDescent="0.25">
      <c r="O14279" s="42"/>
      <c r="R14279" s="42"/>
      <c r="AC14279" s="42"/>
    </row>
    <row r="14280" spans="15:29" x14ac:dyDescent="0.25">
      <c r="O14280" s="42"/>
      <c r="R14280" s="42"/>
      <c r="AC14280" s="42"/>
    </row>
    <row r="14281" spans="15:29" x14ac:dyDescent="0.25">
      <c r="O14281" s="42"/>
      <c r="R14281" s="42"/>
      <c r="AC14281" s="42"/>
    </row>
    <row r="14282" spans="15:29" x14ac:dyDescent="0.25">
      <c r="O14282" s="42"/>
      <c r="R14282" s="42"/>
      <c r="AC14282" s="42"/>
    </row>
    <row r="14283" spans="15:29" x14ac:dyDescent="0.25">
      <c r="O14283" s="42"/>
      <c r="R14283" s="42"/>
      <c r="AC14283" s="42"/>
    </row>
    <row r="14284" spans="15:29" x14ac:dyDescent="0.25">
      <c r="O14284" s="42"/>
      <c r="R14284" s="42"/>
      <c r="AC14284" s="42"/>
    </row>
    <row r="14285" spans="15:29" x14ac:dyDescent="0.25">
      <c r="O14285" s="42"/>
      <c r="R14285" s="42"/>
      <c r="AC14285" s="42"/>
    </row>
    <row r="14286" spans="15:29" x14ac:dyDescent="0.25">
      <c r="O14286" s="42"/>
      <c r="R14286" s="42"/>
      <c r="AC14286" s="42"/>
    </row>
    <row r="14287" spans="15:29" x14ac:dyDescent="0.25">
      <c r="O14287" s="42"/>
      <c r="R14287" s="42"/>
      <c r="AC14287" s="42"/>
    </row>
    <row r="14288" spans="15:29" x14ac:dyDescent="0.25">
      <c r="O14288" s="42"/>
      <c r="R14288" s="42"/>
      <c r="AC14288" s="42"/>
    </row>
    <row r="14289" spans="15:29" x14ac:dyDescent="0.25">
      <c r="O14289" s="42"/>
      <c r="R14289" s="42"/>
      <c r="AC14289" s="42"/>
    </row>
    <row r="14290" spans="15:29" x14ac:dyDescent="0.25">
      <c r="O14290" s="42"/>
      <c r="R14290" s="42"/>
      <c r="AC14290" s="42"/>
    </row>
    <row r="14291" spans="15:29" x14ac:dyDescent="0.25">
      <c r="O14291" s="42"/>
      <c r="R14291" s="42"/>
      <c r="AC14291" s="42"/>
    </row>
    <row r="14292" spans="15:29" x14ac:dyDescent="0.25">
      <c r="O14292" s="42"/>
      <c r="R14292" s="42"/>
      <c r="AC14292" s="42"/>
    </row>
    <row r="14293" spans="15:29" x14ac:dyDescent="0.25">
      <c r="O14293" s="42"/>
      <c r="R14293" s="42"/>
      <c r="AC14293" s="42"/>
    </row>
    <row r="14294" spans="15:29" x14ac:dyDescent="0.25">
      <c r="O14294" s="42"/>
      <c r="R14294" s="42"/>
      <c r="AC14294" s="42"/>
    </row>
    <row r="14295" spans="15:29" x14ac:dyDescent="0.25">
      <c r="O14295" s="42"/>
      <c r="R14295" s="42"/>
      <c r="AC14295" s="42"/>
    </row>
    <row r="14296" spans="15:29" x14ac:dyDescent="0.25">
      <c r="O14296" s="42"/>
      <c r="R14296" s="42"/>
      <c r="AC14296" s="42"/>
    </row>
    <row r="14297" spans="15:29" x14ac:dyDescent="0.25">
      <c r="O14297" s="42"/>
      <c r="R14297" s="42"/>
      <c r="AC14297" s="42"/>
    </row>
    <row r="14298" spans="15:29" x14ac:dyDescent="0.25">
      <c r="O14298" s="42"/>
      <c r="R14298" s="42"/>
      <c r="AC14298" s="42"/>
    </row>
    <row r="14299" spans="15:29" x14ac:dyDescent="0.25">
      <c r="O14299" s="42"/>
      <c r="R14299" s="42"/>
      <c r="AC14299" s="42"/>
    </row>
    <row r="14300" spans="15:29" x14ac:dyDescent="0.25">
      <c r="O14300" s="42"/>
      <c r="R14300" s="42"/>
      <c r="AC14300" s="42"/>
    </row>
    <row r="14301" spans="15:29" x14ac:dyDescent="0.25">
      <c r="O14301" s="42"/>
      <c r="R14301" s="42"/>
      <c r="AC14301" s="42"/>
    </row>
    <row r="14302" spans="15:29" x14ac:dyDescent="0.25">
      <c r="O14302" s="42"/>
      <c r="R14302" s="42"/>
      <c r="AC14302" s="42"/>
    </row>
    <row r="14303" spans="15:29" x14ac:dyDescent="0.25">
      <c r="O14303" s="42"/>
      <c r="R14303" s="42"/>
      <c r="AC14303" s="42"/>
    </row>
    <row r="14304" spans="15:29" x14ac:dyDescent="0.25">
      <c r="O14304" s="42"/>
      <c r="R14304" s="42"/>
      <c r="AC14304" s="42"/>
    </row>
    <row r="14305" spans="15:29" x14ac:dyDescent="0.25">
      <c r="O14305" s="42"/>
      <c r="R14305" s="42"/>
      <c r="AC14305" s="42"/>
    </row>
    <row r="14306" spans="15:29" x14ac:dyDescent="0.25">
      <c r="O14306" s="42"/>
      <c r="R14306" s="42"/>
      <c r="AC14306" s="42"/>
    </row>
    <row r="14307" spans="15:29" x14ac:dyDescent="0.25">
      <c r="O14307" s="42"/>
      <c r="R14307" s="42"/>
      <c r="AC14307" s="42"/>
    </row>
    <row r="14308" spans="15:29" x14ac:dyDescent="0.25">
      <c r="O14308" s="42"/>
      <c r="R14308" s="42"/>
      <c r="AC14308" s="42"/>
    </row>
    <row r="14309" spans="15:29" x14ac:dyDescent="0.25">
      <c r="O14309" s="42"/>
      <c r="R14309" s="42"/>
      <c r="AC14309" s="42"/>
    </row>
    <row r="14310" spans="15:29" x14ac:dyDescent="0.25">
      <c r="O14310" s="42"/>
      <c r="R14310" s="42"/>
      <c r="AC14310" s="42"/>
    </row>
    <row r="14311" spans="15:29" x14ac:dyDescent="0.25">
      <c r="O14311" s="42"/>
      <c r="R14311" s="42"/>
      <c r="AC14311" s="42"/>
    </row>
    <row r="14312" spans="15:29" x14ac:dyDescent="0.25">
      <c r="O14312" s="42"/>
      <c r="R14312" s="42"/>
      <c r="AC14312" s="42"/>
    </row>
    <row r="14313" spans="15:29" x14ac:dyDescent="0.25">
      <c r="O14313" s="42"/>
      <c r="R14313" s="42"/>
      <c r="AC14313" s="42"/>
    </row>
    <row r="14314" spans="15:29" x14ac:dyDescent="0.25">
      <c r="O14314" s="42"/>
      <c r="R14314" s="42"/>
      <c r="AC14314" s="42"/>
    </row>
    <row r="14315" spans="15:29" x14ac:dyDescent="0.25">
      <c r="O14315" s="42"/>
      <c r="R14315" s="42"/>
      <c r="AC14315" s="42"/>
    </row>
    <row r="14316" spans="15:29" x14ac:dyDescent="0.25">
      <c r="O14316" s="42"/>
      <c r="R14316" s="42"/>
      <c r="AC14316" s="42"/>
    </row>
    <row r="14317" spans="15:29" x14ac:dyDescent="0.25">
      <c r="O14317" s="42"/>
      <c r="R14317" s="42"/>
      <c r="AC14317" s="42"/>
    </row>
    <row r="14318" spans="15:29" x14ac:dyDescent="0.25">
      <c r="O14318" s="42"/>
      <c r="R14318" s="42"/>
      <c r="AC14318" s="42"/>
    </row>
    <row r="14319" spans="15:29" x14ac:dyDescent="0.25">
      <c r="O14319" s="42"/>
      <c r="R14319" s="42"/>
      <c r="AC14319" s="42"/>
    </row>
    <row r="14320" spans="15:29" x14ac:dyDescent="0.25">
      <c r="O14320" s="42"/>
      <c r="R14320" s="42"/>
      <c r="AC14320" s="42"/>
    </row>
    <row r="14321" spans="15:29" x14ac:dyDescent="0.25">
      <c r="O14321" s="42"/>
      <c r="R14321" s="42"/>
      <c r="AC14321" s="42"/>
    </row>
    <row r="14322" spans="15:29" x14ac:dyDescent="0.25">
      <c r="O14322" s="42"/>
      <c r="R14322" s="42"/>
      <c r="AC14322" s="42"/>
    </row>
    <row r="14323" spans="15:29" x14ac:dyDescent="0.25">
      <c r="O14323" s="42"/>
      <c r="R14323" s="42"/>
      <c r="AC14323" s="42"/>
    </row>
    <row r="14324" spans="15:29" x14ac:dyDescent="0.25">
      <c r="O14324" s="42"/>
      <c r="R14324" s="42"/>
      <c r="AC14324" s="42"/>
    </row>
    <row r="14325" spans="15:29" x14ac:dyDescent="0.25">
      <c r="O14325" s="42"/>
      <c r="R14325" s="42"/>
      <c r="AC14325" s="42"/>
    </row>
    <row r="14326" spans="15:29" x14ac:dyDescent="0.25">
      <c r="O14326" s="42"/>
      <c r="R14326" s="42"/>
      <c r="AC14326" s="42"/>
    </row>
    <row r="14327" spans="15:29" x14ac:dyDescent="0.25">
      <c r="O14327" s="42"/>
      <c r="R14327" s="42"/>
      <c r="AC14327" s="42"/>
    </row>
    <row r="14328" spans="15:29" x14ac:dyDescent="0.25">
      <c r="O14328" s="42"/>
      <c r="R14328" s="42"/>
      <c r="AC14328" s="42"/>
    </row>
    <row r="14329" spans="15:29" x14ac:dyDescent="0.25">
      <c r="O14329" s="42"/>
      <c r="R14329" s="42"/>
      <c r="AC14329" s="42"/>
    </row>
    <row r="14330" spans="15:29" x14ac:dyDescent="0.25">
      <c r="O14330" s="42"/>
      <c r="R14330" s="42"/>
      <c r="AC14330" s="42"/>
    </row>
    <row r="14331" spans="15:29" x14ac:dyDescent="0.25">
      <c r="O14331" s="42"/>
      <c r="R14331" s="42"/>
      <c r="AC14331" s="42"/>
    </row>
    <row r="14332" spans="15:29" x14ac:dyDescent="0.25">
      <c r="O14332" s="42"/>
      <c r="R14332" s="42"/>
      <c r="AC14332" s="42"/>
    </row>
    <row r="14333" spans="15:29" x14ac:dyDescent="0.25">
      <c r="O14333" s="42"/>
      <c r="R14333" s="42"/>
      <c r="AC14333" s="42"/>
    </row>
    <row r="14334" spans="15:29" x14ac:dyDescent="0.25">
      <c r="O14334" s="42"/>
      <c r="R14334" s="42"/>
      <c r="AC14334" s="42"/>
    </row>
    <row r="14335" spans="15:29" x14ac:dyDescent="0.25">
      <c r="O14335" s="42"/>
      <c r="R14335" s="42"/>
      <c r="AC14335" s="42"/>
    </row>
    <row r="14336" spans="15:29" x14ac:dyDescent="0.25">
      <c r="O14336" s="42"/>
      <c r="R14336" s="42"/>
      <c r="AC14336" s="42"/>
    </row>
    <row r="14337" spans="15:29" x14ac:dyDescent="0.25">
      <c r="O14337" s="42"/>
      <c r="R14337" s="42"/>
      <c r="AC14337" s="42"/>
    </row>
    <row r="14338" spans="15:29" x14ac:dyDescent="0.25">
      <c r="O14338" s="42"/>
      <c r="R14338" s="42"/>
      <c r="AC14338" s="42"/>
    </row>
    <row r="14339" spans="15:29" x14ac:dyDescent="0.25">
      <c r="O14339" s="42"/>
      <c r="R14339" s="42"/>
      <c r="AC14339" s="42"/>
    </row>
    <row r="14340" spans="15:29" x14ac:dyDescent="0.25">
      <c r="O14340" s="42"/>
      <c r="R14340" s="42"/>
      <c r="AC14340" s="42"/>
    </row>
    <row r="14341" spans="15:29" x14ac:dyDescent="0.25">
      <c r="O14341" s="42"/>
      <c r="R14341" s="42"/>
      <c r="AC14341" s="42"/>
    </row>
    <row r="14342" spans="15:29" x14ac:dyDescent="0.25">
      <c r="O14342" s="42"/>
      <c r="R14342" s="42"/>
      <c r="AC14342" s="42"/>
    </row>
    <row r="14343" spans="15:29" x14ac:dyDescent="0.25">
      <c r="O14343" s="42"/>
      <c r="R14343" s="42"/>
      <c r="AC14343" s="42"/>
    </row>
    <row r="14344" spans="15:29" x14ac:dyDescent="0.25">
      <c r="O14344" s="42"/>
      <c r="R14344" s="42"/>
      <c r="AC14344" s="42"/>
    </row>
    <row r="14345" spans="15:29" x14ac:dyDescent="0.25">
      <c r="O14345" s="42"/>
      <c r="R14345" s="42"/>
      <c r="AC14345" s="42"/>
    </row>
    <row r="14346" spans="15:29" x14ac:dyDescent="0.25">
      <c r="O14346" s="42"/>
      <c r="R14346" s="42"/>
      <c r="AC14346" s="42"/>
    </row>
    <row r="14347" spans="15:29" x14ac:dyDescent="0.25">
      <c r="O14347" s="42"/>
      <c r="R14347" s="42"/>
      <c r="AC14347" s="42"/>
    </row>
    <row r="14348" spans="15:29" x14ac:dyDescent="0.25">
      <c r="O14348" s="42"/>
      <c r="R14348" s="42"/>
      <c r="AC14348" s="42"/>
    </row>
    <row r="14349" spans="15:29" x14ac:dyDescent="0.25">
      <c r="O14349" s="42"/>
      <c r="R14349" s="42"/>
      <c r="AC14349" s="42"/>
    </row>
    <row r="14350" spans="15:29" x14ac:dyDescent="0.25">
      <c r="O14350" s="42"/>
      <c r="R14350" s="42"/>
      <c r="AC14350" s="42"/>
    </row>
    <row r="14351" spans="15:29" x14ac:dyDescent="0.25">
      <c r="O14351" s="42"/>
      <c r="R14351" s="42"/>
      <c r="AC14351" s="42"/>
    </row>
    <row r="14352" spans="15:29" x14ac:dyDescent="0.25">
      <c r="O14352" s="42"/>
      <c r="R14352" s="42"/>
      <c r="AC14352" s="42"/>
    </row>
    <row r="14353" spans="15:29" x14ac:dyDescent="0.25">
      <c r="O14353" s="42"/>
      <c r="R14353" s="42"/>
      <c r="AC14353" s="42"/>
    </row>
    <row r="14354" spans="15:29" x14ac:dyDescent="0.25">
      <c r="O14354" s="42"/>
      <c r="R14354" s="42"/>
      <c r="AC14354" s="42"/>
    </row>
    <row r="14355" spans="15:29" x14ac:dyDescent="0.25">
      <c r="O14355" s="42"/>
      <c r="R14355" s="42"/>
      <c r="AC14355" s="42"/>
    </row>
    <row r="14356" spans="15:29" x14ac:dyDescent="0.25">
      <c r="O14356" s="42"/>
      <c r="R14356" s="42"/>
      <c r="AC14356" s="42"/>
    </row>
    <row r="14357" spans="15:29" x14ac:dyDescent="0.25">
      <c r="O14357" s="42"/>
      <c r="R14357" s="42"/>
      <c r="AC14357" s="42"/>
    </row>
    <row r="14358" spans="15:29" x14ac:dyDescent="0.25">
      <c r="O14358" s="42"/>
      <c r="R14358" s="42"/>
      <c r="AC14358" s="42"/>
    </row>
    <row r="14359" spans="15:29" x14ac:dyDescent="0.25">
      <c r="O14359" s="42"/>
      <c r="R14359" s="42"/>
      <c r="AC14359" s="42"/>
    </row>
    <row r="14360" spans="15:29" x14ac:dyDescent="0.25">
      <c r="O14360" s="42"/>
      <c r="R14360" s="42"/>
      <c r="AC14360" s="42"/>
    </row>
    <row r="14361" spans="15:29" x14ac:dyDescent="0.25">
      <c r="O14361" s="42"/>
      <c r="R14361" s="42"/>
      <c r="AC14361" s="42"/>
    </row>
    <row r="14362" spans="15:29" x14ac:dyDescent="0.25">
      <c r="O14362" s="42"/>
      <c r="R14362" s="42"/>
      <c r="AC14362" s="42"/>
    </row>
    <row r="14363" spans="15:29" x14ac:dyDescent="0.25">
      <c r="O14363" s="42"/>
      <c r="R14363" s="42"/>
      <c r="AC14363" s="42"/>
    </row>
    <row r="14364" spans="15:29" x14ac:dyDescent="0.25">
      <c r="O14364" s="42"/>
      <c r="R14364" s="42"/>
      <c r="AC14364" s="42"/>
    </row>
    <row r="14365" spans="15:29" x14ac:dyDescent="0.25">
      <c r="O14365" s="42"/>
      <c r="R14365" s="42"/>
      <c r="AC14365" s="42"/>
    </row>
    <row r="14366" spans="15:29" x14ac:dyDescent="0.25">
      <c r="O14366" s="42"/>
      <c r="R14366" s="42"/>
      <c r="AC14366" s="42"/>
    </row>
    <row r="14367" spans="15:29" x14ac:dyDescent="0.25">
      <c r="O14367" s="42"/>
      <c r="R14367" s="42"/>
      <c r="AC14367" s="42"/>
    </row>
    <row r="14368" spans="15:29" x14ac:dyDescent="0.25">
      <c r="O14368" s="42"/>
      <c r="R14368" s="42"/>
      <c r="AC14368" s="42"/>
    </row>
    <row r="14369" spans="15:29" x14ac:dyDescent="0.25">
      <c r="O14369" s="42"/>
      <c r="R14369" s="42"/>
      <c r="AC14369" s="42"/>
    </row>
    <row r="14370" spans="15:29" x14ac:dyDescent="0.25">
      <c r="O14370" s="42"/>
      <c r="R14370" s="42"/>
      <c r="AC14370" s="42"/>
    </row>
    <row r="14371" spans="15:29" x14ac:dyDescent="0.25">
      <c r="O14371" s="42"/>
      <c r="R14371" s="42"/>
      <c r="AC14371" s="42"/>
    </row>
    <row r="14372" spans="15:29" x14ac:dyDescent="0.25">
      <c r="O14372" s="42"/>
      <c r="R14372" s="42"/>
      <c r="AC14372" s="42"/>
    </row>
    <row r="14373" spans="15:29" x14ac:dyDescent="0.25">
      <c r="O14373" s="42"/>
      <c r="R14373" s="42"/>
      <c r="AC14373" s="42"/>
    </row>
    <row r="14374" spans="15:29" x14ac:dyDescent="0.25">
      <c r="O14374" s="42"/>
      <c r="R14374" s="42"/>
      <c r="AC14374" s="42"/>
    </row>
    <row r="14375" spans="15:29" x14ac:dyDescent="0.25">
      <c r="O14375" s="42"/>
      <c r="R14375" s="42"/>
      <c r="AC14375" s="42"/>
    </row>
    <row r="14376" spans="15:29" x14ac:dyDescent="0.25">
      <c r="O14376" s="42"/>
      <c r="R14376" s="42"/>
      <c r="AC14376" s="42"/>
    </row>
    <row r="14377" spans="15:29" x14ac:dyDescent="0.25">
      <c r="O14377" s="42"/>
      <c r="R14377" s="42"/>
      <c r="AC14377" s="42"/>
    </row>
    <row r="14378" spans="15:29" x14ac:dyDescent="0.25">
      <c r="O14378" s="42"/>
      <c r="R14378" s="42"/>
      <c r="AC14378" s="42"/>
    </row>
    <row r="14379" spans="15:29" x14ac:dyDescent="0.25">
      <c r="O14379" s="42"/>
      <c r="R14379" s="42"/>
      <c r="AC14379" s="42"/>
    </row>
    <row r="14380" spans="15:29" x14ac:dyDescent="0.25">
      <c r="O14380" s="42"/>
      <c r="R14380" s="42"/>
      <c r="AC14380" s="42"/>
    </row>
    <row r="14381" spans="15:29" x14ac:dyDescent="0.25">
      <c r="O14381" s="42"/>
      <c r="R14381" s="42"/>
      <c r="AC14381" s="42"/>
    </row>
    <row r="14382" spans="15:29" x14ac:dyDescent="0.25">
      <c r="O14382" s="42"/>
      <c r="R14382" s="42"/>
      <c r="AC14382" s="42"/>
    </row>
    <row r="14383" spans="15:29" x14ac:dyDescent="0.25">
      <c r="O14383" s="42"/>
      <c r="R14383" s="42"/>
      <c r="AC14383" s="42"/>
    </row>
    <row r="14384" spans="15:29" x14ac:dyDescent="0.25">
      <c r="O14384" s="42"/>
      <c r="R14384" s="42"/>
      <c r="AC14384" s="42"/>
    </row>
    <row r="14385" spans="15:29" x14ac:dyDescent="0.25">
      <c r="O14385" s="42"/>
      <c r="R14385" s="42"/>
      <c r="AC14385" s="42"/>
    </row>
    <row r="14386" spans="15:29" x14ac:dyDescent="0.25">
      <c r="O14386" s="42"/>
      <c r="R14386" s="42"/>
      <c r="AC14386" s="42"/>
    </row>
    <row r="14387" spans="15:29" x14ac:dyDescent="0.25">
      <c r="O14387" s="42"/>
      <c r="R14387" s="42"/>
      <c r="AC14387" s="42"/>
    </row>
    <row r="14388" spans="15:29" x14ac:dyDescent="0.25">
      <c r="O14388" s="42"/>
      <c r="R14388" s="42"/>
      <c r="AC14388" s="42"/>
    </row>
    <row r="14389" spans="15:29" x14ac:dyDescent="0.25">
      <c r="O14389" s="42"/>
      <c r="R14389" s="42"/>
      <c r="AC14389" s="42"/>
    </row>
    <row r="14390" spans="15:29" x14ac:dyDescent="0.25">
      <c r="O14390" s="42"/>
      <c r="R14390" s="42"/>
      <c r="AC14390" s="42"/>
    </row>
    <row r="14391" spans="15:29" x14ac:dyDescent="0.25">
      <c r="O14391" s="42"/>
      <c r="R14391" s="42"/>
      <c r="AC14391" s="42"/>
    </row>
    <row r="14392" spans="15:29" x14ac:dyDescent="0.25">
      <c r="O14392" s="42"/>
      <c r="R14392" s="42"/>
      <c r="AC14392" s="42"/>
    </row>
    <row r="14393" spans="15:29" x14ac:dyDescent="0.25">
      <c r="O14393" s="42"/>
      <c r="R14393" s="42"/>
      <c r="AC14393" s="42"/>
    </row>
    <row r="14394" spans="15:29" x14ac:dyDescent="0.25">
      <c r="O14394" s="42"/>
      <c r="R14394" s="42"/>
      <c r="AC14394" s="42"/>
    </row>
    <row r="14395" spans="15:29" x14ac:dyDescent="0.25">
      <c r="O14395" s="42"/>
      <c r="R14395" s="42"/>
      <c r="AC14395" s="42"/>
    </row>
    <row r="14396" spans="15:29" x14ac:dyDescent="0.25">
      <c r="O14396" s="42"/>
      <c r="R14396" s="42"/>
      <c r="AC14396" s="42"/>
    </row>
    <row r="14397" spans="15:29" x14ac:dyDescent="0.25">
      <c r="O14397" s="42"/>
      <c r="R14397" s="42"/>
      <c r="AC14397" s="42"/>
    </row>
    <row r="14398" spans="15:29" x14ac:dyDescent="0.25">
      <c r="O14398" s="42"/>
      <c r="R14398" s="42"/>
      <c r="AC14398" s="42"/>
    </row>
    <row r="14399" spans="15:29" x14ac:dyDescent="0.25">
      <c r="O14399" s="42"/>
      <c r="R14399" s="42"/>
      <c r="AC14399" s="42"/>
    </row>
    <row r="14400" spans="15:29" x14ac:dyDescent="0.25">
      <c r="O14400" s="42"/>
      <c r="R14400" s="42"/>
      <c r="AC14400" s="42"/>
    </row>
    <row r="14401" spans="15:29" x14ac:dyDescent="0.25">
      <c r="O14401" s="42"/>
      <c r="R14401" s="42"/>
      <c r="AC14401" s="42"/>
    </row>
    <row r="14402" spans="15:29" x14ac:dyDescent="0.25">
      <c r="O14402" s="42"/>
      <c r="R14402" s="42"/>
      <c r="AC14402" s="42"/>
    </row>
    <row r="14403" spans="15:29" x14ac:dyDescent="0.25">
      <c r="O14403" s="42"/>
      <c r="R14403" s="42"/>
      <c r="AC14403" s="42"/>
    </row>
    <row r="14404" spans="15:29" x14ac:dyDescent="0.25">
      <c r="O14404" s="42"/>
      <c r="R14404" s="42"/>
      <c r="AC14404" s="42"/>
    </row>
    <row r="14405" spans="15:29" x14ac:dyDescent="0.25">
      <c r="O14405" s="42"/>
      <c r="R14405" s="42"/>
      <c r="AC14405" s="42"/>
    </row>
    <row r="14406" spans="15:29" x14ac:dyDescent="0.25">
      <c r="O14406" s="42"/>
      <c r="R14406" s="42"/>
      <c r="AC14406" s="42"/>
    </row>
    <row r="14407" spans="15:29" x14ac:dyDescent="0.25">
      <c r="O14407" s="42"/>
      <c r="R14407" s="42"/>
      <c r="AC14407" s="42"/>
    </row>
    <row r="14408" spans="15:29" x14ac:dyDescent="0.25">
      <c r="O14408" s="42"/>
      <c r="R14408" s="42"/>
      <c r="AC14408" s="42"/>
    </row>
    <row r="14409" spans="15:29" x14ac:dyDescent="0.25">
      <c r="O14409" s="42"/>
      <c r="R14409" s="42"/>
      <c r="AC14409" s="42"/>
    </row>
    <row r="14410" spans="15:29" x14ac:dyDescent="0.25">
      <c r="O14410" s="42"/>
      <c r="R14410" s="42"/>
      <c r="AC14410" s="42"/>
    </row>
    <row r="14411" spans="15:29" x14ac:dyDescent="0.25">
      <c r="O14411" s="42"/>
      <c r="R14411" s="42"/>
      <c r="AC14411" s="42"/>
    </row>
    <row r="14412" spans="15:29" x14ac:dyDescent="0.25">
      <c r="O14412" s="42"/>
      <c r="R14412" s="42"/>
      <c r="AC14412" s="42"/>
    </row>
    <row r="14413" spans="15:29" x14ac:dyDescent="0.25">
      <c r="O14413" s="42"/>
      <c r="R14413" s="42"/>
      <c r="AC14413" s="42"/>
    </row>
    <row r="14414" spans="15:29" x14ac:dyDescent="0.25">
      <c r="O14414" s="42"/>
      <c r="R14414" s="42"/>
      <c r="AC14414" s="42"/>
    </row>
    <row r="14415" spans="15:29" x14ac:dyDescent="0.25">
      <c r="O14415" s="42"/>
      <c r="R14415" s="42"/>
      <c r="AC14415" s="42"/>
    </row>
    <row r="14416" spans="15:29" x14ac:dyDescent="0.25">
      <c r="O14416" s="42"/>
      <c r="R14416" s="42"/>
      <c r="AC14416" s="42"/>
    </row>
    <row r="14417" spans="15:29" x14ac:dyDescent="0.25">
      <c r="O14417" s="42"/>
      <c r="R14417" s="42"/>
      <c r="AC14417" s="42"/>
    </row>
    <row r="14418" spans="15:29" x14ac:dyDescent="0.25">
      <c r="O14418" s="42"/>
      <c r="R14418" s="42"/>
      <c r="AC14418" s="42"/>
    </row>
    <row r="14419" spans="15:29" x14ac:dyDescent="0.25">
      <c r="O14419" s="42"/>
      <c r="R14419" s="42"/>
      <c r="AC14419" s="42"/>
    </row>
    <row r="14420" spans="15:29" x14ac:dyDescent="0.25">
      <c r="O14420" s="42"/>
      <c r="R14420" s="42"/>
      <c r="AC14420" s="42"/>
    </row>
    <row r="14421" spans="15:29" x14ac:dyDescent="0.25">
      <c r="O14421" s="42"/>
      <c r="R14421" s="42"/>
      <c r="AC14421" s="42"/>
    </row>
    <row r="14422" spans="15:29" x14ac:dyDescent="0.25">
      <c r="O14422" s="42"/>
      <c r="R14422" s="42"/>
      <c r="AC14422" s="42"/>
    </row>
    <row r="14423" spans="15:29" x14ac:dyDescent="0.25">
      <c r="O14423" s="42"/>
      <c r="R14423" s="42"/>
      <c r="AC14423" s="42"/>
    </row>
    <row r="14424" spans="15:29" x14ac:dyDescent="0.25">
      <c r="O14424" s="42"/>
      <c r="R14424" s="42"/>
      <c r="AC14424" s="42"/>
    </row>
    <row r="14425" spans="15:29" x14ac:dyDescent="0.25">
      <c r="O14425" s="42"/>
      <c r="R14425" s="42"/>
      <c r="AC14425" s="42"/>
    </row>
  </sheetData>
  <pageMargins left="0.25" right="0" top="0.75" bottom="0.25" header="0" footer="0"/>
  <pageSetup paperSize="5" scale="0" firstPageNumber="0" fitToHeight="0" orientation="landscape" horizontalDpi="0" verticalDpi="0"/>
  <headerFooter alignWithMargins="0"/>
  <customProperties>
    <customPr name="EpmWorksheetKeyString_GU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 filterMode="1"/>
  <dimension ref="A1:AD63"/>
  <sheetViews>
    <sheetView workbookViewId="0">
      <selection activeCell="A2" sqref="A2:AD63"/>
    </sheetView>
  </sheetViews>
  <sheetFormatPr defaultRowHeight="15" x14ac:dyDescent="0.25"/>
  <cols>
    <col min="1" max="1" width="29.7109375" customWidth="1"/>
    <col min="2" max="2" width="8" style="11" bestFit="1" customWidth="1"/>
    <col min="3" max="3" width="18.5703125" bestFit="1" customWidth="1"/>
    <col min="4" max="4" width="7.5703125" bestFit="1" customWidth="1"/>
    <col min="5" max="6" width="6.5703125" bestFit="1" customWidth="1"/>
    <col min="7" max="7" width="8.7109375" bestFit="1" customWidth="1"/>
    <col min="8" max="8" width="4" bestFit="1" customWidth="1"/>
    <col min="9" max="9" width="6" bestFit="1" customWidth="1"/>
    <col min="10" max="10" width="4.28515625" bestFit="1" customWidth="1"/>
    <col min="11" max="11" width="10" bestFit="1" customWidth="1"/>
    <col min="12" max="12" width="18.5703125" style="29" bestFit="1" customWidth="1"/>
    <col min="13" max="13" width="46.28515625" bestFit="1" customWidth="1"/>
    <col min="14" max="14" width="4.28515625" bestFit="1" customWidth="1"/>
    <col min="15" max="15" width="18.5703125" bestFit="1" customWidth="1"/>
    <col min="16" max="16" width="6.5703125" bestFit="1" customWidth="1"/>
    <col min="17" max="17" width="4.28515625" bestFit="1" customWidth="1"/>
    <col min="18" max="18" width="10.7109375" bestFit="1" customWidth="1"/>
    <col min="19" max="19" width="46.28515625" bestFit="1" customWidth="1"/>
    <col min="20" max="22" width="6.5703125" bestFit="1" customWidth="1"/>
    <col min="23" max="23" width="15.140625" bestFit="1" customWidth="1"/>
    <col min="24" max="24" width="35.85546875" bestFit="1" customWidth="1"/>
    <col min="25" max="25" width="20.28515625" bestFit="1" customWidth="1"/>
    <col min="26" max="26" width="15.140625" bestFit="1" customWidth="1"/>
    <col min="27" max="27" width="35.85546875" bestFit="1" customWidth="1"/>
    <col min="28" max="28" width="20.28515625" bestFit="1" customWidth="1"/>
    <col min="29" max="29" width="18.5703125" bestFit="1" customWidth="1"/>
    <col min="30" max="30" width="4.140625" bestFit="1" customWidth="1"/>
  </cols>
  <sheetData>
    <row r="1" spans="1:30" x14ac:dyDescent="0.25">
      <c r="A1" s="14" t="s">
        <v>19</v>
      </c>
      <c r="B1" s="17" t="s">
        <v>20</v>
      </c>
      <c r="C1" s="12" t="s">
        <v>21</v>
      </c>
      <c r="D1" s="12" t="s">
        <v>22</v>
      </c>
      <c r="E1" s="13" t="s">
        <v>23</v>
      </c>
      <c r="F1" s="14" t="s">
        <v>24</v>
      </c>
      <c r="G1" s="14" t="s">
        <v>25</v>
      </c>
      <c r="H1" s="14" t="s">
        <v>26</v>
      </c>
      <c r="I1" s="14" t="s">
        <v>27</v>
      </c>
      <c r="J1" s="12" t="s">
        <v>28</v>
      </c>
      <c r="K1" s="14" t="s">
        <v>29</v>
      </c>
      <c r="L1" s="30" t="s">
        <v>30</v>
      </c>
      <c r="M1" s="14" t="s">
        <v>31</v>
      </c>
      <c r="N1" s="14" t="s">
        <v>32</v>
      </c>
      <c r="O1" s="14" t="s">
        <v>33</v>
      </c>
      <c r="P1" t="s">
        <v>34</v>
      </c>
      <c r="Q1" t="s">
        <v>35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42</v>
      </c>
      <c r="X1" t="s">
        <v>41</v>
      </c>
      <c r="Y1" t="s">
        <v>43</v>
      </c>
      <c r="Z1" t="s">
        <v>158</v>
      </c>
      <c r="AA1" t="s">
        <v>159</v>
      </c>
      <c r="AB1" t="s">
        <v>160</v>
      </c>
      <c r="AC1" t="s">
        <v>161</v>
      </c>
      <c r="AD1" t="str">
        <f t="shared" ref="AD1" si="0">H1&amp;G1</f>
        <v>C8C7</v>
      </c>
    </row>
    <row r="2" spans="1:30" hidden="1" x14ac:dyDescent="0.25">
      <c r="A2" s="45" t="s">
        <v>241</v>
      </c>
      <c r="B2" s="46" t="s">
        <v>185</v>
      </c>
      <c r="C2" s="45" t="s">
        <v>186</v>
      </c>
      <c r="D2" s="45" t="s">
        <v>173</v>
      </c>
      <c r="E2" s="45" t="s">
        <v>14</v>
      </c>
      <c r="F2" s="45" t="s">
        <v>168</v>
      </c>
      <c r="G2" s="45">
        <v>555029</v>
      </c>
      <c r="H2" s="45" t="s">
        <v>169</v>
      </c>
      <c r="I2" s="49">
        <v>44208.814386574071</v>
      </c>
      <c r="J2" s="49">
        <v>44213.183749999997</v>
      </c>
      <c r="K2" s="45">
        <v>125232</v>
      </c>
      <c r="L2" s="45">
        <v>27849</v>
      </c>
      <c r="M2" s="45">
        <v>97383</v>
      </c>
      <c r="N2" s="45" t="s">
        <v>187</v>
      </c>
      <c r="O2" s="50">
        <v>44208.864004629628</v>
      </c>
      <c r="P2" s="47">
        <v>17011</v>
      </c>
      <c r="Q2" s="45">
        <v>1</v>
      </c>
      <c r="R2" s="50">
        <v>44194.700810185182</v>
      </c>
      <c r="S2" s="45" t="s">
        <v>188</v>
      </c>
      <c r="T2" s="45">
        <v>49730</v>
      </c>
      <c r="U2" s="45">
        <v>49730</v>
      </c>
      <c r="V2" s="45">
        <v>49600</v>
      </c>
      <c r="W2" s="45" t="s">
        <v>189</v>
      </c>
      <c r="X2" s="45" t="s">
        <v>186</v>
      </c>
      <c r="Y2" s="45" t="s">
        <v>190</v>
      </c>
      <c r="Z2" s="45" t="s">
        <v>189</v>
      </c>
      <c r="AA2" s="45" t="s">
        <v>191</v>
      </c>
      <c r="AB2" s="45" t="s">
        <v>190</v>
      </c>
      <c r="AC2" s="50">
        <v>44208.864004629628</v>
      </c>
      <c r="AD2" s="1" t="s">
        <v>243</v>
      </c>
    </row>
    <row r="3" spans="1:30" hidden="1" x14ac:dyDescent="0.25">
      <c r="A3" s="45" t="s">
        <v>241</v>
      </c>
      <c r="B3" s="46" t="s">
        <v>185</v>
      </c>
      <c r="C3" s="45" t="s">
        <v>186</v>
      </c>
      <c r="D3" s="45" t="s">
        <v>173</v>
      </c>
      <c r="E3" s="45" t="s">
        <v>14</v>
      </c>
      <c r="F3" s="45" t="s">
        <v>168</v>
      </c>
      <c r="G3" s="45">
        <v>555029</v>
      </c>
      <c r="H3" s="45" t="s">
        <v>169</v>
      </c>
      <c r="I3" s="49">
        <v>44208.814386574071</v>
      </c>
      <c r="J3" s="49">
        <v>44213.183749999997</v>
      </c>
      <c r="K3" s="45">
        <v>125232</v>
      </c>
      <c r="L3" s="45">
        <v>27849</v>
      </c>
      <c r="M3" s="45">
        <v>97383</v>
      </c>
      <c r="N3" s="45" t="s">
        <v>187</v>
      </c>
      <c r="O3" s="50">
        <v>44208.397847222222</v>
      </c>
      <c r="P3" s="47">
        <v>17025</v>
      </c>
      <c r="Q3" s="45">
        <v>1</v>
      </c>
      <c r="R3" s="50">
        <v>44203.751006944447</v>
      </c>
      <c r="S3" s="45" t="s">
        <v>192</v>
      </c>
      <c r="T3" s="45">
        <v>49817</v>
      </c>
      <c r="U3" s="45">
        <v>49817</v>
      </c>
      <c r="V3" s="45">
        <v>47783</v>
      </c>
      <c r="W3" s="45" t="s">
        <v>189</v>
      </c>
      <c r="X3" s="45" t="s">
        <v>186</v>
      </c>
      <c r="Y3" s="45" t="s">
        <v>190</v>
      </c>
      <c r="Z3" s="45" t="s">
        <v>189</v>
      </c>
      <c r="AA3" s="45" t="s">
        <v>191</v>
      </c>
      <c r="AB3" s="45" t="s">
        <v>190</v>
      </c>
      <c r="AC3" s="50">
        <v>44208.397847222222</v>
      </c>
      <c r="AD3" s="1" t="s">
        <v>243</v>
      </c>
    </row>
    <row r="4" spans="1:30" hidden="1" x14ac:dyDescent="0.25">
      <c r="A4" s="45" t="s">
        <v>242</v>
      </c>
      <c r="B4" s="46" t="s">
        <v>167</v>
      </c>
      <c r="C4" s="45" t="s">
        <v>186</v>
      </c>
      <c r="D4" s="45" t="s">
        <v>173</v>
      </c>
      <c r="E4" s="45" t="s">
        <v>14</v>
      </c>
      <c r="F4" s="45" t="s">
        <v>168</v>
      </c>
      <c r="G4" s="45">
        <v>301426</v>
      </c>
      <c r="H4" s="45" t="s">
        <v>174</v>
      </c>
      <c r="I4" s="49">
        <v>44208.731840277775</v>
      </c>
      <c r="J4" s="49">
        <v>44213.183622685188</v>
      </c>
      <c r="K4" s="45">
        <v>125340</v>
      </c>
      <c r="L4" s="45">
        <v>29580</v>
      </c>
      <c r="M4" s="45">
        <v>95760</v>
      </c>
      <c r="N4" s="45" t="s">
        <v>193</v>
      </c>
      <c r="O4" s="50">
        <v>44204.843506944446</v>
      </c>
      <c r="P4" s="47">
        <v>17022</v>
      </c>
      <c r="Q4" s="45">
        <v>1</v>
      </c>
      <c r="R4" s="50">
        <v>44203.614907407406</v>
      </c>
      <c r="S4" s="45" t="s">
        <v>194</v>
      </c>
      <c r="T4" s="45">
        <v>48810</v>
      </c>
      <c r="U4" s="45">
        <v>48810</v>
      </c>
      <c r="V4" s="45">
        <v>6326</v>
      </c>
      <c r="W4" s="45" t="s">
        <v>189</v>
      </c>
      <c r="X4" s="45" t="s">
        <v>186</v>
      </c>
      <c r="Y4" s="45" t="s">
        <v>190</v>
      </c>
      <c r="Z4" s="45" t="s">
        <v>189</v>
      </c>
      <c r="AA4" s="45" t="s">
        <v>191</v>
      </c>
      <c r="AB4" s="45" t="s">
        <v>190</v>
      </c>
      <c r="AC4" s="50">
        <v>44204.843506944446</v>
      </c>
      <c r="AD4" s="1" t="s">
        <v>244</v>
      </c>
    </row>
    <row r="5" spans="1:30" hidden="1" x14ac:dyDescent="0.25">
      <c r="A5" s="45" t="s">
        <v>242</v>
      </c>
      <c r="B5" s="46" t="s">
        <v>167</v>
      </c>
      <c r="C5" s="45" t="s">
        <v>186</v>
      </c>
      <c r="D5" s="45" t="s">
        <v>173</v>
      </c>
      <c r="E5" s="45" t="s">
        <v>14</v>
      </c>
      <c r="F5" s="45" t="s">
        <v>168</v>
      </c>
      <c r="G5" s="45">
        <v>301426</v>
      </c>
      <c r="H5" s="45" t="s">
        <v>174</v>
      </c>
      <c r="I5" s="49">
        <v>44208.731840277775</v>
      </c>
      <c r="J5" s="49">
        <v>44213.183622685188</v>
      </c>
      <c r="K5" s="45">
        <v>125340</v>
      </c>
      <c r="L5" s="45">
        <v>29580</v>
      </c>
      <c r="M5" s="45">
        <v>95760</v>
      </c>
      <c r="N5" s="45" t="s">
        <v>193</v>
      </c>
      <c r="O5" s="50">
        <v>44204.836921296293</v>
      </c>
      <c r="P5" s="47">
        <v>17023</v>
      </c>
      <c r="Q5" s="45">
        <v>1</v>
      </c>
      <c r="R5" s="50">
        <v>44203.615891203706</v>
      </c>
      <c r="S5" s="45" t="s">
        <v>195</v>
      </c>
      <c r="T5" s="45">
        <v>48660</v>
      </c>
      <c r="U5" s="45">
        <v>48660</v>
      </c>
      <c r="V5" s="45">
        <v>48610</v>
      </c>
      <c r="W5" s="45" t="s">
        <v>189</v>
      </c>
      <c r="X5" s="45" t="s">
        <v>186</v>
      </c>
      <c r="Y5" s="45" t="s">
        <v>190</v>
      </c>
      <c r="Z5" s="45" t="s">
        <v>189</v>
      </c>
      <c r="AA5" s="45" t="s">
        <v>191</v>
      </c>
      <c r="AB5" s="45" t="s">
        <v>190</v>
      </c>
      <c r="AC5" s="50">
        <v>44204.836921296293</v>
      </c>
      <c r="AD5" s="1" t="s">
        <v>244</v>
      </c>
    </row>
    <row r="6" spans="1:30" hidden="1" x14ac:dyDescent="0.25">
      <c r="A6" s="45" t="s">
        <v>242</v>
      </c>
      <c r="B6" s="46" t="s">
        <v>167</v>
      </c>
      <c r="C6" s="45" t="s">
        <v>186</v>
      </c>
      <c r="D6" s="45" t="s">
        <v>173</v>
      </c>
      <c r="E6" s="45" t="s">
        <v>14</v>
      </c>
      <c r="F6" s="45" t="s">
        <v>168</v>
      </c>
      <c r="G6" s="45">
        <v>301426</v>
      </c>
      <c r="H6" s="45" t="s">
        <v>174</v>
      </c>
      <c r="I6" s="49">
        <v>44208.731840277775</v>
      </c>
      <c r="J6" s="49">
        <v>44213.183622685188</v>
      </c>
      <c r="K6" s="45">
        <v>125340</v>
      </c>
      <c r="L6" s="45">
        <v>29580</v>
      </c>
      <c r="M6" s="45">
        <v>95760</v>
      </c>
      <c r="N6" s="45" t="s">
        <v>193</v>
      </c>
      <c r="O6" s="50">
        <v>44201.807199074072</v>
      </c>
      <c r="P6" s="47">
        <v>17010</v>
      </c>
      <c r="Q6" s="45">
        <v>1</v>
      </c>
      <c r="R6" s="50">
        <v>44194.689120370371</v>
      </c>
      <c r="S6" s="45" t="s">
        <v>196</v>
      </c>
      <c r="T6" s="45">
        <v>49080</v>
      </c>
      <c r="U6" s="45">
        <v>49080</v>
      </c>
      <c r="V6" s="45">
        <v>40824</v>
      </c>
      <c r="W6" s="45" t="s">
        <v>189</v>
      </c>
      <c r="X6" s="45" t="s">
        <v>186</v>
      </c>
      <c r="Y6" s="45" t="s">
        <v>190</v>
      </c>
      <c r="Z6" s="45" t="s">
        <v>189</v>
      </c>
      <c r="AA6" s="45" t="s">
        <v>191</v>
      </c>
      <c r="AB6" s="45" t="s">
        <v>190</v>
      </c>
      <c r="AC6" s="50">
        <v>44201.807199074072</v>
      </c>
      <c r="AD6" s="1" t="s">
        <v>244</v>
      </c>
    </row>
    <row r="7" spans="1:30" hidden="1" x14ac:dyDescent="0.25">
      <c r="A7" s="45" t="s">
        <v>242</v>
      </c>
      <c r="B7" s="46" t="s">
        <v>167</v>
      </c>
      <c r="C7" s="45" t="s">
        <v>186</v>
      </c>
      <c r="D7" s="45" t="s">
        <v>173</v>
      </c>
      <c r="E7" s="45" t="s">
        <v>14</v>
      </c>
      <c r="F7" s="45" t="s">
        <v>168</v>
      </c>
      <c r="G7" s="45">
        <v>301922</v>
      </c>
      <c r="H7" s="45" t="s">
        <v>174</v>
      </c>
      <c r="I7" s="49">
        <v>44208.746631944443</v>
      </c>
      <c r="J7" s="49">
        <v>44213.183622685188</v>
      </c>
      <c r="K7" s="45">
        <v>125200</v>
      </c>
      <c r="L7" s="45">
        <v>29385</v>
      </c>
      <c r="M7" s="45">
        <v>95815</v>
      </c>
      <c r="N7" s="45" t="s">
        <v>197</v>
      </c>
      <c r="O7" s="50">
        <v>44132.7653587963</v>
      </c>
      <c r="P7" s="47">
        <v>4016</v>
      </c>
      <c r="Q7" s="45">
        <v>1</v>
      </c>
      <c r="R7" s="50">
        <v>44131.582557870373</v>
      </c>
      <c r="S7" s="45" t="s">
        <v>198</v>
      </c>
      <c r="T7" s="45">
        <v>50240</v>
      </c>
      <c r="U7" s="45">
        <v>50240</v>
      </c>
      <c r="V7" s="45">
        <v>50240</v>
      </c>
      <c r="W7" s="45" t="s">
        <v>199</v>
      </c>
      <c r="X7" s="45" t="s">
        <v>186</v>
      </c>
      <c r="Y7" s="45" t="s">
        <v>200</v>
      </c>
      <c r="Z7" s="45" t="s">
        <v>199</v>
      </c>
      <c r="AA7" s="45" t="s">
        <v>191</v>
      </c>
      <c r="AB7" s="45" t="s">
        <v>200</v>
      </c>
      <c r="AC7" s="50">
        <v>44132.7653587963</v>
      </c>
      <c r="AD7" s="1" t="s">
        <v>245</v>
      </c>
    </row>
    <row r="8" spans="1:30" hidden="1" x14ac:dyDescent="0.25">
      <c r="A8" s="45" t="s">
        <v>242</v>
      </c>
      <c r="B8" s="46" t="s">
        <v>167</v>
      </c>
      <c r="C8" s="45" t="s">
        <v>186</v>
      </c>
      <c r="D8" s="45" t="s">
        <v>173</v>
      </c>
      <c r="E8" s="45" t="s">
        <v>14</v>
      </c>
      <c r="F8" s="45" t="s">
        <v>168</v>
      </c>
      <c r="G8" s="45">
        <v>301922</v>
      </c>
      <c r="H8" s="45" t="s">
        <v>174</v>
      </c>
      <c r="I8" s="49">
        <v>44208.746631944443</v>
      </c>
      <c r="J8" s="49">
        <v>44213.183622685188</v>
      </c>
      <c r="K8" s="45">
        <v>125200</v>
      </c>
      <c r="L8" s="45">
        <v>29385</v>
      </c>
      <c r="M8" s="45">
        <v>95815</v>
      </c>
      <c r="N8" s="45" t="s">
        <v>197</v>
      </c>
      <c r="O8" s="50">
        <v>44204.849351851852</v>
      </c>
      <c r="P8" s="47">
        <v>5556</v>
      </c>
      <c r="Q8" s="45">
        <v>1</v>
      </c>
      <c r="R8" s="50">
        <v>44180.687291666669</v>
      </c>
      <c r="S8" s="45" t="s">
        <v>201</v>
      </c>
      <c r="T8" s="45">
        <v>38200</v>
      </c>
      <c r="U8" s="45">
        <v>38200</v>
      </c>
      <c r="V8" s="45">
        <v>25136</v>
      </c>
      <c r="W8" s="45" t="s">
        <v>199</v>
      </c>
      <c r="X8" s="45" t="s">
        <v>186</v>
      </c>
      <c r="Y8" s="45" t="s">
        <v>200</v>
      </c>
      <c r="Z8" s="45" t="s">
        <v>199</v>
      </c>
      <c r="AA8" s="45" t="s">
        <v>191</v>
      </c>
      <c r="AB8" s="45" t="s">
        <v>200</v>
      </c>
      <c r="AC8" s="50">
        <v>44204.849351851852</v>
      </c>
      <c r="AD8" s="1" t="s">
        <v>245</v>
      </c>
    </row>
    <row r="9" spans="1:30" hidden="1" x14ac:dyDescent="0.25">
      <c r="A9" s="45" t="s">
        <v>242</v>
      </c>
      <c r="B9" s="46" t="s">
        <v>167</v>
      </c>
      <c r="C9" s="45" t="s">
        <v>186</v>
      </c>
      <c r="D9" s="45" t="s">
        <v>173</v>
      </c>
      <c r="E9" s="45" t="s">
        <v>14</v>
      </c>
      <c r="F9" s="45" t="s">
        <v>168</v>
      </c>
      <c r="G9" s="45">
        <v>301922</v>
      </c>
      <c r="H9" s="45" t="s">
        <v>174</v>
      </c>
      <c r="I9" s="49">
        <v>44208.746631944443</v>
      </c>
      <c r="J9" s="49">
        <v>44213.183622685188</v>
      </c>
      <c r="K9" s="45">
        <v>125200</v>
      </c>
      <c r="L9" s="45">
        <v>29385</v>
      </c>
      <c r="M9" s="45">
        <v>95815</v>
      </c>
      <c r="N9" s="45" t="s">
        <v>197</v>
      </c>
      <c r="O9" s="50">
        <v>44132.74622685185</v>
      </c>
      <c r="P9" s="47">
        <v>4019</v>
      </c>
      <c r="Q9" s="45">
        <v>1</v>
      </c>
      <c r="R9" s="50">
        <v>44131.69835648148</v>
      </c>
      <c r="S9" s="45" t="s">
        <v>202</v>
      </c>
      <c r="T9" s="45">
        <v>49980</v>
      </c>
      <c r="U9" s="45">
        <v>49980</v>
      </c>
      <c r="V9" s="45">
        <v>20439</v>
      </c>
      <c r="W9" s="45" t="s">
        <v>199</v>
      </c>
      <c r="X9" s="45" t="s">
        <v>186</v>
      </c>
      <c r="Y9" s="45" t="s">
        <v>200</v>
      </c>
      <c r="Z9" s="45" t="s">
        <v>199</v>
      </c>
      <c r="AA9" s="45" t="s">
        <v>191</v>
      </c>
      <c r="AB9" s="45" t="s">
        <v>200</v>
      </c>
      <c r="AC9" s="50">
        <v>44132.74622685185</v>
      </c>
      <c r="AD9" s="1" t="s">
        <v>245</v>
      </c>
    </row>
    <row r="10" spans="1:30" hidden="1" x14ac:dyDescent="0.25">
      <c r="A10" s="45" t="s">
        <v>242</v>
      </c>
      <c r="B10" s="46" t="s">
        <v>167</v>
      </c>
      <c r="C10" s="45" t="s">
        <v>186</v>
      </c>
      <c r="D10" s="45" t="s">
        <v>173</v>
      </c>
      <c r="E10" s="45" t="s">
        <v>14</v>
      </c>
      <c r="F10" s="45" t="s">
        <v>168</v>
      </c>
      <c r="G10" s="45">
        <v>531146</v>
      </c>
      <c r="H10" s="45" t="s">
        <v>174</v>
      </c>
      <c r="I10" s="49">
        <v>44208.743738425925</v>
      </c>
      <c r="J10" s="49">
        <v>44213.183622685188</v>
      </c>
      <c r="K10" s="45">
        <v>113560</v>
      </c>
      <c r="L10" s="45">
        <v>35000</v>
      </c>
      <c r="M10" s="45">
        <v>78560</v>
      </c>
      <c r="N10" s="45" t="s">
        <v>203</v>
      </c>
      <c r="O10" s="50">
        <v>44200.733113425929</v>
      </c>
      <c r="P10" s="47">
        <v>5691</v>
      </c>
      <c r="Q10" s="45">
        <v>1</v>
      </c>
      <c r="R10" s="50">
        <v>44184.624467592592</v>
      </c>
      <c r="S10" s="45" t="s">
        <v>204</v>
      </c>
      <c r="T10" s="45">
        <v>5700</v>
      </c>
      <c r="U10" s="45">
        <v>5700</v>
      </c>
      <c r="V10" s="45">
        <v>2749</v>
      </c>
      <c r="W10" s="45" t="s">
        <v>199</v>
      </c>
      <c r="X10" s="45" t="s">
        <v>186</v>
      </c>
      <c r="Y10" s="45" t="s">
        <v>200</v>
      </c>
      <c r="Z10" s="45" t="s">
        <v>199</v>
      </c>
      <c r="AA10" s="45" t="s">
        <v>191</v>
      </c>
      <c r="AB10" s="45" t="s">
        <v>200</v>
      </c>
      <c r="AC10" s="50">
        <v>44200.733113425929</v>
      </c>
      <c r="AD10" s="1" t="s">
        <v>246</v>
      </c>
    </row>
    <row r="11" spans="1:30" hidden="1" x14ac:dyDescent="0.25">
      <c r="A11" s="45" t="s">
        <v>242</v>
      </c>
      <c r="B11" s="46" t="s">
        <v>167</v>
      </c>
      <c r="C11" s="45" t="s">
        <v>186</v>
      </c>
      <c r="D11" s="45" t="s">
        <v>173</v>
      </c>
      <c r="E11" s="45" t="s">
        <v>14</v>
      </c>
      <c r="F11" s="45" t="s">
        <v>168</v>
      </c>
      <c r="G11" s="45">
        <v>531146</v>
      </c>
      <c r="H11" s="45" t="s">
        <v>174</v>
      </c>
      <c r="I11" s="49">
        <v>44208.743738425925</v>
      </c>
      <c r="J11" s="49">
        <v>44213.183622685188</v>
      </c>
      <c r="K11" s="45">
        <v>113560</v>
      </c>
      <c r="L11" s="45">
        <v>35000</v>
      </c>
      <c r="M11" s="45">
        <v>78560</v>
      </c>
      <c r="N11" s="45" t="s">
        <v>197</v>
      </c>
      <c r="O11" s="50">
        <v>44132.74622685185</v>
      </c>
      <c r="P11" s="47">
        <v>4019</v>
      </c>
      <c r="Q11" s="45">
        <v>1</v>
      </c>
      <c r="R11" s="50">
        <v>44131.69835648148</v>
      </c>
      <c r="S11" s="45" t="s">
        <v>202</v>
      </c>
      <c r="T11" s="45">
        <v>49980</v>
      </c>
      <c r="U11" s="45">
        <v>49980</v>
      </c>
      <c r="V11" s="45">
        <v>29541</v>
      </c>
      <c r="W11" s="45" t="s">
        <v>199</v>
      </c>
      <c r="X11" s="45" t="s">
        <v>186</v>
      </c>
      <c r="Y11" s="45" t="s">
        <v>200</v>
      </c>
      <c r="Z11" s="45" t="s">
        <v>199</v>
      </c>
      <c r="AA11" s="45" t="s">
        <v>191</v>
      </c>
      <c r="AB11" s="45" t="s">
        <v>200</v>
      </c>
      <c r="AC11" s="50">
        <v>44132.74622685185</v>
      </c>
      <c r="AD11" s="1" t="s">
        <v>246</v>
      </c>
    </row>
    <row r="12" spans="1:30" hidden="1" x14ac:dyDescent="0.25">
      <c r="A12" s="45" t="s">
        <v>242</v>
      </c>
      <c r="B12" s="46" t="s">
        <v>167</v>
      </c>
      <c r="C12" s="45" t="s">
        <v>186</v>
      </c>
      <c r="D12" s="45" t="s">
        <v>173</v>
      </c>
      <c r="E12" s="45" t="s">
        <v>14</v>
      </c>
      <c r="F12" s="45" t="s">
        <v>168</v>
      </c>
      <c r="G12" s="45">
        <v>531146</v>
      </c>
      <c r="H12" s="45" t="s">
        <v>174</v>
      </c>
      <c r="I12" s="49">
        <v>44208.743738425925</v>
      </c>
      <c r="J12" s="49">
        <v>44213.183622685188</v>
      </c>
      <c r="K12" s="45">
        <v>113560</v>
      </c>
      <c r="L12" s="45">
        <v>35000</v>
      </c>
      <c r="M12" s="45">
        <v>78560</v>
      </c>
      <c r="N12" s="45" t="s">
        <v>197</v>
      </c>
      <c r="O12" s="50">
        <v>44132.688946759263</v>
      </c>
      <c r="P12" s="47">
        <v>4006</v>
      </c>
      <c r="Q12" s="45">
        <v>1</v>
      </c>
      <c r="R12" s="50">
        <v>44131.468900462962</v>
      </c>
      <c r="S12" s="45" t="s">
        <v>205</v>
      </c>
      <c r="T12" s="45">
        <v>46300</v>
      </c>
      <c r="U12" s="45">
        <v>46300</v>
      </c>
      <c r="V12" s="45">
        <v>46270</v>
      </c>
      <c r="W12" s="45" t="s">
        <v>199</v>
      </c>
      <c r="X12" s="45" t="s">
        <v>186</v>
      </c>
      <c r="Y12" s="45" t="s">
        <v>200</v>
      </c>
      <c r="Z12" s="45" t="s">
        <v>199</v>
      </c>
      <c r="AA12" s="45" t="s">
        <v>191</v>
      </c>
      <c r="AB12" s="45" t="s">
        <v>200</v>
      </c>
      <c r="AC12" s="50">
        <v>44132.688946759263</v>
      </c>
      <c r="AD12" s="1" t="s">
        <v>246</v>
      </c>
    </row>
    <row r="13" spans="1:30" hidden="1" x14ac:dyDescent="0.25">
      <c r="A13" s="45" t="s">
        <v>242</v>
      </c>
      <c r="B13" s="46" t="s">
        <v>167</v>
      </c>
      <c r="C13" s="45" t="s">
        <v>186</v>
      </c>
      <c r="D13" s="45" t="s">
        <v>173</v>
      </c>
      <c r="E13" s="45" t="s">
        <v>14</v>
      </c>
      <c r="F13" s="45" t="s">
        <v>168</v>
      </c>
      <c r="G13" s="45">
        <v>8424152</v>
      </c>
      <c r="H13" s="45" t="s">
        <v>169</v>
      </c>
      <c r="I13" s="49">
        <v>44208.736712962964</v>
      </c>
      <c r="J13" s="49">
        <v>44213.183622685188</v>
      </c>
      <c r="K13" s="45">
        <v>125140</v>
      </c>
      <c r="L13" s="45">
        <v>30175</v>
      </c>
      <c r="M13" s="45">
        <v>94965</v>
      </c>
      <c r="N13" s="45" t="s">
        <v>193</v>
      </c>
      <c r="O13" s="50">
        <v>44204.994247685187</v>
      </c>
      <c r="P13" s="47">
        <v>17021</v>
      </c>
      <c r="Q13" s="45">
        <v>1</v>
      </c>
      <c r="R13" s="50">
        <v>44203.613900462966</v>
      </c>
      <c r="S13" s="45" t="s">
        <v>206</v>
      </c>
      <c r="T13" s="45">
        <v>49540</v>
      </c>
      <c r="U13" s="45">
        <v>49540</v>
      </c>
      <c r="V13" s="45">
        <v>49540</v>
      </c>
      <c r="W13" s="45" t="s">
        <v>189</v>
      </c>
      <c r="X13" s="45" t="s">
        <v>186</v>
      </c>
      <c r="Y13" s="45" t="s">
        <v>190</v>
      </c>
      <c r="Z13" s="45" t="s">
        <v>189</v>
      </c>
      <c r="AA13" s="45" t="s">
        <v>191</v>
      </c>
      <c r="AB13" s="45" t="s">
        <v>190</v>
      </c>
      <c r="AC13" s="50">
        <v>44204.994247685187</v>
      </c>
      <c r="AD13" s="1" t="s">
        <v>247</v>
      </c>
    </row>
    <row r="14" spans="1:30" hidden="1" x14ac:dyDescent="0.25">
      <c r="A14" s="45" t="s">
        <v>242</v>
      </c>
      <c r="B14" s="46" t="s">
        <v>167</v>
      </c>
      <c r="C14" s="45" t="s">
        <v>186</v>
      </c>
      <c r="D14" s="45" t="s">
        <v>173</v>
      </c>
      <c r="E14" s="45" t="s">
        <v>14</v>
      </c>
      <c r="F14" s="45" t="s">
        <v>168</v>
      </c>
      <c r="G14" s="45">
        <v>8424152</v>
      </c>
      <c r="H14" s="45" t="s">
        <v>169</v>
      </c>
      <c r="I14" s="49">
        <v>44208.736712962964</v>
      </c>
      <c r="J14" s="49">
        <v>44213.183622685188</v>
      </c>
      <c r="K14" s="45">
        <v>125140</v>
      </c>
      <c r="L14" s="45">
        <v>30175</v>
      </c>
      <c r="M14" s="45">
        <v>94965</v>
      </c>
      <c r="N14" s="45" t="s">
        <v>203</v>
      </c>
      <c r="O14" s="50">
        <v>44200.733113425929</v>
      </c>
      <c r="P14" s="47">
        <v>5691</v>
      </c>
      <c r="Q14" s="45">
        <v>1</v>
      </c>
      <c r="R14" s="50">
        <v>44184.624467592592</v>
      </c>
      <c r="S14" s="45" t="s">
        <v>204</v>
      </c>
      <c r="T14" s="45">
        <v>5700</v>
      </c>
      <c r="U14" s="45">
        <v>5700</v>
      </c>
      <c r="V14" s="45">
        <v>2951</v>
      </c>
      <c r="W14" s="45" t="s">
        <v>199</v>
      </c>
      <c r="X14" s="45" t="s">
        <v>186</v>
      </c>
      <c r="Y14" s="45" t="s">
        <v>200</v>
      </c>
      <c r="Z14" s="45" t="s">
        <v>199</v>
      </c>
      <c r="AA14" s="45" t="s">
        <v>191</v>
      </c>
      <c r="AB14" s="45" t="s">
        <v>200</v>
      </c>
      <c r="AC14" s="50">
        <v>44200.733113425929</v>
      </c>
      <c r="AD14" s="1" t="s">
        <v>247</v>
      </c>
    </row>
    <row r="15" spans="1:30" hidden="1" x14ac:dyDescent="0.25">
      <c r="A15" s="45" t="s">
        <v>242</v>
      </c>
      <c r="B15" s="46" t="s">
        <v>167</v>
      </c>
      <c r="C15" s="45" t="s">
        <v>186</v>
      </c>
      <c r="D15" s="45" t="s">
        <v>173</v>
      </c>
      <c r="E15" s="45" t="s">
        <v>14</v>
      </c>
      <c r="F15" s="45" t="s">
        <v>168</v>
      </c>
      <c r="G15" s="45">
        <v>8424152</v>
      </c>
      <c r="H15" s="45" t="s">
        <v>169</v>
      </c>
      <c r="I15" s="49">
        <v>44208.736712962964</v>
      </c>
      <c r="J15" s="49">
        <v>44213.183622685188</v>
      </c>
      <c r="K15" s="45">
        <v>125140</v>
      </c>
      <c r="L15" s="45">
        <v>30175</v>
      </c>
      <c r="M15" s="45">
        <v>94965</v>
      </c>
      <c r="N15" s="45" t="s">
        <v>193</v>
      </c>
      <c r="O15" s="50">
        <v>44204.843506944446</v>
      </c>
      <c r="P15" s="47">
        <v>17022</v>
      </c>
      <c r="Q15" s="45">
        <v>1</v>
      </c>
      <c r="R15" s="50">
        <v>44203.614907407406</v>
      </c>
      <c r="S15" s="45" t="s">
        <v>194</v>
      </c>
      <c r="T15" s="45">
        <v>48810</v>
      </c>
      <c r="U15" s="45">
        <v>48810</v>
      </c>
      <c r="V15" s="45">
        <v>42474</v>
      </c>
      <c r="W15" s="45" t="s">
        <v>189</v>
      </c>
      <c r="X15" s="45" t="s">
        <v>186</v>
      </c>
      <c r="Y15" s="45" t="s">
        <v>190</v>
      </c>
      <c r="Z15" s="45" t="s">
        <v>189</v>
      </c>
      <c r="AA15" s="45" t="s">
        <v>191</v>
      </c>
      <c r="AB15" s="45" t="s">
        <v>190</v>
      </c>
      <c r="AC15" s="50">
        <v>44204.843506944446</v>
      </c>
      <c r="AD15" s="1" t="s">
        <v>247</v>
      </c>
    </row>
    <row r="16" spans="1:30" hidden="1" x14ac:dyDescent="0.25">
      <c r="A16" s="45" t="s">
        <v>242</v>
      </c>
      <c r="B16" s="46" t="s">
        <v>167</v>
      </c>
      <c r="C16" s="45" t="s">
        <v>186</v>
      </c>
      <c r="D16" s="45" t="s">
        <v>173</v>
      </c>
      <c r="E16" s="45" t="s">
        <v>14</v>
      </c>
      <c r="F16" s="45" t="s">
        <v>168</v>
      </c>
      <c r="G16" s="45">
        <v>8443904</v>
      </c>
      <c r="H16" s="45" t="s">
        <v>174</v>
      </c>
      <c r="I16" s="49">
        <v>44208.749606481484</v>
      </c>
      <c r="J16" s="49">
        <v>44213.183622685188</v>
      </c>
      <c r="K16" s="45">
        <v>125200</v>
      </c>
      <c r="L16" s="45">
        <v>29100</v>
      </c>
      <c r="M16" s="45">
        <v>96100</v>
      </c>
      <c r="N16" s="45" t="s">
        <v>197</v>
      </c>
      <c r="O16" s="50">
        <v>44204.849351851852</v>
      </c>
      <c r="P16" s="47">
        <v>5556</v>
      </c>
      <c r="Q16" s="45">
        <v>1</v>
      </c>
      <c r="R16" s="50">
        <v>44180.687291666669</v>
      </c>
      <c r="S16" s="45" t="s">
        <v>201</v>
      </c>
      <c r="T16" s="45">
        <v>38200</v>
      </c>
      <c r="U16" s="45">
        <v>38200</v>
      </c>
      <c r="V16" s="45">
        <v>13064</v>
      </c>
      <c r="W16" s="45" t="s">
        <v>199</v>
      </c>
      <c r="X16" s="45" t="s">
        <v>186</v>
      </c>
      <c r="Y16" s="45" t="s">
        <v>200</v>
      </c>
      <c r="Z16" s="45" t="s">
        <v>199</v>
      </c>
      <c r="AA16" s="45" t="s">
        <v>191</v>
      </c>
      <c r="AB16" s="45" t="s">
        <v>200</v>
      </c>
      <c r="AC16" s="50">
        <v>44204.849351851852</v>
      </c>
      <c r="AD16" s="1" t="s">
        <v>248</v>
      </c>
    </row>
    <row r="17" spans="1:30" hidden="1" x14ac:dyDescent="0.25">
      <c r="A17" s="45" t="s">
        <v>242</v>
      </c>
      <c r="B17" s="46" t="s">
        <v>167</v>
      </c>
      <c r="C17" s="45" t="s">
        <v>186</v>
      </c>
      <c r="D17" s="45" t="s">
        <v>173</v>
      </c>
      <c r="E17" s="45" t="s">
        <v>14</v>
      </c>
      <c r="F17" s="45" t="s">
        <v>168</v>
      </c>
      <c r="G17" s="45">
        <v>8443904</v>
      </c>
      <c r="H17" s="45" t="s">
        <v>174</v>
      </c>
      <c r="I17" s="49">
        <v>44208.749606481484</v>
      </c>
      <c r="J17" s="49">
        <v>44213.183622685188</v>
      </c>
      <c r="K17" s="45">
        <v>125200</v>
      </c>
      <c r="L17" s="45">
        <v>29100</v>
      </c>
      <c r="M17" s="45">
        <v>96100</v>
      </c>
      <c r="N17" s="45" t="s">
        <v>197</v>
      </c>
      <c r="O17" s="50">
        <v>44146.494988425926</v>
      </c>
      <c r="P17" s="47">
        <v>4024</v>
      </c>
      <c r="Q17" s="45">
        <v>1</v>
      </c>
      <c r="R17" s="50">
        <v>44131.823298611111</v>
      </c>
      <c r="S17" s="45" t="s">
        <v>207</v>
      </c>
      <c r="T17" s="45">
        <v>34820</v>
      </c>
      <c r="U17" s="45">
        <v>34820</v>
      </c>
      <c r="V17" s="45">
        <v>34087</v>
      </c>
      <c r="W17" s="45" t="s">
        <v>199</v>
      </c>
      <c r="X17" s="45" t="s">
        <v>186</v>
      </c>
      <c r="Y17" s="45" t="s">
        <v>200</v>
      </c>
      <c r="Z17" s="45" t="s">
        <v>199</v>
      </c>
      <c r="AA17" s="45" t="s">
        <v>191</v>
      </c>
      <c r="AB17" s="45" t="s">
        <v>200</v>
      </c>
      <c r="AC17" s="50">
        <v>44146.494988425926</v>
      </c>
      <c r="AD17" s="1" t="s">
        <v>248</v>
      </c>
    </row>
    <row r="18" spans="1:30" hidden="1" x14ac:dyDescent="0.25">
      <c r="A18" s="45" t="s">
        <v>242</v>
      </c>
      <c r="B18" s="46" t="s">
        <v>167</v>
      </c>
      <c r="C18" s="45" t="s">
        <v>186</v>
      </c>
      <c r="D18" s="45" t="s">
        <v>173</v>
      </c>
      <c r="E18" s="45" t="s">
        <v>14</v>
      </c>
      <c r="F18" s="45" t="s">
        <v>168</v>
      </c>
      <c r="G18" s="45">
        <v>329096</v>
      </c>
      <c r="H18" s="45" t="s">
        <v>174</v>
      </c>
      <c r="I18" s="49">
        <v>44208.729039351849</v>
      </c>
      <c r="J18" s="49">
        <v>44213.183576388888</v>
      </c>
      <c r="K18" s="45">
        <v>125300</v>
      </c>
      <c r="L18" s="45">
        <v>28740</v>
      </c>
      <c r="M18" s="45">
        <v>96560</v>
      </c>
      <c r="N18" s="45" t="s">
        <v>193</v>
      </c>
      <c r="O18" s="50">
        <v>44201.807199074072</v>
      </c>
      <c r="P18" s="47">
        <v>17010</v>
      </c>
      <c r="Q18" s="45">
        <v>1</v>
      </c>
      <c r="R18" s="50">
        <v>44194.689120370371</v>
      </c>
      <c r="S18" s="45" t="s">
        <v>196</v>
      </c>
      <c r="T18" s="45">
        <v>49080</v>
      </c>
      <c r="U18" s="45">
        <v>49080</v>
      </c>
      <c r="V18" s="45">
        <v>8066</v>
      </c>
      <c r="W18" s="45" t="s">
        <v>189</v>
      </c>
      <c r="X18" s="45" t="s">
        <v>186</v>
      </c>
      <c r="Y18" s="45" t="s">
        <v>190</v>
      </c>
      <c r="Z18" s="45" t="s">
        <v>189</v>
      </c>
      <c r="AA18" s="45" t="s">
        <v>191</v>
      </c>
      <c r="AB18" s="45" t="s">
        <v>190</v>
      </c>
      <c r="AC18" s="50">
        <v>44201.807199074072</v>
      </c>
      <c r="AD18" s="1" t="s">
        <v>249</v>
      </c>
    </row>
    <row r="19" spans="1:30" hidden="1" x14ac:dyDescent="0.25">
      <c r="A19" s="45" t="s">
        <v>242</v>
      </c>
      <c r="B19" s="46" t="s">
        <v>167</v>
      </c>
      <c r="C19" s="45" t="s">
        <v>172</v>
      </c>
      <c r="D19" s="45" t="s">
        <v>173</v>
      </c>
      <c r="E19" s="45" t="s">
        <v>14</v>
      </c>
      <c r="F19" s="45" t="s">
        <v>168</v>
      </c>
      <c r="G19" s="45">
        <v>300080</v>
      </c>
      <c r="H19" s="45" t="s">
        <v>174</v>
      </c>
      <c r="I19" s="49">
        <v>44208.76835648148</v>
      </c>
      <c r="J19" s="49">
        <v>44213.183749999997</v>
      </c>
      <c r="K19" s="45">
        <v>125280</v>
      </c>
      <c r="L19" s="45">
        <v>30700</v>
      </c>
      <c r="M19" s="45">
        <v>94580</v>
      </c>
      <c r="N19" s="45" t="s">
        <v>182</v>
      </c>
      <c r="O19" s="50">
        <v>44199.811273148145</v>
      </c>
      <c r="P19" s="47">
        <v>12799</v>
      </c>
      <c r="Q19" s="45">
        <v>1</v>
      </c>
      <c r="R19" s="50">
        <v>44194.776226851849</v>
      </c>
      <c r="S19" s="45" t="s">
        <v>208</v>
      </c>
      <c r="T19" s="45">
        <v>49100</v>
      </c>
      <c r="U19" s="45">
        <v>49100</v>
      </c>
      <c r="V19" s="45">
        <v>20787</v>
      </c>
      <c r="W19" s="45" t="s">
        <v>183</v>
      </c>
      <c r="X19" s="45" t="s">
        <v>172</v>
      </c>
      <c r="Y19" s="45" t="s">
        <v>184</v>
      </c>
      <c r="Z19" s="45" t="s">
        <v>183</v>
      </c>
      <c r="AA19" s="45" t="s">
        <v>172</v>
      </c>
      <c r="AB19" s="45" t="s">
        <v>184</v>
      </c>
      <c r="AC19" s="45">
        <v>44199.811273148145</v>
      </c>
      <c r="AD19" s="1" t="s">
        <v>250</v>
      </c>
    </row>
    <row r="20" spans="1:30" hidden="1" x14ac:dyDescent="0.25">
      <c r="A20" s="45" t="s">
        <v>242</v>
      </c>
      <c r="B20" s="46" t="s">
        <v>167</v>
      </c>
      <c r="C20" s="45" t="s">
        <v>172</v>
      </c>
      <c r="D20" s="45" t="s">
        <v>173</v>
      </c>
      <c r="E20" s="45" t="s">
        <v>14</v>
      </c>
      <c r="F20" s="45" t="s">
        <v>168</v>
      </c>
      <c r="G20" s="45">
        <v>300080</v>
      </c>
      <c r="H20" s="45" t="s">
        <v>174</v>
      </c>
      <c r="I20" s="49">
        <v>44208.76835648148</v>
      </c>
      <c r="J20" s="49">
        <v>44213.183749999997</v>
      </c>
      <c r="K20" s="45">
        <v>125280</v>
      </c>
      <c r="L20" s="45">
        <v>30700</v>
      </c>
      <c r="M20" s="45">
        <v>94580</v>
      </c>
      <c r="N20" s="45" t="s">
        <v>182</v>
      </c>
      <c r="O20" s="50">
        <v>44199.343969907408</v>
      </c>
      <c r="P20" s="47">
        <v>12797</v>
      </c>
      <c r="Q20" s="45">
        <v>1</v>
      </c>
      <c r="R20" s="50">
        <v>44194.762060185189</v>
      </c>
      <c r="S20" s="45" t="s">
        <v>209</v>
      </c>
      <c r="T20" s="45">
        <v>50400</v>
      </c>
      <c r="U20" s="45">
        <v>50400</v>
      </c>
      <c r="V20" s="45">
        <v>36483</v>
      </c>
      <c r="W20" s="45" t="s">
        <v>183</v>
      </c>
      <c r="X20" s="45" t="s">
        <v>172</v>
      </c>
      <c r="Y20" s="45" t="s">
        <v>184</v>
      </c>
      <c r="Z20" s="45" t="s">
        <v>183</v>
      </c>
      <c r="AA20" s="45" t="s">
        <v>172</v>
      </c>
      <c r="AB20" s="45" t="s">
        <v>184</v>
      </c>
      <c r="AC20" s="45">
        <v>44199.343969907408</v>
      </c>
      <c r="AD20" s="1" t="s">
        <v>250</v>
      </c>
    </row>
    <row r="21" spans="1:30" hidden="1" x14ac:dyDescent="0.25">
      <c r="A21" s="45" t="s">
        <v>242</v>
      </c>
      <c r="B21" s="46" t="s">
        <v>167</v>
      </c>
      <c r="C21" s="45" t="s">
        <v>172</v>
      </c>
      <c r="D21" s="45" t="s">
        <v>173</v>
      </c>
      <c r="E21" s="45" t="s">
        <v>14</v>
      </c>
      <c r="F21" s="45" t="s">
        <v>168</v>
      </c>
      <c r="G21" s="45">
        <v>300080</v>
      </c>
      <c r="H21" s="45" t="s">
        <v>174</v>
      </c>
      <c r="I21" s="49">
        <v>44208.76835648148</v>
      </c>
      <c r="J21" s="49">
        <v>44213.183749999997</v>
      </c>
      <c r="K21" s="45">
        <v>125280</v>
      </c>
      <c r="L21" s="45">
        <v>30700</v>
      </c>
      <c r="M21" s="45">
        <v>94580</v>
      </c>
      <c r="N21" s="45" t="s">
        <v>182</v>
      </c>
      <c r="O21" s="50">
        <v>44199.672673611109</v>
      </c>
      <c r="P21" s="47">
        <v>12793</v>
      </c>
      <c r="Q21" s="45">
        <v>1</v>
      </c>
      <c r="R21" s="50">
        <v>44194.644525462965</v>
      </c>
      <c r="S21" s="45" t="s">
        <v>210</v>
      </c>
      <c r="T21" s="45">
        <v>37340</v>
      </c>
      <c r="U21" s="45">
        <v>37340</v>
      </c>
      <c r="V21" s="45">
        <v>37310</v>
      </c>
      <c r="W21" s="45" t="s">
        <v>183</v>
      </c>
      <c r="X21" s="45" t="s">
        <v>172</v>
      </c>
      <c r="Y21" s="45" t="s">
        <v>184</v>
      </c>
      <c r="Z21" s="45" t="s">
        <v>183</v>
      </c>
      <c r="AA21" s="45" t="s">
        <v>172</v>
      </c>
      <c r="AB21" s="45" t="s">
        <v>184</v>
      </c>
      <c r="AC21" s="45">
        <v>44199.672673611109</v>
      </c>
      <c r="AD21" s="1" t="s">
        <v>250</v>
      </c>
    </row>
    <row r="22" spans="1:30" hidden="1" x14ac:dyDescent="0.25">
      <c r="A22" s="45" t="s">
        <v>242</v>
      </c>
      <c r="B22" s="46" t="s">
        <v>167</v>
      </c>
      <c r="C22" s="45" t="s">
        <v>172</v>
      </c>
      <c r="D22" s="45" t="s">
        <v>173</v>
      </c>
      <c r="E22" s="45" t="s">
        <v>14</v>
      </c>
      <c r="F22" s="45" t="s">
        <v>168</v>
      </c>
      <c r="G22" s="45">
        <v>302201</v>
      </c>
      <c r="H22" s="45" t="s">
        <v>174</v>
      </c>
      <c r="I22" s="49">
        <v>44208.772060185183</v>
      </c>
      <c r="J22" s="49">
        <v>44213.183749999997</v>
      </c>
      <c r="K22" s="45">
        <v>125260</v>
      </c>
      <c r="L22" s="45">
        <v>29984</v>
      </c>
      <c r="M22" s="45">
        <v>95276</v>
      </c>
      <c r="N22" s="45" t="s">
        <v>182</v>
      </c>
      <c r="O22" s="50">
        <v>44199.849166666667</v>
      </c>
      <c r="P22" s="47">
        <v>12780</v>
      </c>
      <c r="Q22" s="45">
        <v>1</v>
      </c>
      <c r="R22" s="50">
        <v>44193.93310185185</v>
      </c>
      <c r="S22" s="45" t="s">
        <v>211</v>
      </c>
      <c r="T22" s="45">
        <v>47280</v>
      </c>
      <c r="U22" s="45">
        <v>47280</v>
      </c>
      <c r="V22" s="45">
        <v>20913</v>
      </c>
      <c r="W22" s="45" t="s">
        <v>183</v>
      </c>
      <c r="X22" s="45" t="s">
        <v>172</v>
      </c>
      <c r="Y22" s="45" t="s">
        <v>184</v>
      </c>
      <c r="Z22" s="45" t="s">
        <v>183</v>
      </c>
      <c r="AA22" s="45" t="s">
        <v>172</v>
      </c>
      <c r="AB22" s="45" t="s">
        <v>184</v>
      </c>
      <c r="AC22" s="45">
        <v>44199.849166666667</v>
      </c>
      <c r="AD22" s="1" t="s">
        <v>251</v>
      </c>
    </row>
    <row r="23" spans="1:30" hidden="1" x14ac:dyDescent="0.25">
      <c r="A23" s="45" t="s">
        <v>242</v>
      </c>
      <c r="B23" s="46" t="s">
        <v>167</v>
      </c>
      <c r="C23" s="45" t="s">
        <v>172</v>
      </c>
      <c r="D23" s="45" t="s">
        <v>173</v>
      </c>
      <c r="E23" s="45" t="s">
        <v>14</v>
      </c>
      <c r="F23" s="45" t="s">
        <v>168</v>
      </c>
      <c r="G23" s="45">
        <v>302201</v>
      </c>
      <c r="H23" s="45" t="s">
        <v>174</v>
      </c>
      <c r="I23" s="49">
        <v>44208.772060185183</v>
      </c>
      <c r="J23" s="49">
        <v>44213.183749999997</v>
      </c>
      <c r="K23" s="45">
        <v>125260</v>
      </c>
      <c r="L23" s="45">
        <v>29984</v>
      </c>
      <c r="M23" s="45">
        <v>95276</v>
      </c>
      <c r="N23" s="45" t="s">
        <v>182</v>
      </c>
      <c r="O23" s="50">
        <v>44199.811273148145</v>
      </c>
      <c r="P23" s="47">
        <v>12799</v>
      </c>
      <c r="Q23" s="45">
        <v>1</v>
      </c>
      <c r="R23" s="50">
        <v>44194.776226851849</v>
      </c>
      <c r="S23" s="45" t="s">
        <v>208</v>
      </c>
      <c r="T23" s="45">
        <v>49100</v>
      </c>
      <c r="U23" s="45">
        <v>49100</v>
      </c>
      <c r="V23" s="45">
        <v>28063</v>
      </c>
      <c r="W23" s="45" t="s">
        <v>183</v>
      </c>
      <c r="X23" s="45" t="s">
        <v>172</v>
      </c>
      <c r="Y23" s="45" t="s">
        <v>184</v>
      </c>
      <c r="Z23" s="45" t="s">
        <v>183</v>
      </c>
      <c r="AA23" s="45" t="s">
        <v>172</v>
      </c>
      <c r="AB23" s="45" t="s">
        <v>184</v>
      </c>
      <c r="AC23" s="45">
        <v>44199.811273148145</v>
      </c>
      <c r="AD23" s="1" t="s">
        <v>251</v>
      </c>
    </row>
    <row r="24" spans="1:30" hidden="1" x14ac:dyDescent="0.25">
      <c r="A24" s="45" t="s">
        <v>242</v>
      </c>
      <c r="B24" s="46" t="s">
        <v>167</v>
      </c>
      <c r="C24" s="45" t="s">
        <v>172</v>
      </c>
      <c r="D24" s="45" t="s">
        <v>173</v>
      </c>
      <c r="E24" s="45" t="s">
        <v>14</v>
      </c>
      <c r="F24" s="45" t="s">
        <v>168</v>
      </c>
      <c r="G24" s="45">
        <v>302201</v>
      </c>
      <c r="H24" s="45" t="s">
        <v>174</v>
      </c>
      <c r="I24" s="49">
        <v>44208.772060185183</v>
      </c>
      <c r="J24" s="49">
        <v>44213.183749999997</v>
      </c>
      <c r="K24" s="45">
        <v>125260</v>
      </c>
      <c r="L24" s="45">
        <v>29984</v>
      </c>
      <c r="M24" s="45">
        <v>95276</v>
      </c>
      <c r="N24" s="45" t="s">
        <v>182</v>
      </c>
      <c r="O24" s="50">
        <v>44199.840381944443</v>
      </c>
      <c r="P24" s="47">
        <v>12814</v>
      </c>
      <c r="Q24" s="45">
        <v>1</v>
      </c>
      <c r="R24" s="50">
        <v>44195.017696759256</v>
      </c>
      <c r="S24" s="45" t="s">
        <v>212</v>
      </c>
      <c r="T24" s="45">
        <v>46320</v>
      </c>
      <c r="U24" s="45">
        <v>46320</v>
      </c>
      <c r="V24" s="45">
        <v>46300</v>
      </c>
      <c r="W24" s="45" t="s">
        <v>183</v>
      </c>
      <c r="X24" s="45" t="s">
        <v>172</v>
      </c>
      <c r="Y24" s="45" t="s">
        <v>184</v>
      </c>
      <c r="Z24" s="45" t="s">
        <v>183</v>
      </c>
      <c r="AA24" s="45" t="s">
        <v>172</v>
      </c>
      <c r="AB24" s="45" t="s">
        <v>184</v>
      </c>
      <c r="AC24" s="45">
        <v>44199.840381944443</v>
      </c>
      <c r="AD24" s="1" t="s">
        <v>251</v>
      </c>
    </row>
    <row r="25" spans="1:30" hidden="1" x14ac:dyDescent="0.25">
      <c r="A25" s="45" t="s">
        <v>242</v>
      </c>
      <c r="B25" s="46" t="s">
        <v>167</v>
      </c>
      <c r="C25" s="45" t="s">
        <v>172</v>
      </c>
      <c r="D25" s="45" t="s">
        <v>173</v>
      </c>
      <c r="E25" s="45" t="s">
        <v>14</v>
      </c>
      <c r="F25" s="45" t="s">
        <v>168</v>
      </c>
      <c r="G25" s="45">
        <v>306321</v>
      </c>
      <c r="H25" s="45" t="s">
        <v>174</v>
      </c>
      <c r="I25" s="49">
        <v>44208.758483796293</v>
      </c>
      <c r="J25" s="49">
        <v>44213.183749999997</v>
      </c>
      <c r="K25" s="45">
        <v>125289</v>
      </c>
      <c r="L25" s="45">
        <v>28770</v>
      </c>
      <c r="M25" s="45">
        <v>96519</v>
      </c>
      <c r="N25" s="45" t="s">
        <v>175</v>
      </c>
      <c r="O25" s="50">
        <v>44204.436909722222</v>
      </c>
      <c r="P25" s="47">
        <v>30581</v>
      </c>
      <c r="Q25" s="45">
        <v>1</v>
      </c>
      <c r="R25" s="50">
        <v>44203.319872685184</v>
      </c>
      <c r="S25" s="45" t="s">
        <v>213</v>
      </c>
      <c r="T25" s="45">
        <v>47410</v>
      </c>
      <c r="U25" s="45">
        <v>47410</v>
      </c>
      <c r="V25" s="45">
        <v>47410</v>
      </c>
      <c r="W25" s="45" t="s">
        <v>176</v>
      </c>
      <c r="X25" s="45" t="s">
        <v>172</v>
      </c>
      <c r="Y25" s="45" t="s">
        <v>177</v>
      </c>
      <c r="Z25" s="45" t="s">
        <v>176</v>
      </c>
      <c r="AA25" s="45" t="s">
        <v>172</v>
      </c>
      <c r="AB25" s="45" t="s">
        <v>177</v>
      </c>
      <c r="AC25" s="45">
        <v>44204.436909722222</v>
      </c>
      <c r="AD25" s="1" t="s">
        <v>252</v>
      </c>
    </row>
    <row r="26" spans="1:30" hidden="1" x14ac:dyDescent="0.25">
      <c r="A26" s="45" t="s">
        <v>242</v>
      </c>
      <c r="B26" s="46" t="s">
        <v>167</v>
      </c>
      <c r="C26" s="45" t="s">
        <v>172</v>
      </c>
      <c r="D26" s="45" t="s">
        <v>173</v>
      </c>
      <c r="E26" s="45" t="s">
        <v>14</v>
      </c>
      <c r="F26" s="45" t="s">
        <v>168</v>
      </c>
      <c r="G26" s="45">
        <v>306321</v>
      </c>
      <c r="H26" s="45" t="s">
        <v>174</v>
      </c>
      <c r="I26" s="49">
        <v>44208.758483796293</v>
      </c>
      <c r="J26" s="49">
        <v>44213.183749999997</v>
      </c>
      <c r="K26" s="45">
        <v>125289</v>
      </c>
      <c r="L26" s="45">
        <v>28770</v>
      </c>
      <c r="M26" s="45">
        <v>96519</v>
      </c>
      <c r="N26" s="45" t="s">
        <v>175</v>
      </c>
      <c r="O26" s="50">
        <v>44203.885960648149</v>
      </c>
      <c r="P26" s="47">
        <v>30577</v>
      </c>
      <c r="Q26" s="45">
        <v>1</v>
      </c>
      <c r="R26" s="50">
        <v>44201.699618055558</v>
      </c>
      <c r="S26" s="45" t="s">
        <v>214</v>
      </c>
      <c r="T26" s="45">
        <v>50410</v>
      </c>
      <c r="U26" s="45">
        <v>50410</v>
      </c>
      <c r="V26" s="45">
        <v>4681</v>
      </c>
      <c r="W26" s="45" t="s">
        <v>176</v>
      </c>
      <c r="X26" s="45" t="s">
        <v>172</v>
      </c>
      <c r="Y26" s="45" t="s">
        <v>177</v>
      </c>
      <c r="Z26" s="45" t="s">
        <v>176</v>
      </c>
      <c r="AA26" s="45" t="s">
        <v>172</v>
      </c>
      <c r="AB26" s="45" t="s">
        <v>177</v>
      </c>
      <c r="AC26" s="45">
        <v>44203.885960648149</v>
      </c>
      <c r="AD26" s="1" t="s">
        <v>252</v>
      </c>
    </row>
    <row r="27" spans="1:30" hidden="1" x14ac:dyDescent="0.25">
      <c r="A27" s="45" t="s">
        <v>242</v>
      </c>
      <c r="B27" s="46" t="s">
        <v>167</v>
      </c>
      <c r="C27" s="45" t="s">
        <v>172</v>
      </c>
      <c r="D27" s="45" t="s">
        <v>173</v>
      </c>
      <c r="E27" s="45" t="s">
        <v>14</v>
      </c>
      <c r="F27" s="45" t="s">
        <v>168</v>
      </c>
      <c r="G27" s="45">
        <v>306321</v>
      </c>
      <c r="H27" s="45" t="s">
        <v>174</v>
      </c>
      <c r="I27" s="49">
        <v>44208.758483796293</v>
      </c>
      <c r="J27" s="49">
        <v>44213.183749999997</v>
      </c>
      <c r="K27" s="45">
        <v>125289</v>
      </c>
      <c r="L27" s="45">
        <v>28770</v>
      </c>
      <c r="M27" s="45">
        <v>96519</v>
      </c>
      <c r="N27" s="45" t="s">
        <v>175</v>
      </c>
      <c r="O27" s="50">
        <v>44204.489618055559</v>
      </c>
      <c r="P27" s="47">
        <v>30582</v>
      </c>
      <c r="Q27" s="45">
        <v>1</v>
      </c>
      <c r="R27" s="50">
        <v>44203.325277777774</v>
      </c>
      <c r="S27" s="45" t="s">
        <v>215</v>
      </c>
      <c r="T27" s="45">
        <v>49090</v>
      </c>
      <c r="U27" s="45">
        <v>49090</v>
      </c>
      <c r="V27" s="45">
        <v>44428</v>
      </c>
      <c r="W27" s="45" t="s">
        <v>176</v>
      </c>
      <c r="X27" s="45" t="s">
        <v>172</v>
      </c>
      <c r="Y27" s="45" t="s">
        <v>177</v>
      </c>
      <c r="Z27" s="45" t="s">
        <v>176</v>
      </c>
      <c r="AA27" s="45" t="s">
        <v>172</v>
      </c>
      <c r="AB27" s="45" t="s">
        <v>177</v>
      </c>
      <c r="AC27" s="45">
        <v>44204.489618055559</v>
      </c>
      <c r="AD27" s="1" t="s">
        <v>252</v>
      </c>
    </row>
    <row r="28" spans="1:30" hidden="1" x14ac:dyDescent="0.25">
      <c r="A28" s="45" t="s">
        <v>242</v>
      </c>
      <c r="B28" s="46" t="s">
        <v>167</v>
      </c>
      <c r="C28" s="45" t="s">
        <v>172</v>
      </c>
      <c r="D28" s="45" t="s">
        <v>173</v>
      </c>
      <c r="E28" s="45" t="s">
        <v>14</v>
      </c>
      <c r="F28" s="45" t="s">
        <v>168</v>
      </c>
      <c r="G28" s="45">
        <v>311481</v>
      </c>
      <c r="H28" s="45" t="s">
        <v>174</v>
      </c>
      <c r="I28" s="49">
        <v>44208.780995370369</v>
      </c>
      <c r="J28" s="49">
        <v>44213.183749999997</v>
      </c>
      <c r="K28" s="45">
        <v>125240</v>
      </c>
      <c r="L28" s="45">
        <v>30500</v>
      </c>
      <c r="M28" s="45">
        <v>94740</v>
      </c>
      <c r="N28" s="45" t="s">
        <v>182</v>
      </c>
      <c r="O28" s="50">
        <v>44201.886770833335</v>
      </c>
      <c r="P28" s="47">
        <v>12810</v>
      </c>
      <c r="Q28" s="45">
        <v>1</v>
      </c>
      <c r="R28" s="50">
        <v>44194.954062500001</v>
      </c>
      <c r="S28" s="45" t="s">
        <v>216</v>
      </c>
      <c r="T28" s="45">
        <v>49260</v>
      </c>
      <c r="U28" s="45">
        <v>49260</v>
      </c>
      <c r="V28" s="45">
        <v>18608</v>
      </c>
      <c r="W28" s="45" t="s">
        <v>183</v>
      </c>
      <c r="X28" s="45" t="s">
        <v>172</v>
      </c>
      <c r="Y28" s="45" t="s">
        <v>184</v>
      </c>
      <c r="Z28" s="45" t="s">
        <v>183</v>
      </c>
      <c r="AA28" s="45" t="s">
        <v>172</v>
      </c>
      <c r="AB28" s="45" t="s">
        <v>184</v>
      </c>
      <c r="AC28" s="45">
        <v>44201.886770833335</v>
      </c>
      <c r="AD28" s="1" t="s">
        <v>253</v>
      </c>
    </row>
    <row r="29" spans="1:30" hidden="1" x14ac:dyDescent="0.25">
      <c r="A29" s="45" t="s">
        <v>242</v>
      </c>
      <c r="B29" s="46" t="s">
        <v>167</v>
      </c>
      <c r="C29" s="45" t="s">
        <v>172</v>
      </c>
      <c r="D29" s="45" t="s">
        <v>173</v>
      </c>
      <c r="E29" s="45" t="s">
        <v>14</v>
      </c>
      <c r="F29" s="45" t="s">
        <v>168</v>
      </c>
      <c r="G29" s="45">
        <v>311481</v>
      </c>
      <c r="H29" s="45" t="s">
        <v>174</v>
      </c>
      <c r="I29" s="49">
        <v>44208.780995370369</v>
      </c>
      <c r="J29" s="49">
        <v>44213.183749999997</v>
      </c>
      <c r="K29" s="45">
        <v>125240</v>
      </c>
      <c r="L29" s="45">
        <v>30500</v>
      </c>
      <c r="M29" s="45">
        <v>94740</v>
      </c>
      <c r="N29" s="45" t="s">
        <v>182</v>
      </c>
      <c r="O29" s="50">
        <v>44200.763437499998</v>
      </c>
      <c r="P29" s="47">
        <v>12789</v>
      </c>
      <c r="Q29" s="45">
        <v>1</v>
      </c>
      <c r="R29" s="50">
        <v>44194.614606481482</v>
      </c>
      <c r="S29" s="45" t="s">
        <v>217</v>
      </c>
      <c r="T29" s="45">
        <v>47580</v>
      </c>
      <c r="U29" s="45">
        <v>47580</v>
      </c>
      <c r="V29" s="45">
        <v>25542</v>
      </c>
      <c r="W29" s="45" t="s">
        <v>183</v>
      </c>
      <c r="X29" s="45" t="s">
        <v>172</v>
      </c>
      <c r="Y29" s="45" t="s">
        <v>184</v>
      </c>
      <c r="Z29" s="45" t="s">
        <v>183</v>
      </c>
      <c r="AA29" s="45" t="s">
        <v>172</v>
      </c>
      <c r="AB29" s="45" t="s">
        <v>184</v>
      </c>
      <c r="AC29" s="45">
        <v>44200.763437499998</v>
      </c>
      <c r="AD29" s="1" t="s">
        <v>253</v>
      </c>
    </row>
    <row r="30" spans="1:30" hidden="1" x14ac:dyDescent="0.25">
      <c r="A30" s="45" t="s">
        <v>242</v>
      </c>
      <c r="B30" s="46" t="s">
        <v>167</v>
      </c>
      <c r="C30" s="45" t="s">
        <v>172</v>
      </c>
      <c r="D30" s="45" t="s">
        <v>173</v>
      </c>
      <c r="E30" s="45" t="s">
        <v>14</v>
      </c>
      <c r="F30" s="45" t="s">
        <v>168</v>
      </c>
      <c r="G30" s="45">
        <v>311481</v>
      </c>
      <c r="H30" s="45" t="s">
        <v>174</v>
      </c>
      <c r="I30" s="49">
        <v>44208.780995370369</v>
      </c>
      <c r="J30" s="49">
        <v>44213.183749999997</v>
      </c>
      <c r="K30" s="45">
        <v>125240</v>
      </c>
      <c r="L30" s="45">
        <v>30500</v>
      </c>
      <c r="M30" s="45">
        <v>94740</v>
      </c>
      <c r="N30" s="45" t="s">
        <v>182</v>
      </c>
      <c r="O30" s="50">
        <v>44200.912118055552</v>
      </c>
      <c r="P30" s="47">
        <v>12805</v>
      </c>
      <c r="Q30" s="45">
        <v>1</v>
      </c>
      <c r="R30" s="50">
        <v>44194.893206018518</v>
      </c>
      <c r="S30" s="45" t="s">
        <v>218</v>
      </c>
      <c r="T30" s="45">
        <v>50680</v>
      </c>
      <c r="U30" s="45">
        <v>50680</v>
      </c>
      <c r="V30" s="45">
        <v>50590</v>
      </c>
      <c r="W30" s="45" t="s">
        <v>183</v>
      </c>
      <c r="X30" s="45" t="s">
        <v>172</v>
      </c>
      <c r="Y30" s="45" t="s">
        <v>184</v>
      </c>
      <c r="Z30" s="45" t="s">
        <v>183</v>
      </c>
      <c r="AA30" s="45" t="s">
        <v>172</v>
      </c>
      <c r="AB30" s="45" t="s">
        <v>184</v>
      </c>
      <c r="AC30" s="45">
        <v>44200.912118055552</v>
      </c>
      <c r="AD30" s="1" t="s">
        <v>253</v>
      </c>
    </row>
    <row r="31" spans="1:30" hidden="1" x14ac:dyDescent="0.25">
      <c r="A31" s="45" t="s">
        <v>242</v>
      </c>
      <c r="B31" s="46" t="s">
        <v>167</v>
      </c>
      <c r="C31" s="45" t="s">
        <v>172</v>
      </c>
      <c r="D31" s="45" t="s">
        <v>173</v>
      </c>
      <c r="E31" s="45" t="s">
        <v>14</v>
      </c>
      <c r="F31" s="45" t="s">
        <v>168</v>
      </c>
      <c r="G31" s="45">
        <v>312363</v>
      </c>
      <c r="H31" s="45" t="s">
        <v>174</v>
      </c>
      <c r="I31" s="49">
        <v>44208.789351851854</v>
      </c>
      <c r="J31" s="49">
        <v>44213.183749999997</v>
      </c>
      <c r="K31" s="45">
        <v>125132</v>
      </c>
      <c r="L31" s="45">
        <v>30400</v>
      </c>
      <c r="M31" s="45">
        <v>94732</v>
      </c>
      <c r="N31" s="45" t="s">
        <v>178</v>
      </c>
      <c r="O31" s="50">
        <v>44199.641493055555</v>
      </c>
      <c r="P31" s="47">
        <v>12073</v>
      </c>
      <c r="Q31" s="45">
        <v>1</v>
      </c>
      <c r="R31" s="50">
        <v>44198.382326388892</v>
      </c>
      <c r="S31" s="45" t="s">
        <v>219</v>
      </c>
      <c r="T31" s="45">
        <v>46220</v>
      </c>
      <c r="U31" s="45">
        <v>46220</v>
      </c>
      <c r="V31" s="45">
        <v>17295</v>
      </c>
      <c r="W31" s="45" t="s">
        <v>179</v>
      </c>
      <c r="X31" s="45" t="s">
        <v>172</v>
      </c>
      <c r="Y31" s="45" t="s">
        <v>180</v>
      </c>
      <c r="Z31" s="45" t="s">
        <v>179</v>
      </c>
      <c r="AA31" s="45" t="s">
        <v>172</v>
      </c>
      <c r="AB31" s="45" t="s">
        <v>180</v>
      </c>
      <c r="AC31" s="45">
        <v>44199.641493055555</v>
      </c>
      <c r="AD31" s="1" t="s">
        <v>254</v>
      </c>
    </row>
    <row r="32" spans="1:30" hidden="1" x14ac:dyDescent="0.25">
      <c r="A32" s="45" t="s">
        <v>242</v>
      </c>
      <c r="B32" s="46" t="s">
        <v>167</v>
      </c>
      <c r="C32" s="45" t="s">
        <v>172</v>
      </c>
      <c r="D32" s="45" t="s">
        <v>173</v>
      </c>
      <c r="E32" s="45" t="s">
        <v>14</v>
      </c>
      <c r="F32" s="45" t="s">
        <v>168</v>
      </c>
      <c r="G32" s="45">
        <v>312363</v>
      </c>
      <c r="H32" s="45" t="s">
        <v>174</v>
      </c>
      <c r="I32" s="49">
        <v>44208.789351851854</v>
      </c>
      <c r="J32" s="49">
        <v>44213.183749999997</v>
      </c>
      <c r="K32" s="45">
        <v>125132</v>
      </c>
      <c r="L32" s="45">
        <v>30400</v>
      </c>
      <c r="M32" s="45">
        <v>94732</v>
      </c>
      <c r="N32" s="45" t="s">
        <v>178</v>
      </c>
      <c r="O32" s="50">
        <v>44200.398217592592</v>
      </c>
      <c r="P32" s="47">
        <v>12017</v>
      </c>
      <c r="Q32" s="45">
        <v>1</v>
      </c>
      <c r="R32" s="50">
        <v>44194.528437499997</v>
      </c>
      <c r="S32" s="45" t="s">
        <v>220</v>
      </c>
      <c r="T32" s="45">
        <v>48780</v>
      </c>
      <c r="U32" s="45">
        <v>48780</v>
      </c>
      <c r="V32" s="45">
        <v>48750</v>
      </c>
      <c r="W32" s="45" t="s">
        <v>179</v>
      </c>
      <c r="X32" s="45" t="s">
        <v>172</v>
      </c>
      <c r="Y32" s="45" t="s">
        <v>180</v>
      </c>
      <c r="Z32" s="45" t="s">
        <v>179</v>
      </c>
      <c r="AA32" s="45" t="s">
        <v>172</v>
      </c>
      <c r="AB32" s="45" t="s">
        <v>180</v>
      </c>
      <c r="AC32" s="45">
        <v>44200.398217592592</v>
      </c>
      <c r="AD32" s="1" t="s">
        <v>254</v>
      </c>
    </row>
    <row r="33" spans="1:30" hidden="1" x14ac:dyDescent="0.25">
      <c r="A33" s="45" t="s">
        <v>242</v>
      </c>
      <c r="B33" s="46" t="s">
        <v>167</v>
      </c>
      <c r="C33" s="45" t="s">
        <v>172</v>
      </c>
      <c r="D33" s="45" t="s">
        <v>173</v>
      </c>
      <c r="E33" s="45" t="s">
        <v>14</v>
      </c>
      <c r="F33" s="45" t="s">
        <v>168</v>
      </c>
      <c r="G33" s="45">
        <v>312363</v>
      </c>
      <c r="H33" s="45" t="s">
        <v>174</v>
      </c>
      <c r="I33" s="49">
        <v>44208.789351851854</v>
      </c>
      <c r="J33" s="49">
        <v>44213.183749999997</v>
      </c>
      <c r="K33" s="45">
        <v>125132</v>
      </c>
      <c r="L33" s="45">
        <v>30400</v>
      </c>
      <c r="M33" s="45">
        <v>94732</v>
      </c>
      <c r="N33" s="45" t="s">
        <v>178</v>
      </c>
      <c r="O33" s="50">
        <v>44200.399375000001</v>
      </c>
      <c r="P33" s="47">
        <v>12076</v>
      </c>
      <c r="Q33" s="45">
        <v>1</v>
      </c>
      <c r="R33" s="50">
        <v>44198.389062499999</v>
      </c>
      <c r="S33" s="45" t="s">
        <v>221</v>
      </c>
      <c r="T33" s="45">
        <v>49340</v>
      </c>
      <c r="U33" s="45">
        <v>49340</v>
      </c>
      <c r="V33" s="45">
        <v>28687</v>
      </c>
      <c r="W33" s="45" t="s">
        <v>179</v>
      </c>
      <c r="X33" s="45" t="s">
        <v>172</v>
      </c>
      <c r="Y33" s="45" t="s">
        <v>180</v>
      </c>
      <c r="Z33" s="45" t="s">
        <v>179</v>
      </c>
      <c r="AA33" s="45" t="s">
        <v>172</v>
      </c>
      <c r="AB33" s="45" t="s">
        <v>180</v>
      </c>
      <c r="AC33" s="45">
        <v>44200.399375000001</v>
      </c>
      <c r="AD33" s="1" t="s">
        <v>254</v>
      </c>
    </row>
    <row r="34" spans="1:30" hidden="1" x14ac:dyDescent="0.25">
      <c r="A34" s="45" t="s">
        <v>242</v>
      </c>
      <c r="B34" s="46" t="s">
        <v>167</v>
      </c>
      <c r="C34" s="45" t="s">
        <v>172</v>
      </c>
      <c r="D34" s="45" t="s">
        <v>173</v>
      </c>
      <c r="E34" s="45" t="s">
        <v>14</v>
      </c>
      <c r="F34" s="45" t="s">
        <v>168</v>
      </c>
      <c r="G34" s="45">
        <v>326763</v>
      </c>
      <c r="H34" s="45" t="s">
        <v>174</v>
      </c>
      <c r="I34" s="49">
        <v>44208.785567129627</v>
      </c>
      <c r="J34" s="49">
        <v>44213.183749999997</v>
      </c>
      <c r="K34" s="45">
        <v>125240</v>
      </c>
      <c r="L34" s="45">
        <v>28653</v>
      </c>
      <c r="M34" s="45">
        <v>96587</v>
      </c>
      <c r="N34" s="45" t="s">
        <v>178</v>
      </c>
      <c r="O34" s="50">
        <v>44199.641493055555</v>
      </c>
      <c r="P34" s="47">
        <v>12073</v>
      </c>
      <c r="Q34" s="45">
        <v>1</v>
      </c>
      <c r="R34" s="50">
        <v>44198.382326388892</v>
      </c>
      <c r="S34" s="45" t="s">
        <v>219</v>
      </c>
      <c r="T34" s="45">
        <v>46220</v>
      </c>
      <c r="U34" s="45">
        <v>46220</v>
      </c>
      <c r="V34" s="45">
        <v>28885</v>
      </c>
      <c r="W34" s="45" t="s">
        <v>179</v>
      </c>
      <c r="X34" s="45" t="s">
        <v>172</v>
      </c>
      <c r="Y34" s="45" t="s">
        <v>180</v>
      </c>
      <c r="Z34" s="45" t="s">
        <v>179</v>
      </c>
      <c r="AA34" s="45" t="s">
        <v>172</v>
      </c>
      <c r="AB34" s="45" t="s">
        <v>180</v>
      </c>
      <c r="AC34" s="45">
        <v>44199.641493055555</v>
      </c>
      <c r="AD34" s="1" t="s">
        <v>255</v>
      </c>
    </row>
    <row r="35" spans="1:30" hidden="1" x14ac:dyDescent="0.25">
      <c r="A35" s="45" t="s">
        <v>242</v>
      </c>
      <c r="B35" s="46" t="s">
        <v>167</v>
      </c>
      <c r="C35" s="45" t="s">
        <v>172</v>
      </c>
      <c r="D35" s="45" t="s">
        <v>173</v>
      </c>
      <c r="E35" s="45" t="s">
        <v>14</v>
      </c>
      <c r="F35" s="45" t="s">
        <v>168</v>
      </c>
      <c r="G35" s="45">
        <v>326763</v>
      </c>
      <c r="H35" s="45" t="s">
        <v>174</v>
      </c>
      <c r="I35" s="49">
        <v>44208.785567129627</v>
      </c>
      <c r="J35" s="49">
        <v>44213.183749999997</v>
      </c>
      <c r="K35" s="45">
        <v>125240</v>
      </c>
      <c r="L35" s="45">
        <v>28653</v>
      </c>
      <c r="M35" s="45">
        <v>96587</v>
      </c>
      <c r="N35" s="45" t="s">
        <v>178</v>
      </c>
      <c r="O35" s="50">
        <v>44199.147800925923</v>
      </c>
      <c r="P35" s="47">
        <v>11973</v>
      </c>
      <c r="Q35" s="45">
        <v>1</v>
      </c>
      <c r="R35" s="50">
        <v>44193.680694444447</v>
      </c>
      <c r="S35" s="45" t="s">
        <v>222</v>
      </c>
      <c r="T35" s="45">
        <v>37340</v>
      </c>
      <c r="U35" s="45">
        <v>37340</v>
      </c>
      <c r="V35" s="45">
        <v>37260</v>
      </c>
      <c r="W35" s="45" t="s">
        <v>179</v>
      </c>
      <c r="X35" s="45" t="s">
        <v>172</v>
      </c>
      <c r="Y35" s="45" t="s">
        <v>180</v>
      </c>
      <c r="Z35" s="45" t="s">
        <v>179</v>
      </c>
      <c r="AA35" s="45" t="s">
        <v>172</v>
      </c>
      <c r="AB35" s="45" t="s">
        <v>180</v>
      </c>
      <c r="AC35" s="45">
        <v>44199.147800925923</v>
      </c>
      <c r="AD35" s="1" t="s">
        <v>255</v>
      </c>
    </row>
    <row r="36" spans="1:30" hidden="1" x14ac:dyDescent="0.25">
      <c r="A36" s="45" t="s">
        <v>242</v>
      </c>
      <c r="B36" s="46" t="s">
        <v>167</v>
      </c>
      <c r="C36" s="45" t="s">
        <v>172</v>
      </c>
      <c r="D36" s="45" t="s">
        <v>173</v>
      </c>
      <c r="E36" s="45" t="s">
        <v>14</v>
      </c>
      <c r="F36" s="45" t="s">
        <v>168</v>
      </c>
      <c r="G36" s="45">
        <v>326763</v>
      </c>
      <c r="H36" s="45" t="s">
        <v>174</v>
      </c>
      <c r="I36" s="49">
        <v>44208.785567129627</v>
      </c>
      <c r="J36" s="49">
        <v>44213.183749999997</v>
      </c>
      <c r="K36" s="45">
        <v>125240</v>
      </c>
      <c r="L36" s="45">
        <v>28653</v>
      </c>
      <c r="M36" s="45">
        <v>96587</v>
      </c>
      <c r="N36" s="45" t="s">
        <v>182</v>
      </c>
      <c r="O36" s="50">
        <v>44201.886770833335</v>
      </c>
      <c r="P36" s="47">
        <v>12810</v>
      </c>
      <c r="Q36" s="45">
        <v>1</v>
      </c>
      <c r="R36" s="50">
        <v>44194.954062500001</v>
      </c>
      <c r="S36" s="45" t="s">
        <v>216</v>
      </c>
      <c r="T36" s="45">
        <v>49260</v>
      </c>
      <c r="U36" s="45">
        <v>49260</v>
      </c>
      <c r="V36" s="45">
        <v>30442</v>
      </c>
      <c r="W36" s="45" t="s">
        <v>183</v>
      </c>
      <c r="X36" s="45" t="s">
        <v>172</v>
      </c>
      <c r="Y36" s="45" t="s">
        <v>184</v>
      </c>
      <c r="Z36" s="45" t="s">
        <v>183</v>
      </c>
      <c r="AA36" s="45" t="s">
        <v>172</v>
      </c>
      <c r="AB36" s="45" t="s">
        <v>184</v>
      </c>
      <c r="AC36" s="45">
        <v>44201.886770833335</v>
      </c>
      <c r="AD36" s="1" t="s">
        <v>255</v>
      </c>
    </row>
    <row r="37" spans="1:30" hidden="1" x14ac:dyDescent="0.25">
      <c r="A37" s="45" t="s">
        <v>242</v>
      </c>
      <c r="B37" s="46" t="s">
        <v>167</v>
      </c>
      <c r="C37" s="45" t="s">
        <v>172</v>
      </c>
      <c r="D37" s="45" t="s">
        <v>173</v>
      </c>
      <c r="E37" s="45" t="s">
        <v>14</v>
      </c>
      <c r="F37" s="45" t="s">
        <v>168</v>
      </c>
      <c r="G37" s="45">
        <v>328898</v>
      </c>
      <c r="H37" s="45" t="s">
        <v>174</v>
      </c>
      <c r="I37" s="49">
        <v>44208.798761574071</v>
      </c>
      <c r="J37" s="49">
        <v>44213.183749999997</v>
      </c>
      <c r="K37" s="45">
        <v>125279</v>
      </c>
      <c r="L37" s="45">
        <v>28781</v>
      </c>
      <c r="M37" s="45">
        <v>96498</v>
      </c>
      <c r="N37" s="45" t="s">
        <v>178</v>
      </c>
      <c r="O37" s="50">
        <v>44200.601435185185</v>
      </c>
      <c r="P37" s="47">
        <v>12075</v>
      </c>
      <c r="Q37" s="45">
        <v>1</v>
      </c>
      <c r="R37" s="50">
        <v>44198.387407407405</v>
      </c>
      <c r="S37" s="45" t="s">
        <v>223</v>
      </c>
      <c r="T37" s="45">
        <v>49960</v>
      </c>
      <c r="U37" s="45">
        <v>49960</v>
      </c>
      <c r="V37" s="45">
        <v>38125</v>
      </c>
      <c r="W37" s="45" t="s">
        <v>179</v>
      </c>
      <c r="X37" s="45" t="s">
        <v>172</v>
      </c>
      <c r="Y37" s="45" t="s">
        <v>180</v>
      </c>
      <c r="Z37" s="45" t="s">
        <v>179</v>
      </c>
      <c r="AA37" s="45" t="s">
        <v>172</v>
      </c>
      <c r="AB37" s="45" t="s">
        <v>180</v>
      </c>
      <c r="AC37" s="45">
        <v>44200.601435185185</v>
      </c>
      <c r="AD37" s="1" t="s">
        <v>256</v>
      </c>
    </row>
    <row r="38" spans="1:30" hidden="1" x14ac:dyDescent="0.25">
      <c r="A38" s="45" t="s">
        <v>242</v>
      </c>
      <c r="B38" s="46" t="s">
        <v>167</v>
      </c>
      <c r="C38" s="45" t="s">
        <v>172</v>
      </c>
      <c r="D38" s="45" t="s">
        <v>173</v>
      </c>
      <c r="E38" s="45" t="s">
        <v>14</v>
      </c>
      <c r="F38" s="45" t="s">
        <v>168</v>
      </c>
      <c r="G38" s="45">
        <v>328898</v>
      </c>
      <c r="H38" s="45" t="s">
        <v>174</v>
      </c>
      <c r="I38" s="49">
        <v>44208.798761574071</v>
      </c>
      <c r="J38" s="49">
        <v>44213.183749999997</v>
      </c>
      <c r="K38" s="45">
        <v>125279</v>
      </c>
      <c r="L38" s="45">
        <v>28781</v>
      </c>
      <c r="M38" s="45">
        <v>96498</v>
      </c>
      <c r="N38" s="45" t="s">
        <v>178</v>
      </c>
      <c r="O38" s="50">
        <v>44200.461851851855</v>
      </c>
      <c r="P38" s="47">
        <v>12090</v>
      </c>
      <c r="Q38" s="45">
        <v>1</v>
      </c>
      <c r="R38" s="50">
        <v>44198.483229166668</v>
      </c>
      <c r="S38" s="45" t="s">
        <v>224</v>
      </c>
      <c r="T38" s="45">
        <v>31540</v>
      </c>
      <c r="U38" s="45">
        <v>31540</v>
      </c>
      <c r="V38" s="45">
        <v>31490</v>
      </c>
      <c r="W38" s="45" t="s">
        <v>179</v>
      </c>
      <c r="X38" s="45" t="s">
        <v>172</v>
      </c>
      <c r="Y38" s="45" t="s">
        <v>180</v>
      </c>
      <c r="Z38" s="45" t="s">
        <v>179</v>
      </c>
      <c r="AA38" s="45" t="s">
        <v>172</v>
      </c>
      <c r="AB38" s="45" t="s">
        <v>180</v>
      </c>
      <c r="AC38" s="45">
        <v>44200.461851851855</v>
      </c>
      <c r="AD38" s="1" t="s">
        <v>256</v>
      </c>
    </row>
    <row r="39" spans="1:30" hidden="1" x14ac:dyDescent="0.25">
      <c r="A39" s="45" t="s">
        <v>242</v>
      </c>
      <c r="B39" s="46" t="s">
        <v>167</v>
      </c>
      <c r="C39" s="45" t="s">
        <v>172</v>
      </c>
      <c r="D39" s="45" t="s">
        <v>173</v>
      </c>
      <c r="E39" s="45" t="s">
        <v>14</v>
      </c>
      <c r="F39" s="45" t="s">
        <v>168</v>
      </c>
      <c r="G39" s="45">
        <v>328898</v>
      </c>
      <c r="H39" s="45" t="s">
        <v>174</v>
      </c>
      <c r="I39" s="49">
        <v>44208.798761574071</v>
      </c>
      <c r="J39" s="49">
        <v>44213.183749999997</v>
      </c>
      <c r="K39" s="45">
        <v>125279</v>
      </c>
      <c r="L39" s="45">
        <v>28781</v>
      </c>
      <c r="M39" s="45">
        <v>96498</v>
      </c>
      <c r="N39" s="45" t="s">
        <v>178</v>
      </c>
      <c r="O39" s="50">
        <v>44200.454108796293</v>
      </c>
      <c r="P39" s="47">
        <v>11984</v>
      </c>
      <c r="Q39" s="45">
        <v>1</v>
      </c>
      <c r="R39" s="50">
        <v>44193.77076388889</v>
      </c>
      <c r="S39" s="45" t="s">
        <v>225</v>
      </c>
      <c r="T39" s="45">
        <v>50200</v>
      </c>
      <c r="U39" s="45">
        <v>50200</v>
      </c>
      <c r="V39" s="45">
        <v>26883</v>
      </c>
      <c r="W39" s="45" t="s">
        <v>179</v>
      </c>
      <c r="X39" s="45" t="s">
        <v>172</v>
      </c>
      <c r="Y39" s="45" t="s">
        <v>180</v>
      </c>
      <c r="Z39" s="45" t="s">
        <v>179</v>
      </c>
      <c r="AA39" s="45" t="s">
        <v>172</v>
      </c>
      <c r="AB39" s="45" t="s">
        <v>180</v>
      </c>
      <c r="AC39" s="45">
        <v>44200.454108796293</v>
      </c>
      <c r="AD39" s="1" t="s">
        <v>256</v>
      </c>
    </row>
    <row r="40" spans="1:30" hidden="1" x14ac:dyDescent="0.25">
      <c r="A40" s="45" t="s">
        <v>242</v>
      </c>
      <c r="B40" s="46" t="s">
        <v>167</v>
      </c>
      <c r="C40" s="45" t="s">
        <v>172</v>
      </c>
      <c r="D40" s="45" t="s">
        <v>173</v>
      </c>
      <c r="E40" s="45" t="s">
        <v>14</v>
      </c>
      <c r="F40" s="45" t="s">
        <v>168</v>
      </c>
      <c r="G40" s="45">
        <v>536814</v>
      </c>
      <c r="H40" s="45" t="s">
        <v>169</v>
      </c>
      <c r="I40" s="49">
        <v>44208.761932870373</v>
      </c>
      <c r="J40" s="49">
        <v>44213.183749999997</v>
      </c>
      <c r="K40" s="45">
        <v>125220</v>
      </c>
      <c r="L40" s="45">
        <v>28640</v>
      </c>
      <c r="M40" s="45">
        <v>96580</v>
      </c>
      <c r="N40" s="45" t="s">
        <v>182</v>
      </c>
      <c r="O40" s="50">
        <v>44198.954282407409</v>
      </c>
      <c r="P40" s="47">
        <v>12795</v>
      </c>
      <c r="Q40" s="45">
        <v>1</v>
      </c>
      <c r="R40" s="50">
        <v>44194.678217592591</v>
      </c>
      <c r="S40" s="45" t="s">
        <v>226</v>
      </c>
      <c r="T40" s="45">
        <v>38140</v>
      </c>
      <c r="U40" s="45">
        <v>38140</v>
      </c>
      <c r="V40" s="45">
        <v>5238</v>
      </c>
      <c r="W40" s="45" t="s">
        <v>183</v>
      </c>
      <c r="X40" s="45" t="s">
        <v>172</v>
      </c>
      <c r="Y40" s="45" t="s">
        <v>184</v>
      </c>
      <c r="Z40" s="45" t="s">
        <v>183</v>
      </c>
      <c r="AA40" s="45" t="s">
        <v>172</v>
      </c>
      <c r="AB40" s="45" t="s">
        <v>184</v>
      </c>
      <c r="AC40" s="45">
        <v>44198.954282407409</v>
      </c>
      <c r="AD40" s="1" t="s">
        <v>257</v>
      </c>
    </row>
    <row r="41" spans="1:30" hidden="1" x14ac:dyDescent="0.25">
      <c r="A41" s="45" t="s">
        <v>242</v>
      </c>
      <c r="B41" s="46" t="s">
        <v>167</v>
      </c>
      <c r="C41" s="45" t="s">
        <v>172</v>
      </c>
      <c r="D41" s="45" t="s">
        <v>173</v>
      </c>
      <c r="E41" s="45" t="s">
        <v>14</v>
      </c>
      <c r="F41" s="45" t="s">
        <v>168</v>
      </c>
      <c r="G41" s="45">
        <v>536814</v>
      </c>
      <c r="H41" s="45" t="s">
        <v>169</v>
      </c>
      <c r="I41" s="49">
        <v>44208.761932870373</v>
      </c>
      <c r="J41" s="49">
        <v>44213.183749999997</v>
      </c>
      <c r="K41" s="45">
        <v>125220</v>
      </c>
      <c r="L41" s="45">
        <v>28640</v>
      </c>
      <c r="M41" s="45">
        <v>96580</v>
      </c>
      <c r="N41" s="45" t="s">
        <v>182</v>
      </c>
      <c r="O41" s="50">
        <v>44198.943599537037</v>
      </c>
      <c r="P41" s="47">
        <v>12798</v>
      </c>
      <c r="Q41" s="45">
        <v>1</v>
      </c>
      <c r="R41" s="50">
        <v>44194.773159722223</v>
      </c>
      <c r="S41" s="45" t="s">
        <v>227</v>
      </c>
      <c r="T41" s="45">
        <v>37540</v>
      </c>
      <c r="U41" s="45">
        <v>37540</v>
      </c>
      <c r="V41" s="45">
        <v>37500</v>
      </c>
      <c r="W41" s="45" t="s">
        <v>183</v>
      </c>
      <c r="X41" s="45" t="s">
        <v>172</v>
      </c>
      <c r="Y41" s="45" t="s">
        <v>184</v>
      </c>
      <c r="Z41" s="45" t="s">
        <v>183</v>
      </c>
      <c r="AA41" s="45" t="s">
        <v>172</v>
      </c>
      <c r="AB41" s="45" t="s">
        <v>184</v>
      </c>
      <c r="AC41" s="45">
        <v>44198.943599537037</v>
      </c>
      <c r="AD41" s="1" t="s">
        <v>257</v>
      </c>
    </row>
    <row r="42" spans="1:30" hidden="1" x14ac:dyDescent="0.25">
      <c r="A42" s="45" t="s">
        <v>242</v>
      </c>
      <c r="B42" s="46" t="s">
        <v>167</v>
      </c>
      <c r="C42" s="45" t="s">
        <v>172</v>
      </c>
      <c r="D42" s="45" t="s">
        <v>173</v>
      </c>
      <c r="E42" s="45" t="s">
        <v>14</v>
      </c>
      <c r="F42" s="45" t="s">
        <v>168</v>
      </c>
      <c r="G42" s="45">
        <v>536814</v>
      </c>
      <c r="H42" s="45" t="s">
        <v>169</v>
      </c>
      <c r="I42" s="49">
        <v>44208.761932870373</v>
      </c>
      <c r="J42" s="49">
        <v>44213.183749999997</v>
      </c>
      <c r="K42" s="45">
        <v>125220</v>
      </c>
      <c r="L42" s="45">
        <v>28640</v>
      </c>
      <c r="M42" s="45">
        <v>96580</v>
      </c>
      <c r="N42" s="45" t="s">
        <v>175</v>
      </c>
      <c r="O42" s="50">
        <v>44204.499907407408</v>
      </c>
      <c r="P42" s="47">
        <v>30580</v>
      </c>
      <c r="Q42" s="45">
        <v>1</v>
      </c>
      <c r="R42" s="50">
        <v>44203.316423611112</v>
      </c>
      <c r="S42" s="45" t="s">
        <v>228</v>
      </c>
      <c r="T42" s="45">
        <v>49390</v>
      </c>
      <c r="U42" s="45">
        <v>49390</v>
      </c>
      <c r="V42" s="45">
        <v>49260</v>
      </c>
      <c r="W42" s="45" t="s">
        <v>176</v>
      </c>
      <c r="X42" s="45" t="s">
        <v>172</v>
      </c>
      <c r="Y42" s="45" t="s">
        <v>177</v>
      </c>
      <c r="Z42" s="45" t="s">
        <v>176</v>
      </c>
      <c r="AA42" s="45" t="s">
        <v>172</v>
      </c>
      <c r="AB42" s="45" t="s">
        <v>177</v>
      </c>
      <c r="AC42" s="45">
        <v>44204.499907407408</v>
      </c>
      <c r="AD42" s="1" t="s">
        <v>257</v>
      </c>
    </row>
    <row r="43" spans="1:30" hidden="1" x14ac:dyDescent="0.25">
      <c r="A43" s="45" t="s">
        <v>242</v>
      </c>
      <c r="B43" s="46" t="s">
        <v>167</v>
      </c>
      <c r="C43" s="45" t="s">
        <v>172</v>
      </c>
      <c r="D43" s="45" t="s">
        <v>173</v>
      </c>
      <c r="E43" s="45" t="s">
        <v>14</v>
      </c>
      <c r="F43" s="45" t="s">
        <v>168</v>
      </c>
      <c r="G43" s="45">
        <v>536814</v>
      </c>
      <c r="H43" s="45" t="s">
        <v>169</v>
      </c>
      <c r="I43" s="49">
        <v>44208.761932870373</v>
      </c>
      <c r="J43" s="49">
        <v>44213.183749999997</v>
      </c>
      <c r="K43" s="45">
        <v>125220</v>
      </c>
      <c r="L43" s="45">
        <v>28640</v>
      </c>
      <c r="M43" s="45">
        <v>96580</v>
      </c>
      <c r="N43" s="45" t="s">
        <v>175</v>
      </c>
      <c r="O43" s="50">
        <v>44204.489618055559</v>
      </c>
      <c r="P43" s="47">
        <v>30582</v>
      </c>
      <c r="Q43" s="45">
        <v>1</v>
      </c>
      <c r="R43" s="50">
        <v>44203.325277777774</v>
      </c>
      <c r="S43" s="45" t="s">
        <v>215</v>
      </c>
      <c r="T43" s="45">
        <v>49090</v>
      </c>
      <c r="U43" s="45">
        <v>49090</v>
      </c>
      <c r="V43" s="45">
        <v>4582</v>
      </c>
      <c r="W43" s="45" t="s">
        <v>176</v>
      </c>
      <c r="X43" s="45" t="s">
        <v>172</v>
      </c>
      <c r="Y43" s="45" t="s">
        <v>177</v>
      </c>
      <c r="Z43" s="45" t="s">
        <v>176</v>
      </c>
      <c r="AA43" s="45" t="s">
        <v>172</v>
      </c>
      <c r="AB43" s="45" t="s">
        <v>177</v>
      </c>
      <c r="AC43" s="45">
        <v>44204.489618055559</v>
      </c>
      <c r="AD43" s="1" t="s">
        <v>257</v>
      </c>
    </row>
    <row r="44" spans="1:30" x14ac:dyDescent="0.25">
      <c r="A44" s="45" t="s">
        <v>242</v>
      </c>
      <c r="B44" s="46" t="s">
        <v>167</v>
      </c>
      <c r="C44" s="45" t="s">
        <v>172</v>
      </c>
      <c r="D44" s="45" t="s">
        <v>173</v>
      </c>
      <c r="E44" s="45" t="s">
        <v>14</v>
      </c>
      <c r="F44" s="45" t="s">
        <v>168</v>
      </c>
      <c r="G44" s="45">
        <v>908738</v>
      </c>
      <c r="H44" s="45" t="s">
        <v>169</v>
      </c>
      <c r="I44" s="49">
        <v>44208.81113425926</v>
      </c>
      <c r="J44" s="49">
        <v>44213.183749999997</v>
      </c>
      <c r="K44" s="45">
        <v>120560</v>
      </c>
      <c r="L44" s="45">
        <v>24820</v>
      </c>
      <c r="M44" s="45">
        <v>95740</v>
      </c>
      <c r="N44" s="45" t="s">
        <v>229</v>
      </c>
      <c r="O44" s="50">
        <v>44200.713576388887</v>
      </c>
      <c r="P44" s="47">
        <v>12812</v>
      </c>
      <c r="Q44" s="45">
        <v>1</v>
      </c>
      <c r="R44" s="50">
        <v>44184.463055555556</v>
      </c>
      <c r="S44" s="45" t="s">
        <v>230</v>
      </c>
      <c r="T44" s="45">
        <v>43980</v>
      </c>
      <c r="U44" s="45">
        <v>43980</v>
      </c>
      <c r="V44" s="45">
        <v>16563</v>
      </c>
      <c r="W44" s="45" t="s">
        <v>231</v>
      </c>
      <c r="X44" s="45" t="s">
        <v>172</v>
      </c>
      <c r="Y44" s="45" t="s">
        <v>232</v>
      </c>
      <c r="Z44" s="45" t="s">
        <v>231</v>
      </c>
      <c r="AA44" s="45" t="s">
        <v>172</v>
      </c>
      <c r="AB44" s="45" t="s">
        <v>232</v>
      </c>
      <c r="AC44" s="45">
        <v>44200.713576388887</v>
      </c>
      <c r="AD44" s="1" t="s">
        <v>258</v>
      </c>
    </row>
    <row r="45" spans="1:30" hidden="1" x14ac:dyDescent="0.25">
      <c r="A45" s="45" t="s">
        <v>242</v>
      </c>
      <c r="B45" s="46" t="s">
        <v>167</v>
      </c>
      <c r="C45" s="45" t="s">
        <v>172</v>
      </c>
      <c r="D45" s="45" t="s">
        <v>173</v>
      </c>
      <c r="E45" s="45" t="s">
        <v>14</v>
      </c>
      <c r="F45" s="45" t="s">
        <v>168</v>
      </c>
      <c r="G45" s="45">
        <v>908738</v>
      </c>
      <c r="H45" s="45" t="s">
        <v>169</v>
      </c>
      <c r="I45" s="49">
        <v>44208.81113425926</v>
      </c>
      <c r="J45" s="49">
        <v>44213.183749999997</v>
      </c>
      <c r="K45" s="45">
        <v>120560</v>
      </c>
      <c r="L45" s="45">
        <v>24820</v>
      </c>
      <c r="M45" s="45">
        <v>95740</v>
      </c>
      <c r="N45" s="45" t="s">
        <v>178</v>
      </c>
      <c r="O45" s="50">
        <v>44204.52611111111</v>
      </c>
      <c r="P45" s="47">
        <v>12124</v>
      </c>
      <c r="Q45" s="45">
        <v>1</v>
      </c>
      <c r="R45" s="50">
        <v>44203.653275462966</v>
      </c>
      <c r="S45" s="45" t="s">
        <v>181</v>
      </c>
      <c r="T45" s="45">
        <v>37800</v>
      </c>
      <c r="U45" s="45">
        <v>37800</v>
      </c>
      <c r="V45" s="45">
        <v>13139</v>
      </c>
      <c r="W45" s="45" t="s">
        <v>179</v>
      </c>
      <c r="X45" s="45" t="s">
        <v>172</v>
      </c>
      <c r="Y45" s="45" t="s">
        <v>180</v>
      </c>
      <c r="Z45" s="45" t="s">
        <v>179</v>
      </c>
      <c r="AA45" s="45" t="s">
        <v>172</v>
      </c>
      <c r="AB45" s="45" t="s">
        <v>180</v>
      </c>
      <c r="AC45" s="45">
        <v>44204.52611111111</v>
      </c>
      <c r="AD45" s="1" t="s">
        <v>258</v>
      </c>
    </row>
    <row r="46" spans="1:30" hidden="1" x14ac:dyDescent="0.25">
      <c r="A46" s="45" t="s">
        <v>242</v>
      </c>
      <c r="B46" s="46" t="s">
        <v>167</v>
      </c>
      <c r="C46" s="45" t="s">
        <v>172</v>
      </c>
      <c r="D46" s="45" t="s">
        <v>173</v>
      </c>
      <c r="E46" s="45" t="s">
        <v>14</v>
      </c>
      <c r="F46" s="45" t="s">
        <v>168</v>
      </c>
      <c r="G46" s="45">
        <v>908738</v>
      </c>
      <c r="H46" s="45" t="s">
        <v>169</v>
      </c>
      <c r="I46" s="49">
        <v>44208.81113425926</v>
      </c>
      <c r="J46" s="49">
        <v>44213.183749999997</v>
      </c>
      <c r="K46" s="45">
        <v>120560</v>
      </c>
      <c r="L46" s="45">
        <v>24820</v>
      </c>
      <c r="M46" s="45">
        <v>95740</v>
      </c>
      <c r="N46" s="45" t="s">
        <v>178</v>
      </c>
      <c r="O46" s="50">
        <v>44200.812916666669</v>
      </c>
      <c r="P46" s="47">
        <v>12072</v>
      </c>
      <c r="Q46" s="45">
        <v>1</v>
      </c>
      <c r="R46" s="50">
        <v>44198.381493055553</v>
      </c>
      <c r="S46" s="45" t="s">
        <v>233</v>
      </c>
      <c r="T46" s="45">
        <v>50120</v>
      </c>
      <c r="U46" s="45">
        <v>50120</v>
      </c>
      <c r="V46" s="45">
        <v>14838</v>
      </c>
      <c r="W46" s="45" t="s">
        <v>179</v>
      </c>
      <c r="X46" s="45" t="s">
        <v>172</v>
      </c>
      <c r="Y46" s="45" t="s">
        <v>180</v>
      </c>
      <c r="Z46" s="45" t="s">
        <v>179</v>
      </c>
      <c r="AA46" s="45" t="s">
        <v>172</v>
      </c>
      <c r="AB46" s="45" t="s">
        <v>180</v>
      </c>
      <c r="AC46" s="45">
        <v>44200.812916666669</v>
      </c>
      <c r="AD46" s="1" t="s">
        <v>258</v>
      </c>
    </row>
    <row r="47" spans="1:30" hidden="1" x14ac:dyDescent="0.25">
      <c r="A47" s="45" t="s">
        <v>242</v>
      </c>
      <c r="B47" s="46" t="s">
        <v>167</v>
      </c>
      <c r="C47" s="45" t="s">
        <v>172</v>
      </c>
      <c r="D47" s="45" t="s">
        <v>173</v>
      </c>
      <c r="E47" s="45" t="s">
        <v>14</v>
      </c>
      <c r="F47" s="45" t="s">
        <v>168</v>
      </c>
      <c r="G47" s="45">
        <v>908738</v>
      </c>
      <c r="H47" s="45" t="s">
        <v>169</v>
      </c>
      <c r="I47" s="49">
        <v>44208.81113425926</v>
      </c>
      <c r="J47" s="49">
        <v>44213.183749999997</v>
      </c>
      <c r="K47" s="45">
        <v>120560</v>
      </c>
      <c r="L47" s="45">
        <v>24820</v>
      </c>
      <c r="M47" s="45">
        <v>95740</v>
      </c>
      <c r="N47" s="45" t="s">
        <v>178</v>
      </c>
      <c r="O47" s="50">
        <v>44201.052685185183</v>
      </c>
      <c r="P47" s="47">
        <v>11982</v>
      </c>
      <c r="Q47" s="45">
        <v>1</v>
      </c>
      <c r="R47" s="50">
        <v>44193.740868055553</v>
      </c>
      <c r="S47" s="45" t="s">
        <v>234</v>
      </c>
      <c r="T47" s="45">
        <v>51340</v>
      </c>
      <c r="U47" s="45">
        <v>51340</v>
      </c>
      <c r="V47" s="45">
        <v>51200</v>
      </c>
      <c r="W47" s="45" t="s">
        <v>179</v>
      </c>
      <c r="X47" s="45" t="s">
        <v>172</v>
      </c>
      <c r="Y47" s="45" t="s">
        <v>180</v>
      </c>
      <c r="Z47" s="45" t="s">
        <v>179</v>
      </c>
      <c r="AA47" s="45" t="s">
        <v>172</v>
      </c>
      <c r="AB47" s="45" t="s">
        <v>180</v>
      </c>
      <c r="AC47" s="45">
        <v>44201.052685185183</v>
      </c>
      <c r="AD47" s="1" t="s">
        <v>258</v>
      </c>
    </row>
    <row r="48" spans="1:30" hidden="1" x14ac:dyDescent="0.25">
      <c r="A48" s="45" t="s">
        <v>242</v>
      </c>
      <c r="B48" s="46" t="s">
        <v>167</v>
      </c>
      <c r="C48" s="45" t="s">
        <v>172</v>
      </c>
      <c r="D48" s="45" t="s">
        <v>173</v>
      </c>
      <c r="E48" s="45" t="s">
        <v>14</v>
      </c>
      <c r="F48" s="45" t="s">
        <v>168</v>
      </c>
      <c r="G48" s="45">
        <v>990531</v>
      </c>
      <c r="H48" s="45" t="s">
        <v>169</v>
      </c>
      <c r="I48" s="49">
        <v>44208.777291666665</v>
      </c>
      <c r="J48" s="49">
        <v>44213.183749999997</v>
      </c>
      <c r="K48" s="45">
        <v>125320</v>
      </c>
      <c r="L48" s="45">
        <v>30305</v>
      </c>
      <c r="M48" s="45">
        <v>95015</v>
      </c>
      <c r="N48" s="45" t="s">
        <v>182</v>
      </c>
      <c r="O48" s="50">
        <v>44200.763437499998</v>
      </c>
      <c r="P48" s="47">
        <v>12789</v>
      </c>
      <c r="Q48" s="45">
        <v>1</v>
      </c>
      <c r="R48" s="50">
        <v>44194.614606481482</v>
      </c>
      <c r="S48" s="45" t="s">
        <v>217</v>
      </c>
      <c r="T48" s="45">
        <v>47580</v>
      </c>
      <c r="U48" s="45">
        <v>47580</v>
      </c>
      <c r="V48" s="45">
        <v>21998</v>
      </c>
      <c r="W48" s="45" t="s">
        <v>183</v>
      </c>
      <c r="X48" s="45" t="s">
        <v>172</v>
      </c>
      <c r="Y48" s="45" t="s">
        <v>184</v>
      </c>
      <c r="Z48" s="45" t="s">
        <v>183</v>
      </c>
      <c r="AA48" s="45" t="s">
        <v>172</v>
      </c>
      <c r="AB48" s="45" t="s">
        <v>184</v>
      </c>
      <c r="AC48" s="45">
        <v>44200.763437499998</v>
      </c>
      <c r="AD48" s="1" t="s">
        <v>259</v>
      </c>
    </row>
    <row r="49" spans="1:30" hidden="1" x14ac:dyDescent="0.25">
      <c r="A49" s="45" t="s">
        <v>242</v>
      </c>
      <c r="B49" s="46" t="s">
        <v>167</v>
      </c>
      <c r="C49" s="45" t="s">
        <v>172</v>
      </c>
      <c r="D49" s="45" t="s">
        <v>173</v>
      </c>
      <c r="E49" s="45" t="s">
        <v>14</v>
      </c>
      <c r="F49" s="45" t="s">
        <v>168</v>
      </c>
      <c r="G49" s="45">
        <v>990531</v>
      </c>
      <c r="H49" s="45" t="s">
        <v>169</v>
      </c>
      <c r="I49" s="49">
        <v>44208.777291666665</v>
      </c>
      <c r="J49" s="49">
        <v>44213.183749999997</v>
      </c>
      <c r="K49" s="45">
        <v>125320</v>
      </c>
      <c r="L49" s="45">
        <v>30305</v>
      </c>
      <c r="M49" s="45">
        <v>95015</v>
      </c>
      <c r="N49" s="45" t="s">
        <v>182</v>
      </c>
      <c r="O49" s="50">
        <v>44200.42396990741</v>
      </c>
      <c r="P49" s="47">
        <v>12781</v>
      </c>
      <c r="Q49" s="45">
        <v>1</v>
      </c>
      <c r="R49" s="50">
        <v>44193.935162037036</v>
      </c>
      <c r="S49" s="45" t="s">
        <v>235</v>
      </c>
      <c r="T49" s="45">
        <v>46720</v>
      </c>
      <c r="U49" s="45">
        <v>46720</v>
      </c>
      <c r="V49" s="45">
        <v>46710</v>
      </c>
      <c r="W49" s="45" t="s">
        <v>183</v>
      </c>
      <c r="X49" s="45" t="s">
        <v>172</v>
      </c>
      <c r="Y49" s="45" t="s">
        <v>184</v>
      </c>
      <c r="Z49" s="45" t="s">
        <v>183</v>
      </c>
      <c r="AA49" s="45" t="s">
        <v>172</v>
      </c>
      <c r="AB49" s="45" t="s">
        <v>184</v>
      </c>
      <c r="AC49" s="45">
        <v>44200.42396990741</v>
      </c>
      <c r="AD49" s="1" t="s">
        <v>259</v>
      </c>
    </row>
    <row r="50" spans="1:30" hidden="1" x14ac:dyDescent="0.25">
      <c r="A50" s="45" t="s">
        <v>242</v>
      </c>
      <c r="B50" s="46" t="s">
        <v>167</v>
      </c>
      <c r="C50" s="45" t="s">
        <v>172</v>
      </c>
      <c r="D50" s="45" t="s">
        <v>173</v>
      </c>
      <c r="E50" s="45" t="s">
        <v>14</v>
      </c>
      <c r="F50" s="45" t="s">
        <v>168</v>
      </c>
      <c r="G50" s="45">
        <v>990531</v>
      </c>
      <c r="H50" s="45" t="s">
        <v>169</v>
      </c>
      <c r="I50" s="49">
        <v>44208.777291666665</v>
      </c>
      <c r="J50" s="49">
        <v>44213.183749999997</v>
      </c>
      <c r="K50" s="45">
        <v>125320</v>
      </c>
      <c r="L50" s="45">
        <v>30305</v>
      </c>
      <c r="M50" s="45">
        <v>95015</v>
      </c>
      <c r="N50" s="45" t="s">
        <v>182</v>
      </c>
      <c r="O50" s="50">
        <v>44199.849166666667</v>
      </c>
      <c r="P50" s="47">
        <v>12780</v>
      </c>
      <c r="Q50" s="45">
        <v>1</v>
      </c>
      <c r="R50" s="50">
        <v>44193.93310185185</v>
      </c>
      <c r="S50" s="45" t="s">
        <v>211</v>
      </c>
      <c r="T50" s="45">
        <v>47280</v>
      </c>
      <c r="U50" s="45">
        <v>47280</v>
      </c>
      <c r="V50" s="45">
        <v>26307</v>
      </c>
      <c r="W50" s="45" t="s">
        <v>183</v>
      </c>
      <c r="X50" s="45" t="s">
        <v>172</v>
      </c>
      <c r="Y50" s="45" t="s">
        <v>184</v>
      </c>
      <c r="Z50" s="45" t="s">
        <v>183</v>
      </c>
      <c r="AA50" s="45" t="s">
        <v>172</v>
      </c>
      <c r="AB50" s="45" t="s">
        <v>184</v>
      </c>
      <c r="AC50" s="45">
        <v>44199.849166666667</v>
      </c>
      <c r="AD50" s="1" t="s">
        <v>259</v>
      </c>
    </row>
    <row r="51" spans="1:30" hidden="1" x14ac:dyDescent="0.25">
      <c r="A51" s="45" t="s">
        <v>242</v>
      </c>
      <c r="B51" s="46" t="s">
        <v>167</v>
      </c>
      <c r="C51" s="45" t="s">
        <v>172</v>
      </c>
      <c r="D51" s="45" t="s">
        <v>173</v>
      </c>
      <c r="E51" s="45" t="s">
        <v>14</v>
      </c>
      <c r="F51" s="45" t="s">
        <v>168</v>
      </c>
      <c r="G51" s="45">
        <v>8400512</v>
      </c>
      <c r="H51" s="45" t="s">
        <v>174</v>
      </c>
      <c r="I51" s="49">
        <v>44208.764884259261</v>
      </c>
      <c r="J51" s="49">
        <v>44213.183749999997</v>
      </c>
      <c r="K51" s="45">
        <v>125240</v>
      </c>
      <c r="L51" s="45">
        <v>28681</v>
      </c>
      <c r="M51" s="45">
        <v>96559</v>
      </c>
      <c r="N51" s="45" t="s">
        <v>182</v>
      </c>
      <c r="O51" s="50">
        <v>44198.962187500001</v>
      </c>
      <c r="P51" s="47">
        <v>12811</v>
      </c>
      <c r="Q51" s="45">
        <v>1</v>
      </c>
      <c r="R51" s="50">
        <v>44195.002696759257</v>
      </c>
      <c r="S51" s="45" t="s">
        <v>236</v>
      </c>
      <c r="T51" s="45">
        <v>49880</v>
      </c>
      <c r="U51" s="45">
        <v>49880</v>
      </c>
      <c r="V51" s="45">
        <v>49770</v>
      </c>
      <c r="W51" s="45" t="s">
        <v>183</v>
      </c>
      <c r="X51" s="45" t="s">
        <v>172</v>
      </c>
      <c r="Y51" s="45" t="s">
        <v>184</v>
      </c>
      <c r="Z51" s="45" t="s">
        <v>183</v>
      </c>
      <c r="AA51" s="45" t="s">
        <v>172</v>
      </c>
      <c r="AB51" s="45" t="s">
        <v>184</v>
      </c>
      <c r="AC51" s="45">
        <v>44198.962187500001</v>
      </c>
      <c r="AD51" s="1" t="s">
        <v>260</v>
      </c>
    </row>
    <row r="52" spans="1:30" hidden="1" x14ac:dyDescent="0.25">
      <c r="A52" s="45" t="s">
        <v>242</v>
      </c>
      <c r="B52" s="46" t="s">
        <v>167</v>
      </c>
      <c r="C52" s="45" t="s">
        <v>172</v>
      </c>
      <c r="D52" s="45" t="s">
        <v>173</v>
      </c>
      <c r="E52" s="45" t="s">
        <v>14</v>
      </c>
      <c r="F52" s="45" t="s">
        <v>168</v>
      </c>
      <c r="G52" s="45">
        <v>8400512</v>
      </c>
      <c r="H52" s="45" t="s">
        <v>174</v>
      </c>
      <c r="I52" s="49">
        <v>44208.764884259261</v>
      </c>
      <c r="J52" s="49">
        <v>44213.183749999997</v>
      </c>
      <c r="K52" s="45">
        <v>125240</v>
      </c>
      <c r="L52" s="45">
        <v>28681</v>
      </c>
      <c r="M52" s="45">
        <v>96559</v>
      </c>
      <c r="N52" s="45" t="s">
        <v>182</v>
      </c>
      <c r="O52" s="50">
        <v>44198.954282407409</v>
      </c>
      <c r="P52" s="47">
        <v>12795</v>
      </c>
      <c r="Q52" s="45">
        <v>1</v>
      </c>
      <c r="R52" s="50">
        <v>44194.678217592591</v>
      </c>
      <c r="S52" s="45" t="s">
        <v>226</v>
      </c>
      <c r="T52" s="45">
        <v>38140</v>
      </c>
      <c r="U52" s="45">
        <v>38140</v>
      </c>
      <c r="V52" s="45">
        <v>32872</v>
      </c>
      <c r="W52" s="45" t="s">
        <v>183</v>
      </c>
      <c r="X52" s="45" t="s">
        <v>172</v>
      </c>
      <c r="Y52" s="45" t="s">
        <v>184</v>
      </c>
      <c r="Z52" s="45" t="s">
        <v>183</v>
      </c>
      <c r="AA52" s="45" t="s">
        <v>172</v>
      </c>
      <c r="AB52" s="45" t="s">
        <v>184</v>
      </c>
      <c r="AC52" s="45">
        <v>44198.954282407409</v>
      </c>
      <c r="AD52" s="1" t="s">
        <v>260</v>
      </c>
    </row>
    <row r="53" spans="1:30" hidden="1" x14ac:dyDescent="0.25">
      <c r="A53" s="45" t="s">
        <v>242</v>
      </c>
      <c r="B53" s="46" t="s">
        <v>167</v>
      </c>
      <c r="C53" s="45" t="s">
        <v>172</v>
      </c>
      <c r="D53" s="45" t="s">
        <v>173</v>
      </c>
      <c r="E53" s="45" t="s">
        <v>14</v>
      </c>
      <c r="F53" s="45" t="s">
        <v>168</v>
      </c>
      <c r="G53" s="45">
        <v>8400512</v>
      </c>
      <c r="H53" s="45" t="s">
        <v>174</v>
      </c>
      <c r="I53" s="49">
        <v>44208.764884259261</v>
      </c>
      <c r="J53" s="49">
        <v>44213.183749999997</v>
      </c>
      <c r="K53" s="45">
        <v>125240</v>
      </c>
      <c r="L53" s="45">
        <v>28681</v>
      </c>
      <c r="M53" s="45">
        <v>96559</v>
      </c>
      <c r="N53" s="45" t="s">
        <v>182</v>
      </c>
      <c r="O53" s="50">
        <v>44199.343969907408</v>
      </c>
      <c r="P53" s="47">
        <v>12797</v>
      </c>
      <c r="Q53" s="45">
        <v>1</v>
      </c>
      <c r="R53" s="50">
        <v>44194.762060185189</v>
      </c>
      <c r="S53" s="45" t="s">
        <v>209</v>
      </c>
      <c r="T53" s="45">
        <v>50400</v>
      </c>
      <c r="U53" s="45">
        <v>50400</v>
      </c>
      <c r="V53" s="45">
        <v>13917</v>
      </c>
      <c r="W53" s="45" t="s">
        <v>183</v>
      </c>
      <c r="X53" s="45" t="s">
        <v>172</v>
      </c>
      <c r="Y53" s="45" t="s">
        <v>184</v>
      </c>
      <c r="Z53" s="45" t="s">
        <v>183</v>
      </c>
      <c r="AA53" s="45" t="s">
        <v>172</v>
      </c>
      <c r="AB53" s="45" t="s">
        <v>184</v>
      </c>
      <c r="AC53" s="45">
        <v>44199.343969907408</v>
      </c>
      <c r="AD53" s="1" t="s">
        <v>260</v>
      </c>
    </row>
    <row r="54" spans="1:30" hidden="1" x14ac:dyDescent="0.25">
      <c r="A54" s="45" t="s">
        <v>242</v>
      </c>
      <c r="B54" s="46" t="s">
        <v>167</v>
      </c>
      <c r="C54" s="45" t="s">
        <v>172</v>
      </c>
      <c r="D54" s="45" t="s">
        <v>173</v>
      </c>
      <c r="E54" s="45" t="s">
        <v>14</v>
      </c>
      <c r="F54" s="45" t="s">
        <v>168</v>
      </c>
      <c r="G54" s="45">
        <v>8404518</v>
      </c>
      <c r="H54" s="45" t="s">
        <v>174</v>
      </c>
      <c r="I54" s="49">
        <v>44208.755486111113</v>
      </c>
      <c r="J54" s="49">
        <v>44213.183749999997</v>
      </c>
      <c r="K54" s="45">
        <v>125200</v>
      </c>
      <c r="L54" s="45">
        <v>28560</v>
      </c>
      <c r="M54" s="45">
        <v>96640</v>
      </c>
      <c r="N54" s="45" t="s">
        <v>175</v>
      </c>
      <c r="O54" s="50">
        <v>44203.86990740741</v>
      </c>
      <c r="P54" s="47">
        <v>30575</v>
      </c>
      <c r="Q54" s="45">
        <v>1</v>
      </c>
      <c r="R54" s="50">
        <v>44201.617314814815</v>
      </c>
      <c r="S54" s="45" t="s">
        <v>237</v>
      </c>
      <c r="T54" s="45">
        <v>50610</v>
      </c>
      <c r="U54" s="45">
        <v>50610</v>
      </c>
      <c r="V54" s="45">
        <v>50540</v>
      </c>
      <c r="W54" s="45" t="s">
        <v>176</v>
      </c>
      <c r="X54" s="45" t="s">
        <v>172</v>
      </c>
      <c r="Y54" s="45" t="s">
        <v>177</v>
      </c>
      <c r="Z54" s="45" t="s">
        <v>176</v>
      </c>
      <c r="AA54" s="45" t="s">
        <v>172</v>
      </c>
      <c r="AB54" s="45" t="s">
        <v>177</v>
      </c>
      <c r="AC54" s="45">
        <v>44203.86990740741</v>
      </c>
      <c r="AD54" s="1" t="s">
        <v>261</v>
      </c>
    </row>
    <row r="55" spans="1:30" hidden="1" x14ac:dyDescent="0.25">
      <c r="A55" s="45" t="s">
        <v>242</v>
      </c>
      <c r="B55" s="46" t="s">
        <v>167</v>
      </c>
      <c r="C55" s="45" t="s">
        <v>172</v>
      </c>
      <c r="D55" s="45" t="s">
        <v>173</v>
      </c>
      <c r="E55" s="45" t="s">
        <v>14</v>
      </c>
      <c r="F55" s="45" t="s">
        <v>168</v>
      </c>
      <c r="G55" s="45">
        <v>8404518</v>
      </c>
      <c r="H55" s="45" t="s">
        <v>174</v>
      </c>
      <c r="I55" s="49">
        <v>44208.755486111113</v>
      </c>
      <c r="J55" s="49">
        <v>44213.183749999997</v>
      </c>
      <c r="K55" s="45">
        <v>125200</v>
      </c>
      <c r="L55" s="45">
        <v>28560</v>
      </c>
      <c r="M55" s="45">
        <v>96640</v>
      </c>
      <c r="N55" s="45" t="s">
        <v>175</v>
      </c>
      <c r="O55" s="50">
        <v>44203.885960648149</v>
      </c>
      <c r="P55" s="47">
        <v>30577</v>
      </c>
      <c r="Q55" s="45">
        <v>1</v>
      </c>
      <c r="R55" s="50">
        <v>44201.699618055558</v>
      </c>
      <c r="S55" s="45" t="s">
        <v>214</v>
      </c>
      <c r="T55" s="45">
        <v>50410</v>
      </c>
      <c r="U55" s="45">
        <v>50410</v>
      </c>
      <c r="V55" s="45">
        <v>45669</v>
      </c>
      <c r="W55" s="45" t="s">
        <v>176</v>
      </c>
      <c r="X55" s="45" t="s">
        <v>172</v>
      </c>
      <c r="Y55" s="45" t="s">
        <v>177</v>
      </c>
      <c r="Z55" s="45" t="s">
        <v>176</v>
      </c>
      <c r="AA55" s="45" t="s">
        <v>172</v>
      </c>
      <c r="AB55" s="45" t="s">
        <v>177</v>
      </c>
      <c r="AC55" s="45">
        <v>44203.885960648149</v>
      </c>
      <c r="AD55" s="1" t="s">
        <v>261</v>
      </c>
    </row>
    <row r="56" spans="1:30" hidden="1" x14ac:dyDescent="0.25">
      <c r="A56" s="45" t="s">
        <v>242</v>
      </c>
      <c r="B56" s="46" t="s">
        <v>167</v>
      </c>
      <c r="C56" s="45" t="s">
        <v>172</v>
      </c>
      <c r="D56" s="45" t="s">
        <v>173</v>
      </c>
      <c r="E56" s="45" t="s">
        <v>14</v>
      </c>
      <c r="F56" s="45" t="s">
        <v>168</v>
      </c>
      <c r="G56" s="45">
        <v>8404518</v>
      </c>
      <c r="H56" s="45" t="s">
        <v>174</v>
      </c>
      <c r="I56" s="49">
        <v>44208.755486111113</v>
      </c>
      <c r="J56" s="49">
        <v>44213.183749999997</v>
      </c>
      <c r="K56" s="45">
        <v>125200</v>
      </c>
      <c r="L56" s="45">
        <v>28560</v>
      </c>
      <c r="M56" s="45">
        <v>96640</v>
      </c>
      <c r="N56" s="45" t="s">
        <v>175</v>
      </c>
      <c r="O56" s="50">
        <v>44201.878842592596</v>
      </c>
      <c r="P56" s="47">
        <v>30408</v>
      </c>
      <c r="Q56" s="45">
        <v>1</v>
      </c>
      <c r="R56" s="50">
        <v>44186.454988425925</v>
      </c>
      <c r="S56" s="45" t="s">
        <v>238</v>
      </c>
      <c r="T56" s="45">
        <v>49640</v>
      </c>
      <c r="U56" s="45">
        <v>49640</v>
      </c>
      <c r="V56" s="45">
        <v>431</v>
      </c>
      <c r="W56" s="45" t="s">
        <v>176</v>
      </c>
      <c r="X56" s="45" t="s">
        <v>172</v>
      </c>
      <c r="Y56" s="45" t="s">
        <v>177</v>
      </c>
      <c r="Z56" s="45" t="s">
        <v>176</v>
      </c>
      <c r="AA56" s="45" t="s">
        <v>172</v>
      </c>
      <c r="AB56" s="45" t="s">
        <v>177</v>
      </c>
      <c r="AC56" s="45">
        <v>44201.878842592596</v>
      </c>
      <c r="AD56" s="1" t="s">
        <v>261</v>
      </c>
    </row>
    <row r="57" spans="1:30" hidden="1" x14ac:dyDescent="0.25">
      <c r="A57" s="45" t="s">
        <v>242</v>
      </c>
      <c r="B57" s="46" t="s">
        <v>167</v>
      </c>
      <c r="C57" s="45" t="s">
        <v>172</v>
      </c>
      <c r="D57" s="45" t="s">
        <v>173</v>
      </c>
      <c r="E57" s="45" t="s">
        <v>14</v>
      </c>
      <c r="F57" s="45" t="s">
        <v>168</v>
      </c>
      <c r="G57" s="45">
        <v>8419221</v>
      </c>
      <c r="H57" s="45" t="s">
        <v>169</v>
      </c>
      <c r="I57" s="49">
        <v>44208.794583333336</v>
      </c>
      <c r="J57" s="49">
        <v>44213.183749999997</v>
      </c>
      <c r="K57" s="45">
        <v>125350</v>
      </c>
      <c r="L57" s="45">
        <v>30990</v>
      </c>
      <c r="M57" s="45">
        <v>94360</v>
      </c>
      <c r="N57" s="45" t="s">
        <v>178</v>
      </c>
      <c r="O57" s="50">
        <v>44200.399375000001</v>
      </c>
      <c r="P57" s="47">
        <v>12076</v>
      </c>
      <c r="Q57" s="45">
        <v>1</v>
      </c>
      <c r="R57" s="50">
        <v>44198.389062499999</v>
      </c>
      <c r="S57" s="45" t="s">
        <v>221</v>
      </c>
      <c r="T57" s="45">
        <v>49340</v>
      </c>
      <c r="U57" s="45">
        <v>49340</v>
      </c>
      <c r="V57" s="45">
        <v>20653</v>
      </c>
      <c r="W57" s="45" t="s">
        <v>179</v>
      </c>
      <c r="X57" s="45" t="s">
        <v>172</v>
      </c>
      <c r="Y57" s="45" t="s">
        <v>180</v>
      </c>
      <c r="Z57" s="45" t="s">
        <v>179</v>
      </c>
      <c r="AA57" s="45" t="s">
        <v>172</v>
      </c>
      <c r="AB57" s="45" t="s">
        <v>180</v>
      </c>
      <c r="AC57" s="45">
        <v>44200.399375000001</v>
      </c>
      <c r="AD57" s="1" t="s">
        <v>262</v>
      </c>
    </row>
    <row r="58" spans="1:30" hidden="1" x14ac:dyDescent="0.25">
      <c r="A58" s="45" t="s">
        <v>242</v>
      </c>
      <c r="B58" s="46" t="s">
        <v>167</v>
      </c>
      <c r="C58" s="45" t="s">
        <v>172</v>
      </c>
      <c r="D58" s="45" t="s">
        <v>173</v>
      </c>
      <c r="E58" s="45" t="s">
        <v>14</v>
      </c>
      <c r="F58" s="45" t="s">
        <v>168</v>
      </c>
      <c r="G58" s="45">
        <v>8419221</v>
      </c>
      <c r="H58" s="45" t="s">
        <v>169</v>
      </c>
      <c r="I58" s="49">
        <v>44208.794583333336</v>
      </c>
      <c r="J58" s="49">
        <v>44213.183749999997</v>
      </c>
      <c r="K58" s="45">
        <v>125350</v>
      </c>
      <c r="L58" s="45">
        <v>30990</v>
      </c>
      <c r="M58" s="45">
        <v>94360</v>
      </c>
      <c r="N58" s="45" t="s">
        <v>178</v>
      </c>
      <c r="O58" s="50">
        <v>44200.448263888888</v>
      </c>
      <c r="P58" s="47">
        <v>12078</v>
      </c>
      <c r="Q58" s="45">
        <v>1</v>
      </c>
      <c r="R58" s="50">
        <v>44198.419907407406</v>
      </c>
      <c r="S58" s="45" t="s">
        <v>239</v>
      </c>
      <c r="T58" s="45">
        <v>50620</v>
      </c>
      <c r="U58" s="45">
        <v>50620</v>
      </c>
      <c r="V58" s="45">
        <v>50520</v>
      </c>
      <c r="W58" s="45" t="s">
        <v>179</v>
      </c>
      <c r="X58" s="45" t="s">
        <v>172</v>
      </c>
      <c r="Y58" s="45" t="s">
        <v>180</v>
      </c>
      <c r="Z58" s="45" t="s">
        <v>179</v>
      </c>
      <c r="AA58" s="45" t="s">
        <v>172</v>
      </c>
      <c r="AB58" s="45" t="s">
        <v>180</v>
      </c>
      <c r="AC58" s="45">
        <v>44200.448263888888</v>
      </c>
      <c r="AD58" s="1" t="s">
        <v>262</v>
      </c>
    </row>
    <row r="59" spans="1:30" hidden="1" x14ac:dyDescent="0.25">
      <c r="A59" s="45" t="s">
        <v>242</v>
      </c>
      <c r="B59" s="46" t="s">
        <v>167</v>
      </c>
      <c r="C59" s="45" t="s">
        <v>172</v>
      </c>
      <c r="D59" s="45" t="s">
        <v>173</v>
      </c>
      <c r="E59" s="45" t="s">
        <v>14</v>
      </c>
      <c r="F59" s="45" t="s">
        <v>168</v>
      </c>
      <c r="G59" s="45">
        <v>8419221</v>
      </c>
      <c r="H59" s="45" t="s">
        <v>169</v>
      </c>
      <c r="I59" s="49">
        <v>44208.794583333336</v>
      </c>
      <c r="J59" s="49">
        <v>44213.183749999997</v>
      </c>
      <c r="K59" s="45">
        <v>125350</v>
      </c>
      <c r="L59" s="45">
        <v>30990</v>
      </c>
      <c r="M59" s="45">
        <v>94360</v>
      </c>
      <c r="N59" s="45" t="s">
        <v>178</v>
      </c>
      <c r="O59" s="50">
        <v>44200.454108796293</v>
      </c>
      <c r="P59" s="47">
        <v>11984</v>
      </c>
      <c r="Q59" s="45">
        <v>1</v>
      </c>
      <c r="R59" s="50">
        <v>44193.77076388889</v>
      </c>
      <c r="S59" s="45" t="s">
        <v>225</v>
      </c>
      <c r="T59" s="45">
        <v>50200</v>
      </c>
      <c r="U59" s="45">
        <v>50200</v>
      </c>
      <c r="V59" s="45">
        <v>23187</v>
      </c>
      <c r="W59" s="45" t="s">
        <v>179</v>
      </c>
      <c r="X59" s="45" t="s">
        <v>172</v>
      </c>
      <c r="Y59" s="45" t="s">
        <v>180</v>
      </c>
      <c r="Z59" s="45" t="s">
        <v>179</v>
      </c>
      <c r="AA59" s="45" t="s">
        <v>172</v>
      </c>
      <c r="AB59" s="45" t="s">
        <v>180</v>
      </c>
      <c r="AC59" s="45">
        <v>44200.454108796293</v>
      </c>
      <c r="AD59" s="1" t="s">
        <v>262</v>
      </c>
    </row>
    <row r="60" spans="1:30" hidden="1" x14ac:dyDescent="0.25">
      <c r="A60" s="45" t="s">
        <v>242</v>
      </c>
      <c r="B60" s="46" t="s">
        <v>167</v>
      </c>
      <c r="C60" s="45" t="s">
        <v>172</v>
      </c>
      <c r="D60" s="45" t="s">
        <v>173</v>
      </c>
      <c r="E60" s="45" t="s">
        <v>14</v>
      </c>
      <c r="F60" s="45" t="s">
        <v>168</v>
      </c>
      <c r="G60" s="45">
        <v>8448922</v>
      </c>
      <c r="H60" s="45" t="s">
        <v>174</v>
      </c>
      <c r="I60" s="49">
        <v>44208.802268518521</v>
      </c>
      <c r="J60" s="49">
        <v>44213.183749999997</v>
      </c>
      <c r="K60" s="45">
        <v>125220</v>
      </c>
      <c r="L60" s="45">
        <v>28823</v>
      </c>
      <c r="M60" s="45">
        <v>96397</v>
      </c>
      <c r="N60" s="45" t="s">
        <v>178</v>
      </c>
      <c r="O60" s="50">
        <v>44200.809421296297</v>
      </c>
      <c r="P60" s="47">
        <v>12074</v>
      </c>
      <c r="Q60" s="45">
        <v>1</v>
      </c>
      <c r="R60" s="50">
        <v>44198.383831018517</v>
      </c>
      <c r="S60" s="45" t="s">
        <v>240</v>
      </c>
      <c r="T60" s="45">
        <v>49700</v>
      </c>
      <c r="U60" s="45">
        <v>49700</v>
      </c>
      <c r="V60" s="45">
        <v>49570</v>
      </c>
      <c r="W60" s="45" t="s">
        <v>179</v>
      </c>
      <c r="X60" s="45" t="s">
        <v>172</v>
      </c>
      <c r="Y60" s="45" t="s">
        <v>180</v>
      </c>
      <c r="Z60" s="45" t="s">
        <v>179</v>
      </c>
      <c r="AA60" s="45" t="s">
        <v>172</v>
      </c>
      <c r="AB60" s="45" t="s">
        <v>180</v>
      </c>
      <c r="AC60" s="45">
        <v>44200.809421296297</v>
      </c>
      <c r="AD60" s="1" t="s">
        <v>263</v>
      </c>
    </row>
    <row r="61" spans="1:30" hidden="1" x14ac:dyDescent="0.25">
      <c r="A61" s="45" t="s">
        <v>242</v>
      </c>
      <c r="B61" s="46" t="s">
        <v>167</v>
      </c>
      <c r="C61" s="45" t="s">
        <v>172</v>
      </c>
      <c r="D61" s="45" t="s">
        <v>173</v>
      </c>
      <c r="E61" s="45" t="s">
        <v>14</v>
      </c>
      <c r="F61" s="45" t="s">
        <v>168</v>
      </c>
      <c r="G61" s="45">
        <v>8448922</v>
      </c>
      <c r="H61" s="45" t="s">
        <v>174</v>
      </c>
      <c r="I61" s="49">
        <v>44208.802268518521</v>
      </c>
      <c r="J61" s="49">
        <v>44213.183749999997</v>
      </c>
      <c r="K61" s="45">
        <v>125220</v>
      </c>
      <c r="L61" s="45">
        <v>28823</v>
      </c>
      <c r="M61" s="45">
        <v>96397</v>
      </c>
      <c r="N61" s="45" t="s">
        <v>178</v>
      </c>
      <c r="O61" s="50">
        <v>44200.812916666669</v>
      </c>
      <c r="P61" s="47">
        <v>12072</v>
      </c>
      <c r="Q61" s="45">
        <v>1</v>
      </c>
      <c r="R61" s="50">
        <v>44198.381493055553</v>
      </c>
      <c r="S61" s="45" t="s">
        <v>233</v>
      </c>
      <c r="T61" s="45">
        <v>50120</v>
      </c>
      <c r="U61" s="45">
        <v>50120</v>
      </c>
      <c r="V61" s="45">
        <v>35182</v>
      </c>
      <c r="W61" s="45" t="s">
        <v>179</v>
      </c>
      <c r="X61" s="45" t="s">
        <v>172</v>
      </c>
      <c r="Y61" s="45" t="s">
        <v>180</v>
      </c>
      <c r="Z61" s="45" t="s">
        <v>179</v>
      </c>
      <c r="AA61" s="45" t="s">
        <v>172</v>
      </c>
      <c r="AB61" s="45" t="s">
        <v>180</v>
      </c>
      <c r="AC61" s="45">
        <v>44200.812916666669</v>
      </c>
      <c r="AD61" s="1" t="s">
        <v>263</v>
      </c>
    </row>
    <row r="62" spans="1:30" hidden="1" x14ac:dyDescent="0.25">
      <c r="A62" s="45" t="s">
        <v>242</v>
      </c>
      <c r="B62" s="46" t="s">
        <v>167</v>
      </c>
      <c r="C62" s="45" t="s">
        <v>172</v>
      </c>
      <c r="D62" s="45" t="s">
        <v>173</v>
      </c>
      <c r="E62" s="45" t="s">
        <v>14</v>
      </c>
      <c r="F62" s="45" t="s">
        <v>168</v>
      </c>
      <c r="G62" s="45">
        <v>8448922</v>
      </c>
      <c r="H62" s="45" t="s">
        <v>174</v>
      </c>
      <c r="I62" s="49">
        <v>44208.802268518521</v>
      </c>
      <c r="J62" s="49">
        <v>44213.183749999997</v>
      </c>
      <c r="K62" s="45">
        <v>125220</v>
      </c>
      <c r="L62" s="45">
        <v>28823</v>
      </c>
      <c r="M62" s="45">
        <v>96397</v>
      </c>
      <c r="N62" s="45" t="s">
        <v>178</v>
      </c>
      <c r="O62" s="50">
        <v>44200.601435185185</v>
      </c>
      <c r="P62" s="47">
        <v>12075</v>
      </c>
      <c r="Q62" s="45">
        <v>1</v>
      </c>
      <c r="R62" s="50">
        <v>44198.387407407405</v>
      </c>
      <c r="S62" s="45" t="s">
        <v>223</v>
      </c>
      <c r="T62" s="45">
        <v>49960</v>
      </c>
      <c r="U62" s="45">
        <v>49960</v>
      </c>
      <c r="V62" s="45">
        <v>11645</v>
      </c>
      <c r="W62" s="45" t="s">
        <v>179</v>
      </c>
      <c r="X62" s="45" t="s">
        <v>172</v>
      </c>
      <c r="Y62" s="45" t="s">
        <v>180</v>
      </c>
      <c r="Z62" s="45" t="s">
        <v>179</v>
      </c>
      <c r="AA62" s="45" t="s">
        <v>172</v>
      </c>
      <c r="AB62" s="45" t="s">
        <v>180</v>
      </c>
      <c r="AC62" s="45">
        <v>44200.601435185185</v>
      </c>
      <c r="AD62" s="1" t="s">
        <v>263</v>
      </c>
    </row>
    <row r="63" spans="1:30" hidden="1" x14ac:dyDescent="0.25">
      <c r="A63" s="45" t="s">
        <v>242</v>
      </c>
      <c r="B63" s="46" t="s">
        <v>167</v>
      </c>
      <c r="C63" s="45" t="s">
        <v>172</v>
      </c>
      <c r="D63" s="45" t="s">
        <v>173</v>
      </c>
      <c r="E63" s="45" t="s">
        <v>14</v>
      </c>
      <c r="F63" s="45" t="s">
        <v>168</v>
      </c>
      <c r="G63" s="45">
        <v>8443904</v>
      </c>
      <c r="H63" s="45" t="s">
        <v>174</v>
      </c>
      <c r="I63" s="49">
        <v>44208.749606481484</v>
      </c>
      <c r="J63" s="49">
        <v>44213.183622685188</v>
      </c>
      <c r="K63" s="45">
        <v>125200</v>
      </c>
      <c r="L63" s="45">
        <v>29100</v>
      </c>
      <c r="M63" s="45">
        <v>96100</v>
      </c>
      <c r="N63" s="45" t="s">
        <v>175</v>
      </c>
      <c r="O63" s="50">
        <v>44201.878842592596</v>
      </c>
      <c r="P63" s="47">
        <v>30408</v>
      </c>
      <c r="Q63" s="45">
        <v>1</v>
      </c>
      <c r="R63" s="50">
        <v>44186.454988425925</v>
      </c>
      <c r="S63" s="45" t="s">
        <v>238</v>
      </c>
      <c r="T63" s="45">
        <v>49640</v>
      </c>
      <c r="U63" s="45">
        <v>49640</v>
      </c>
      <c r="V63" s="45">
        <v>48949</v>
      </c>
      <c r="W63" s="45" t="s">
        <v>176</v>
      </c>
      <c r="X63" s="45" t="s">
        <v>172</v>
      </c>
      <c r="Y63" s="45" t="s">
        <v>177</v>
      </c>
      <c r="Z63" s="45" t="s">
        <v>176</v>
      </c>
      <c r="AA63" s="45" t="s">
        <v>172</v>
      </c>
      <c r="AB63" s="45" t="s">
        <v>177</v>
      </c>
      <c r="AC63" s="45">
        <v>44201.878842592596</v>
      </c>
      <c r="AD63" s="1" t="s">
        <v>248</v>
      </c>
    </row>
  </sheetData>
  <autoFilter ref="A1:AD63" xr:uid="{BE3C4AA1-8026-45B2-BA49-E299E03DF160}">
    <filterColumn colId="0">
      <filters>
        <filter val="COFCO/MILHO/TRO x TGGTRO - RONDONOPOLIS"/>
      </filters>
    </filterColumn>
    <filterColumn colId="22">
      <filters>
        <filter val="29.332.398/0010-36"/>
      </filters>
    </filterColumn>
  </autoFilter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R58"/>
  <sheetViews>
    <sheetView topLeftCell="H1" workbookViewId="0">
      <selection activeCell="N1" sqref="N1"/>
    </sheetView>
  </sheetViews>
  <sheetFormatPr defaultColWidth="8.85546875" defaultRowHeight="15" x14ac:dyDescent="0.25"/>
  <cols>
    <col min="1" max="1" width="17.7109375" style="1" bestFit="1" customWidth="1"/>
    <col min="2" max="2" width="31" style="1" bestFit="1" customWidth="1"/>
    <col min="3" max="3" width="16.5703125" style="34" bestFit="1" customWidth="1"/>
    <col min="4" max="4" width="42.85546875" style="1" customWidth="1"/>
    <col min="5" max="5" width="25.5703125" style="33" customWidth="1"/>
    <col min="6" max="6" width="8.85546875" style="1"/>
    <col min="7" max="7" width="28.7109375" style="1" customWidth="1"/>
    <col min="8" max="8" width="18" style="1" bestFit="1" customWidth="1"/>
    <col min="9" max="10" width="8.85546875" style="1"/>
    <col min="11" max="11" width="49.85546875" style="1" bestFit="1" customWidth="1"/>
    <col min="12" max="12" width="44.5703125" style="1" bestFit="1" customWidth="1"/>
    <col min="13" max="13" width="8" style="1" bestFit="1" customWidth="1"/>
    <col min="14" max="14" width="15.140625" style="1" bestFit="1" customWidth="1"/>
    <col min="15" max="16384" width="8.85546875" style="1"/>
  </cols>
  <sheetData>
    <row r="1" spans="1:18" x14ac:dyDescent="0.25">
      <c r="A1" s="1" t="s">
        <v>1</v>
      </c>
      <c r="B1" s="1" t="s">
        <v>2</v>
      </c>
      <c r="C1" s="32"/>
      <c r="D1" s="32" t="s">
        <v>3</v>
      </c>
      <c r="E1" s="32" t="s">
        <v>1</v>
      </c>
      <c r="G1" s="1" t="s">
        <v>4</v>
      </c>
      <c r="K1"/>
      <c r="L1"/>
      <c r="M1" s="1">
        <v>1</v>
      </c>
      <c r="N1" s="43" t="s">
        <v>77</v>
      </c>
      <c r="O1" s="1" t="s">
        <v>242</v>
      </c>
    </row>
    <row r="2" spans="1:18" x14ac:dyDescent="0.25">
      <c r="A2" s="15" t="s">
        <v>63</v>
      </c>
      <c r="B2" s="23" t="s">
        <v>80</v>
      </c>
      <c r="C2" s="35" t="str">
        <f>SUBSTITUTE(SUBSTITUTE(SUBSTITUTE(E2,".",""),"/",""),"-","")</f>
        <v>02003402000760</v>
      </c>
      <c r="D2" s="36" t="s">
        <v>5</v>
      </c>
      <c r="E2" s="37" t="s">
        <v>6</v>
      </c>
      <c r="G2" s="25" t="s">
        <v>8</v>
      </c>
      <c r="H2" s="26" t="s">
        <v>108</v>
      </c>
      <c r="K2"/>
      <c r="L2"/>
      <c r="M2"/>
      <c r="N2" s="14"/>
      <c r="O2"/>
      <c r="P2"/>
      <c r="Q2"/>
    </row>
    <row r="3" spans="1:18" x14ac:dyDescent="0.25">
      <c r="A3" s="15" t="s">
        <v>64</v>
      </c>
      <c r="B3" s="23" t="s">
        <v>81</v>
      </c>
      <c r="C3" s="35" t="str">
        <f t="shared" ref="C3:C10" si="0">SUBSTITUTE(SUBSTITUTE(SUBSTITUTE(E3,".",""),"/",""),"-","")</f>
        <v>56216872000146</v>
      </c>
      <c r="D3" s="36" t="s">
        <v>157</v>
      </c>
      <c r="E3" s="37" t="s">
        <v>7</v>
      </c>
      <c r="G3" s="25" t="s">
        <v>109</v>
      </c>
      <c r="H3" s="27" t="s">
        <v>110</v>
      </c>
      <c r="I3" s="1" t="s">
        <v>9</v>
      </c>
      <c r="K3"/>
      <c r="L3"/>
      <c r="M3"/>
    </row>
    <row r="4" spans="1:18" x14ac:dyDescent="0.25">
      <c r="A4" s="15" t="s">
        <v>65</v>
      </c>
      <c r="B4" s="23" t="s">
        <v>82</v>
      </c>
      <c r="C4" s="35" t="str">
        <f t="shared" si="0"/>
        <v>04244527000112</v>
      </c>
      <c r="D4" s="36" t="s">
        <v>10</v>
      </c>
      <c r="E4" s="37" t="s">
        <v>11</v>
      </c>
      <c r="G4" s="6"/>
      <c r="H4" s="8"/>
      <c r="I4" s="1" t="s">
        <v>12</v>
      </c>
      <c r="K4"/>
      <c r="L4"/>
      <c r="M4"/>
      <c r="N4"/>
      <c r="O4"/>
      <c r="P4"/>
      <c r="Q4"/>
      <c r="R4"/>
    </row>
    <row r="5" spans="1:18" x14ac:dyDescent="0.25">
      <c r="A5" s="16" t="s">
        <v>66</v>
      </c>
      <c r="B5" s="24" t="s">
        <v>83</v>
      </c>
      <c r="C5" s="35" t="str">
        <f t="shared" si="0"/>
        <v>05527694000133</v>
      </c>
      <c r="D5" s="36" t="s">
        <v>13</v>
      </c>
      <c r="E5" s="37" t="s">
        <v>14</v>
      </c>
      <c r="G5" s="9"/>
      <c r="H5" s="7"/>
      <c r="K5" s="31" t="s">
        <v>42</v>
      </c>
      <c r="L5" s="31" t="s">
        <v>19</v>
      </c>
      <c r="M5"/>
      <c r="N5"/>
      <c r="O5"/>
      <c r="P5"/>
      <c r="Q5"/>
      <c r="R5"/>
    </row>
    <row r="6" spans="1:18" x14ac:dyDescent="0.25">
      <c r="A6" s="15" t="s">
        <v>67</v>
      </c>
      <c r="B6" s="23" t="s">
        <v>84</v>
      </c>
      <c r="C6" s="35" t="str">
        <f t="shared" si="0"/>
        <v>09079434000101</v>
      </c>
      <c r="D6" s="36" t="s">
        <v>15</v>
      </c>
      <c r="E6" s="37" t="s">
        <v>16</v>
      </c>
      <c r="G6" s="9"/>
      <c r="H6" s="10"/>
      <c r="J6" s="1">
        <f>IF(K6&lt;&gt;"",IF(K6=K5,J5+1,1),"")</f>
        <v>1</v>
      </c>
      <c r="K6" t="s">
        <v>199</v>
      </c>
      <c r="L6" t="s">
        <v>242</v>
      </c>
      <c r="M6"/>
      <c r="N6"/>
      <c r="O6"/>
      <c r="P6"/>
      <c r="Q6"/>
      <c r="R6"/>
    </row>
    <row r="7" spans="1:18" x14ac:dyDescent="0.25">
      <c r="A7" s="16" t="s">
        <v>68</v>
      </c>
      <c r="B7" s="23" t="s">
        <v>85</v>
      </c>
      <c r="C7" s="35" t="str">
        <f t="shared" si="0"/>
        <v>04731861000109</v>
      </c>
      <c r="D7" s="36" t="s">
        <v>105</v>
      </c>
      <c r="E7" s="38" t="s">
        <v>106</v>
      </c>
      <c r="J7" s="1">
        <f>IF(K7&lt;&gt;"",IF(K7=K6,J6+1,1),"")</f>
        <v>1</v>
      </c>
      <c r="K7" t="s">
        <v>189</v>
      </c>
      <c r="L7" t="s">
        <v>241</v>
      </c>
      <c r="M7"/>
      <c r="N7"/>
      <c r="O7"/>
      <c r="P7"/>
      <c r="Q7"/>
      <c r="R7"/>
    </row>
    <row r="8" spans="1:18" x14ac:dyDescent="0.25">
      <c r="A8" s="15" t="s">
        <v>69</v>
      </c>
      <c r="B8" s="23" t="s">
        <v>86</v>
      </c>
      <c r="C8" s="35" t="str">
        <f t="shared" si="0"/>
        <v>02933023000265</v>
      </c>
      <c r="D8" s="36" t="s">
        <v>107</v>
      </c>
      <c r="E8" s="38" t="s">
        <v>18</v>
      </c>
      <c r="J8" s="1">
        <f>IF(K8&lt;&gt;"",IF(K8=K7,J7+1,1),"")</f>
        <v>2</v>
      </c>
      <c r="K8" t="s">
        <v>189</v>
      </c>
      <c r="L8" t="s">
        <v>242</v>
      </c>
      <c r="M8"/>
      <c r="N8"/>
      <c r="O8"/>
      <c r="P8"/>
      <c r="Q8"/>
      <c r="R8"/>
    </row>
    <row r="9" spans="1:18" x14ac:dyDescent="0.25">
      <c r="A9" s="15" t="s">
        <v>70</v>
      </c>
      <c r="B9" s="23" t="s">
        <v>87</v>
      </c>
      <c r="C9" s="35" t="str">
        <f t="shared" si="0"/>
        <v>25278404000172</v>
      </c>
      <c r="D9" s="36" t="s">
        <v>156</v>
      </c>
      <c r="E9" s="38" t="s">
        <v>17</v>
      </c>
      <c r="J9" s="1">
        <f>IF(K9&lt;&gt;"",IF(K9=K8,J8+1,1),"")</f>
        <v>1</v>
      </c>
      <c r="K9" t="s">
        <v>176</v>
      </c>
      <c r="L9" t="s">
        <v>242</v>
      </c>
      <c r="M9"/>
      <c r="N9"/>
      <c r="O9"/>
      <c r="P9"/>
      <c r="Q9"/>
      <c r="R9"/>
    </row>
    <row r="10" spans="1:18" x14ac:dyDescent="0.25">
      <c r="A10" s="15" t="s">
        <v>71</v>
      </c>
      <c r="B10" s="23" t="s">
        <v>88</v>
      </c>
      <c r="C10" s="35" t="str">
        <f t="shared" si="0"/>
        <v>61145488000300</v>
      </c>
      <c r="D10" s="36" t="s">
        <v>162</v>
      </c>
      <c r="E10" s="38" t="s">
        <v>163</v>
      </c>
      <c r="J10" s="1">
        <f>IF(K10&lt;&gt;"",IF(K10=K9,J9+1,1),"")</f>
        <v>1</v>
      </c>
      <c r="K10" t="s">
        <v>179</v>
      </c>
      <c r="L10" t="s">
        <v>242</v>
      </c>
      <c r="M10"/>
      <c r="N10"/>
      <c r="O10"/>
      <c r="P10"/>
      <c r="Q10"/>
      <c r="R10"/>
    </row>
    <row r="11" spans="1:18" x14ac:dyDescent="0.25">
      <c r="A11" s="15" t="s">
        <v>72</v>
      </c>
      <c r="B11" s="23" t="s">
        <v>89</v>
      </c>
      <c r="C11" s="35" t="str">
        <f t="shared" ref="C11" si="1">SUBSTITUTE(SUBSTITUTE(SUBSTITUTE(E11,".",""),"/",""),"-","")</f>
        <v>02933023000265</v>
      </c>
      <c r="D11" s="36" t="s">
        <v>165</v>
      </c>
      <c r="E11" s="38" t="s">
        <v>18</v>
      </c>
      <c r="J11" s="1">
        <f>IF(K11&lt;&gt;"",IF(K11=K10,J10+1,1),"")</f>
        <v>1</v>
      </c>
      <c r="K11" t="s">
        <v>183</v>
      </c>
      <c r="L11" t="s">
        <v>242</v>
      </c>
      <c r="M11"/>
      <c r="N11"/>
      <c r="O11"/>
      <c r="P11"/>
      <c r="Q11"/>
      <c r="R11"/>
    </row>
    <row r="12" spans="1:18" x14ac:dyDescent="0.25">
      <c r="A12" s="15" t="s">
        <v>73</v>
      </c>
      <c r="B12" s="23" t="s">
        <v>90</v>
      </c>
      <c r="C12" s="35" t="str">
        <f t="shared" ref="C12" si="2">SUBSTITUTE(SUBSTITUTE(SUBSTITUTE(E12,".",""),"/",""),"-","")</f>
        <v>05527694000133</v>
      </c>
      <c r="D12" s="36" t="s">
        <v>166</v>
      </c>
      <c r="E12" s="38" t="s">
        <v>14</v>
      </c>
      <c r="J12" s="1">
        <f>IF(K12&lt;&gt;"",IF(K12=K11,J11+1,1),"")</f>
        <v>1</v>
      </c>
      <c r="K12" t="s">
        <v>231</v>
      </c>
      <c r="L12" t="s">
        <v>242</v>
      </c>
      <c r="M12"/>
      <c r="N12"/>
      <c r="O12"/>
      <c r="P12"/>
      <c r="Q12"/>
      <c r="R12"/>
    </row>
    <row r="13" spans="1:18" x14ac:dyDescent="0.25">
      <c r="A13" s="15" t="s">
        <v>74</v>
      </c>
      <c r="B13" s="23" t="s">
        <v>91</v>
      </c>
      <c r="C13" s="35"/>
      <c r="D13" s="39"/>
      <c r="E13" s="40"/>
      <c r="J13" s="1" t="str">
        <f>IF(K13&lt;&gt;"",IF(K13=K12,J12+1,1),"")</f>
        <v/>
      </c>
      <c r="K13"/>
      <c r="L13"/>
      <c r="M13"/>
      <c r="N13"/>
      <c r="O13"/>
      <c r="P13"/>
      <c r="Q13"/>
      <c r="R13"/>
    </row>
    <row r="14" spans="1:18" x14ac:dyDescent="0.25">
      <c r="A14" s="15" t="s">
        <v>66</v>
      </c>
      <c r="B14" s="23" t="s">
        <v>92</v>
      </c>
      <c r="C14" s="35"/>
      <c r="D14" s="39"/>
      <c r="E14" s="40"/>
      <c r="J14" s="1" t="str">
        <f>IF(K14&lt;&gt;"",IF(K14=K13,J13+1,1),"")</f>
        <v/>
      </c>
      <c r="K14"/>
      <c r="L14"/>
      <c r="M14"/>
      <c r="N14"/>
      <c r="O14"/>
      <c r="P14"/>
      <c r="Q14"/>
      <c r="R14"/>
    </row>
    <row r="15" spans="1:18" x14ac:dyDescent="0.25">
      <c r="A15" s="15" t="s">
        <v>75</v>
      </c>
      <c r="B15" s="23" t="s">
        <v>93</v>
      </c>
      <c r="C15" s="35"/>
      <c r="D15" s="39"/>
      <c r="E15" s="40"/>
      <c r="J15" s="1" t="str">
        <f>IF(K15&lt;&gt;"",IF(K15=K14,J14+1,1),"")</f>
        <v/>
      </c>
      <c r="K15"/>
      <c r="L15"/>
      <c r="M15"/>
      <c r="N15"/>
      <c r="O15"/>
      <c r="P15"/>
      <c r="Q15"/>
      <c r="R15"/>
    </row>
    <row r="16" spans="1:18" x14ac:dyDescent="0.25">
      <c r="A16" s="15" t="s">
        <v>69</v>
      </c>
      <c r="B16" s="23" t="s">
        <v>94</v>
      </c>
      <c r="C16" s="35"/>
      <c r="D16" s="39"/>
      <c r="E16" s="40"/>
      <c r="J16" s="1" t="str">
        <f>IF(K16&lt;&gt;"",IF(K16=K15,J15+1,1),"")</f>
        <v/>
      </c>
      <c r="K16"/>
      <c r="L16"/>
      <c r="M16"/>
      <c r="N16"/>
      <c r="O16"/>
      <c r="P16"/>
      <c r="Q16"/>
      <c r="R16"/>
    </row>
    <row r="17" spans="1:17" x14ac:dyDescent="0.25">
      <c r="A17" s="15" t="s">
        <v>67</v>
      </c>
      <c r="B17" s="23" t="s">
        <v>95</v>
      </c>
      <c r="C17" s="35"/>
      <c r="D17" s="39"/>
      <c r="E17" s="40"/>
      <c r="J17" s="1" t="str">
        <f>IF(K17&lt;&gt;"",IF(K17=K16,J16+1,1),"")</f>
        <v/>
      </c>
      <c r="K17"/>
      <c r="L17"/>
      <c r="M17"/>
      <c r="N17"/>
      <c r="O17"/>
      <c r="P17"/>
      <c r="Q17"/>
    </row>
    <row r="18" spans="1:17" x14ac:dyDescent="0.25">
      <c r="A18" s="15" t="s">
        <v>74</v>
      </c>
      <c r="B18" s="23" t="s">
        <v>96</v>
      </c>
      <c r="C18" s="35"/>
      <c r="D18" s="39"/>
      <c r="E18" s="40"/>
      <c r="J18" s="1" t="str">
        <f>IF(K18&lt;&gt;"",IF(K18=K17,J17+1,1),"")</f>
        <v/>
      </c>
      <c r="K18"/>
      <c r="L18"/>
      <c r="M18"/>
      <c r="N18"/>
      <c r="O18"/>
      <c r="P18"/>
      <c r="Q18"/>
    </row>
    <row r="19" spans="1:17" x14ac:dyDescent="0.25">
      <c r="A19" s="15" t="s">
        <v>60</v>
      </c>
      <c r="B19" s="23" t="s">
        <v>97</v>
      </c>
      <c r="C19" s="35"/>
      <c r="D19" s="39"/>
      <c r="E19" s="40"/>
      <c r="J19" s="1" t="str">
        <f>IF(K19&lt;&gt;"",IF(K19=K18,J18+1,1),"")</f>
        <v/>
      </c>
      <c r="K19"/>
      <c r="L19"/>
      <c r="M19"/>
      <c r="N19"/>
      <c r="O19"/>
      <c r="P19"/>
      <c r="Q19"/>
    </row>
    <row r="20" spans="1:17" x14ac:dyDescent="0.25">
      <c r="A20" s="15" t="s">
        <v>76</v>
      </c>
      <c r="B20" s="23" t="s">
        <v>98</v>
      </c>
      <c r="C20" s="35"/>
      <c r="D20" s="39"/>
      <c r="E20" s="40"/>
      <c r="J20" s="1" t="str">
        <f>IF(K20&lt;&gt;"",IF(K20=K19,J19+1,1),"")</f>
        <v/>
      </c>
      <c r="K20"/>
      <c r="L20"/>
      <c r="M20"/>
      <c r="N20"/>
      <c r="O20"/>
      <c r="P20"/>
      <c r="Q20"/>
    </row>
    <row r="21" spans="1:17" x14ac:dyDescent="0.25">
      <c r="A21" s="15" t="s">
        <v>61</v>
      </c>
      <c r="B21" s="23" t="s">
        <v>99</v>
      </c>
      <c r="C21" s="35"/>
      <c r="D21" s="39"/>
      <c r="E21" s="40"/>
      <c r="J21" s="1" t="str">
        <f>IF(K21&lt;&gt;"",IF(K21=K20,J20+1,1),"")</f>
        <v/>
      </c>
      <c r="K21"/>
      <c r="L21"/>
      <c r="M21"/>
      <c r="N21"/>
      <c r="O21"/>
      <c r="P21"/>
      <c r="Q21"/>
    </row>
    <row r="22" spans="1:17" x14ac:dyDescent="0.25">
      <c r="A22" s="15" t="s">
        <v>62</v>
      </c>
      <c r="B22" s="23" t="s">
        <v>100</v>
      </c>
      <c r="C22" s="35"/>
      <c r="D22" s="39"/>
      <c r="E22" s="40"/>
      <c r="J22" s="1" t="str">
        <f>IF(K22&lt;&gt;"",IF(K22=K21,J21+1,1),"")</f>
        <v/>
      </c>
      <c r="K22"/>
      <c r="L22"/>
      <c r="M22"/>
      <c r="N22"/>
      <c r="O22"/>
      <c r="P22"/>
      <c r="Q22"/>
    </row>
    <row r="23" spans="1:17" x14ac:dyDescent="0.25">
      <c r="A23" s="15" t="s">
        <v>77</v>
      </c>
      <c r="B23" s="23" t="s">
        <v>101</v>
      </c>
      <c r="C23" s="35"/>
      <c r="D23" s="39"/>
      <c r="E23" s="40"/>
      <c r="J23" s="1" t="str">
        <f>IF(K23&lt;&gt;"",IF(K23=K22,J22+1,1),"")</f>
        <v/>
      </c>
      <c r="K23"/>
      <c r="L23"/>
      <c r="M23"/>
      <c r="N23"/>
      <c r="O23"/>
      <c r="P23"/>
      <c r="Q23"/>
    </row>
    <row r="24" spans="1:17" x14ac:dyDescent="0.25">
      <c r="A24" s="15" t="s">
        <v>78</v>
      </c>
      <c r="B24" s="23" t="s">
        <v>102</v>
      </c>
      <c r="C24" s="35"/>
      <c r="D24" s="39"/>
      <c r="E24" s="40"/>
      <c r="J24" s="1" t="str">
        <f>IF(K24&lt;&gt;"",IF(K24=K23,J23+1,1),"")</f>
        <v/>
      </c>
      <c r="K24"/>
      <c r="L24"/>
      <c r="M24"/>
      <c r="N24"/>
      <c r="O24"/>
      <c r="P24"/>
      <c r="Q24"/>
    </row>
    <row r="25" spans="1:17" x14ac:dyDescent="0.25">
      <c r="A25" s="15" t="s">
        <v>79</v>
      </c>
      <c r="B25" s="23" t="s">
        <v>103</v>
      </c>
      <c r="C25" s="35"/>
      <c r="D25" s="39"/>
      <c r="E25" s="40"/>
      <c r="J25" s="1" t="str">
        <f>IF(K25&lt;&gt;"",IF(K25=K24,J24+1,1),"")</f>
        <v/>
      </c>
      <c r="K25"/>
      <c r="L25"/>
      <c r="M25"/>
      <c r="N25"/>
      <c r="O25"/>
      <c r="P25"/>
      <c r="Q25"/>
    </row>
    <row r="26" spans="1:17" x14ac:dyDescent="0.25">
      <c r="A26" s="15" t="s">
        <v>59</v>
      </c>
      <c r="B26" s="23" t="s">
        <v>104</v>
      </c>
      <c r="C26" s="35"/>
      <c r="D26" s="39"/>
      <c r="E26" s="40"/>
      <c r="J26" s="1" t="str">
        <f>IF(K26&lt;&gt;"",IF(K26=K25,J25+1,1),"")</f>
        <v/>
      </c>
      <c r="K26"/>
      <c r="L26"/>
      <c r="M26"/>
      <c r="N26"/>
      <c r="O26"/>
      <c r="P26"/>
      <c r="Q26"/>
    </row>
    <row r="27" spans="1:17" x14ac:dyDescent="0.25">
      <c r="A27" s="1" t="s">
        <v>124</v>
      </c>
      <c r="B27" s="23" t="s">
        <v>155</v>
      </c>
      <c r="C27" s="35"/>
      <c r="D27" s="39"/>
      <c r="E27" s="40"/>
      <c r="J27" s="1" t="str">
        <f>IF(K27&lt;&gt;"",IF(K27=K26,J26+1,1),"")</f>
        <v/>
      </c>
      <c r="K27"/>
      <c r="L27"/>
      <c r="M27"/>
      <c r="N27"/>
      <c r="O27"/>
      <c r="P27"/>
      <c r="Q27"/>
    </row>
    <row r="28" spans="1:17" x14ac:dyDescent="0.25">
      <c r="A28" s="1" t="s">
        <v>125</v>
      </c>
      <c r="B28" s="23" t="s">
        <v>155</v>
      </c>
      <c r="C28" s="35"/>
      <c r="D28" s="39"/>
      <c r="E28" s="40"/>
      <c r="J28" s="1" t="str">
        <f>IF(K28&lt;&gt;"",IF(K28=K27,J27+1,1),"")</f>
        <v/>
      </c>
      <c r="K28"/>
      <c r="L28"/>
      <c r="M28"/>
      <c r="N28"/>
      <c r="O28"/>
      <c r="P28"/>
      <c r="Q28"/>
    </row>
    <row r="29" spans="1:17" x14ac:dyDescent="0.25">
      <c r="A29" s="1" t="s">
        <v>126</v>
      </c>
      <c r="B29" s="23" t="s">
        <v>155</v>
      </c>
      <c r="C29" s="35"/>
      <c r="D29" s="39"/>
      <c r="E29" s="40"/>
      <c r="J29" s="1" t="str">
        <f>IF(K29&lt;&gt;"",IF(K29=K28,J28+1,1),"")</f>
        <v/>
      </c>
      <c r="K29"/>
      <c r="L29"/>
      <c r="M29"/>
      <c r="N29"/>
      <c r="O29"/>
      <c r="P29"/>
      <c r="Q29"/>
    </row>
    <row r="30" spans="1:17" x14ac:dyDescent="0.25">
      <c r="A30" s="1" t="s">
        <v>127</v>
      </c>
      <c r="B30" s="23" t="s">
        <v>155</v>
      </c>
      <c r="C30" s="35"/>
      <c r="D30" s="39"/>
      <c r="E30" s="40"/>
      <c r="J30" s="1" t="str">
        <f>IF(K30&lt;&gt;"",IF(K30=K29,J29+1,1),"")</f>
        <v/>
      </c>
      <c r="K30"/>
      <c r="L30"/>
      <c r="M30"/>
      <c r="N30"/>
      <c r="O30"/>
      <c r="P30"/>
      <c r="Q30"/>
    </row>
    <row r="31" spans="1:17" x14ac:dyDescent="0.25">
      <c r="A31" s="1" t="s">
        <v>128</v>
      </c>
      <c r="B31" s="23" t="s">
        <v>155</v>
      </c>
      <c r="C31" s="35"/>
      <c r="D31" s="39"/>
      <c r="E31" s="40"/>
      <c r="J31" s="1" t="str">
        <f>IF(K31&lt;&gt;"",IF(K31=K30,J30+1,1),"")</f>
        <v/>
      </c>
      <c r="K31"/>
      <c r="L31"/>
      <c r="M31"/>
      <c r="N31"/>
      <c r="O31"/>
      <c r="P31"/>
      <c r="Q31"/>
    </row>
    <row r="32" spans="1:17" x14ac:dyDescent="0.25">
      <c r="A32" s="1" t="s">
        <v>129</v>
      </c>
      <c r="B32" s="23" t="s">
        <v>155</v>
      </c>
      <c r="C32" s="35"/>
      <c r="D32" s="39"/>
      <c r="E32" s="40"/>
      <c r="J32" s="1" t="str">
        <f>IF(K32&lt;&gt;"",IF(K32=K31,J31+1,1),"")</f>
        <v/>
      </c>
      <c r="K32"/>
      <c r="L32"/>
      <c r="M32"/>
      <c r="N32"/>
      <c r="O32"/>
      <c r="P32"/>
      <c r="Q32"/>
    </row>
    <row r="33" spans="1:17" x14ac:dyDescent="0.25">
      <c r="A33" s="1" t="s">
        <v>130</v>
      </c>
      <c r="B33" s="23" t="s">
        <v>155</v>
      </c>
      <c r="J33" s="1" t="str">
        <f>IF(K33&lt;&gt;"",IF(K33=K32,J32+1,1),"")</f>
        <v/>
      </c>
      <c r="K33"/>
      <c r="L33"/>
      <c r="M33"/>
      <c r="N33"/>
      <c r="O33"/>
      <c r="P33"/>
      <c r="Q33"/>
    </row>
    <row r="34" spans="1:17" x14ac:dyDescent="0.25">
      <c r="A34" s="1" t="s">
        <v>131</v>
      </c>
      <c r="B34" s="23" t="s">
        <v>155</v>
      </c>
      <c r="D34" s="41" t="s">
        <v>164</v>
      </c>
      <c r="J34" s="1" t="str">
        <f>IF(K34&lt;&gt;"",IF(K34=K33,J33+1,1),"")</f>
        <v/>
      </c>
      <c r="K34"/>
      <c r="L34"/>
      <c r="M34"/>
      <c r="N34"/>
      <c r="O34"/>
      <c r="P34"/>
      <c r="Q34"/>
    </row>
    <row r="35" spans="1:17" x14ac:dyDescent="0.25">
      <c r="A35" s="1" t="s">
        <v>132</v>
      </c>
      <c r="B35" s="23" t="s">
        <v>155</v>
      </c>
      <c r="J35" s="1" t="str">
        <f>IF(K35&lt;&gt;"",IF(K35=K34,J34+1,1),"")</f>
        <v/>
      </c>
      <c r="K35"/>
      <c r="L35"/>
      <c r="M35"/>
      <c r="N35"/>
      <c r="O35"/>
      <c r="P35"/>
      <c r="Q35"/>
    </row>
    <row r="36" spans="1:17" x14ac:dyDescent="0.25">
      <c r="A36" s="1" t="s">
        <v>133</v>
      </c>
      <c r="B36" s="23" t="s">
        <v>155</v>
      </c>
      <c r="J36" s="1" t="str">
        <f>IF(K36&lt;&gt;"",IF(K36=K35,J35+1,1),"")</f>
        <v/>
      </c>
      <c r="K36"/>
      <c r="L36"/>
      <c r="M36"/>
      <c r="N36"/>
      <c r="O36"/>
      <c r="P36"/>
      <c r="Q36"/>
    </row>
    <row r="37" spans="1:17" x14ac:dyDescent="0.25">
      <c r="A37" s="1" t="s">
        <v>134</v>
      </c>
      <c r="B37" s="23" t="s">
        <v>155</v>
      </c>
      <c r="J37" s="1" t="str">
        <f>IF(K37&lt;&gt;"",IF(K37=K36,J36+1,1),"")</f>
        <v/>
      </c>
      <c r="K37"/>
      <c r="L37"/>
      <c r="M37"/>
      <c r="N37"/>
      <c r="O37"/>
      <c r="P37"/>
      <c r="Q37"/>
    </row>
    <row r="38" spans="1:17" x14ac:dyDescent="0.25">
      <c r="A38" s="1" t="s">
        <v>135</v>
      </c>
      <c r="B38" s="23" t="s">
        <v>155</v>
      </c>
      <c r="J38" s="1" t="str">
        <f>IF(K38&lt;&gt;"",IF(K38=K37,J37+1,1),"")</f>
        <v/>
      </c>
      <c r="K38"/>
      <c r="L38"/>
      <c r="M38"/>
      <c r="N38"/>
      <c r="O38"/>
      <c r="P38"/>
      <c r="Q38"/>
    </row>
    <row r="39" spans="1:17" x14ac:dyDescent="0.25">
      <c r="A39" s="1" t="s">
        <v>136</v>
      </c>
      <c r="B39" s="23" t="s">
        <v>155</v>
      </c>
      <c r="J39" s="1" t="str">
        <f>IF(K39&lt;&gt;"",IF(K39=K38,J38+1,1),"")</f>
        <v/>
      </c>
      <c r="K39"/>
      <c r="L39"/>
      <c r="M39"/>
      <c r="N39"/>
      <c r="O39"/>
      <c r="P39"/>
      <c r="Q39"/>
    </row>
    <row r="40" spans="1:17" x14ac:dyDescent="0.25">
      <c r="A40" s="1" t="s">
        <v>137</v>
      </c>
      <c r="B40" s="23" t="s">
        <v>155</v>
      </c>
      <c r="J40" s="1" t="str">
        <f>IF(K40&lt;&gt;"",IF(K40=K39,J39+1,1),"")</f>
        <v/>
      </c>
      <c r="K40"/>
      <c r="L40"/>
      <c r="M40"/>
      <c r="N40"/>
      <c r="O40"/>
      <c r="P40"/>
      <c r="Q40"/>
    </row>
    <row r="41" spans="1:17" x14ac:dyDescent="0.25">
      <c r="A41" s="1" t="s">
        <v>138</v>
      </c>
      <c r="B41" s="23" t="s">
        <v>155</v>
      </c>
      <c r="J41" s="1" t="str">
        <f>IF(K41&lt;&gt;"",IF(K41=K40,J40+1,1),"")</f>
        <v/>
      </c>
      <c r="K41"/>
      <c r="L41"/>
      <c r="M41"/>
      <c r="N41"/>
      <c r="O41"/>
      <c r="P41"/>
      <c r="Q41"/>
    </row>
    <row r="42" spans="1:17" x14ac:dyDescent="0.25">
      <c r="A42" s="1" t="s">
        <v>139</v>
      </c>
      <c r="B42" s="23" t="s">
        <v>155</v>
      </c>
      <c r="J42" s="1" t="str">
        <f>IF(K42&lt;&gt;"",IF(K42=K41,J41+1,1),"")</f>
        <v/>
      </c>
      <c r="K42"/>
      <c r="L42"/>
      <c r="M42"/>
      <c r="N42"/>
      <c r="O42"/>
      <c r="P42"/>
      <c r="Q42"/>
    </row>
    <row r="43" spans="1:17" x14ac:dyDescent="0.25">
      <c r="A43" s="1" t="s">
        <v>140</v>
      </c>
      <c r="B43" s="23" t="s">
        <v>155</v>
      </c>
      <c r="J43" s="1" t="str">
        <f>IF(K43&lt;&gt;"",IF(K43=K42,J42+1,1),"")</f>
        <v/>
      </c>
      <c r="K43"/>
      <c r="L43"/>
      <c r="M43"/>
      <c r="N43"/>
      <c r="O43"/>
      <c r="P43"/>
      <c r="Q43"/>
    </row>
    <row r="44" spans="1:17" x14ac:dyDescent="0.25">
      <c r="A44" s="1" t="s">
        <v>141</v>
      </c>
      <c r="B44" s="23" t="s">
        <v>155</v>
      </c>
      <c r="J44" s="1" t="str">
        <f>IF(K44&lt;&gt;"",IF(K44=K43,J43+1,1),"")</f>
        <v/>
      </c>
      <c r="K44"/>
      <c r="L44"/>
      <c r="M44"/>
      <c r="N44"/>
      <c r="O44"/>
      <c r="P44"/>
      <c r="Q44"/>
    </row>
    <row r="45" spans="1:17" x14ac:dyDescent="0.25">
      <c r="A45" s="1" t="s">
        <v>142</v>
      </c>
      <c r="B45" s="23" t="s">
        <v>155</v>
      </c>
      <c r="J45" s="1" t="str">
        <f>IF(K45&lt;&gt;"",IF(K45=K44,J44+1,1),"")</f>
        <v/>
      </c>
      <c r="K45"/>
      <c r="L45"/>
      <c r="M45"/>
      <c r="N45"/>
      <c r="O45"/>
      <c r="P45"/>
      <c r="Q45"/>
    </row>
    <row r="46" spans="1:17" x14ac:dyDescent="0.25">
      <c r="A46" s="1" t="s">
        <v>143</v>
      </c>
      <c r="B46" s="23" t="s">
        <v>155</v>
      </c>
      <c r="J46" s="1" t="str">
        <f>IF(K46&lt;&gt;"",IF(K46=K45,J45+1,1),"")</f>
        <v/>
      </c>
      <c r="K46"/>
      <c r="L46"/>
      <c r="M46"/>
      <c r="N46"/>
      <c r="O46"/>
      <c r="P46"/>
      <c r="Q46"/>
    </row>
    <row r="47" spans="1:17" x14ac:dyDescent="0.25">
      <c r="A47" s="1" t="s">
        <v>144</v>
      </c>
      <c r="B47" s="23" t="s">
        <v>155</v>
      </c>
      <c r="J47" s="1" t="str">
        <f>IF(K47&lt;&gt;"",IF(K47=K46,J46+1,1),"")</f>
        <v/>
      </c>
      <c r="K47"/>
      <c r="L47"/>
      <c r="M47"/>
      <c r="N47"/>
      <c r="O47"/>
      <c r="P47"/>
      <c r="Q47"/>
    </row>
    <row r="48" spans="1:17" x14ac:dyDescent="0.25">
      <c r="A48" s="1" t="s">
        <v>145</v>
      </c>
      <c r="B48" s="23" t="s">
        <v>155</v>
      </c>
      <c r="J48" s="1" t="str">
        <f>IF(K48&lt;&gt;"",IF(K48=K47,J47+1,1),"")</f>
        <v/>
      </c>
      <c r="K48"/>
      <c r="L48"/>
      <c r="M48"/>
      <c r="N48"/>
      <c r="O48"/>
      <c r="P48"/>
      <c r="Q48"/>
    </row>
    <row r="49" spans="1:17" x14ac:dyDescent="0.25">
      <c r="A49" s="1" t="s">
        <v>146</v>
      </c>
      <c r="B49" s="23" t="s">
        <v>155</v>
      </c>
      <c r="J49" s="1" t="str">
        <f>IF(K49&lt;&gt;"",IF(K49=K48,J48+1,1),"")</f>
        <v/>
      </c>
      <c r="K49"/>
      <c r="L49"/>
      <c r="M49"/>
      <c r="N49"/>
      <c r="O49"/>
      <c r="P49"/>
      <c r="Q49"/>
    </row>
    <row r="50" spans="1:17" x14ac:dyDescent="0.25">
      <c r="A50" s="1" t="s">
        <v>147</v>
      </c>
      <c r="B50" s="23" t="s">
        <v>155</v>
      </c>
      <c r="J50" s="1" t="str">
        <f>IF(K50&lt;&gt;"",IF(K50=K49,J49+1,1),"")</f>
        <v/>
      </c>
      <c r="K50"/>
      <c r="L50"/>
      <c r="M50"/>
    </row>
    <row r="51" spans="1:17" x14ac:dyDescent="0.25">
      <c r="A51" s="1" t="s">
        <v>148</v>
      </c>
      <c r="B51" s="23" t="s">
        <v>155</v>
      </c>
      <c r="J51" s="1" t="str">
        <f>IF(K51&lt;&gt;"",IF(K51=K50,J50+1,1),"")</f>
        <v/>
      </c>
      <c r="K51"/>
      <c r="L51"/>
      <c r="M51"/>
    </row>
    <row r="52" spans="1:17" x14ac:dyDescent="0.25">
      <c r="A52" s="1" t="s">
        <v>149</v>
      </c>
      <c r="B52" s="23" t="s">
        <v>155</v>
      </c>
      <c r="J52" s="1" t="str">
        <f>IF(K52&lt;&gt;"",IF(K52=K51,J51+1,1),"")</f>
        <v/>
      </c>
      <c r="K52"/>
    </row>
    <row r="53" spans="1:17" x14ac:dyDescent="0.25">
      <c r="A53" s="1" t="s">
        <v>150</v>
      </c>
      <c r="B53" s="23" t="s">
        <v>155</v>
      </c>
      <c r="J53" s="1" t="str">
        <f>IF(K53&lt;&gt;"",IF(K53=K52,J52+1,1),"")</f>
        <v/>
      </c>
    </row>
    <row r="54" spans="1:17" x14ac:dyDescent="0.25">
      <c r="A54" s="1" t="s">
        <v>151</v>
      </c>
      <c r="B54" s="23" t="s">
        <v>155</v>
      </c>
      <c r="J54" s="1" t="str">
        <f>IF(K54&lt;&gt;"",IF(K54=K53,J53+1,1),"")</f>
        <v/>
      </c>
    </row>
    <row r="55" spans="1:17" x14ac:dyDescent="0.25">
      <c r="A55" s="1" t="s">
        <v>152</v>
      </c>
      <c r="B55" s="23" t="s">
        <v>155</v>
      </c>
    </row>
    <row r="56" spans="1:17" x14ac:dyDescent="0.25">
      <c r="A56" s="1" t="s">
        <v>153</v>
      </c>
      <c r="B56" s="23" t="s">
        <v>155</v>
      </c>
    </row>
    <row r="57" spans="1:17" x14ac:dyDescent="0.25">
      <c r="A57" s="1" t="s">
        <v>154</v>
      </c>
      <c r="B57" s="23" t="s">
        <v>155</v>
      </c>
    </row>
    <row r="58" spans="1:17" x14ac:dyDescent="0.25">
      <c r="A58" s="43" t="s">
        <v>170</v>
      </c>
      <c r="B58" s="23" t="s">
        <v>155</v>
      </c>
    </row>
  </sheetData>
  <pageMargins left="0.511811024" right="0.511811024" top="0.78740157499999996" bottom="0.78740157499999996" header="0.31496062000000002" footer="0.31496062000000002"/>
  <pageSetup orientation="portrait" r:id="rId2"/>
  <customProperties>
    <customPr name="EpmWorksheetKeyString_GUID" r:id="rId3"/>
  </customProperties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R11"/>
  <sheetViews>
    <sheetView workbookViewId="0">
      <selection activeCell="C11" sqref="C11:E11"/>
    </sheetView>
  </sheetViews>
  <sheetFormatPr defaultColWidth="13.140625" defaultRowHeight="15" x14ac:dyDescent="0.25"/>
  <cols>
    <col min="1" max="4" width="13.140625" style="1"/>
    <col min="5" max="5" width="20" style="1" customWidth="1"/>
    <col min="6" max="6" width="17.5703125" style="1" bestFit="1" customWidth="1"/>
    <col min="7" max="11" width="13.140625" style="1"/>
    <col min="12" max="12" width="13.140625" style="21"/>
    <col min="13" max="15" width="13.140625" style="1"/>
    <col min="16" max="16" width="14.85546875" style="20" bestFit="1" customWidth="1"/>
    <col min="17" max="17" width="32.140625" style="20" bestFit="1" customWidth="1"/>
    <col min="18" max="18" width="13.7109375" style="20" bestFit="1" customWidth="1"/>
    <col min="19" max="16384" width="13.140625" style="1"/>
  </cols>
  <sheetData>
    <row r="1" spans="1:17" x14ac:dyDescent="0.25">
      <c r="A1" s="1" t="s">
        <v>111</v>
      </c>
      <c r="F1" s="3" t="s">
        <v>44</v>
      </c>
    </row>
    <row r="2" spans="1:17" x14ac:dyDescent="0.25">
      <c r="H2" s="2" t="s">
        <v>45</v>
      </c>
    </row>
    <row r="3" spans="1:17" x14ac:dyDescent="0.25">
      <c r="A3" s="4" t="s">
        <v>112</v>
      </c>
      <c r="E3" s="2" t="s">
        <v>113</v>
      </c>
      <c r="O3" s="5" t="s">
        <v>114</v>
      </c>
    </row>
    <row r="4" spans="1:17" x14ac:dyDescent="0.25">
      <c r="A4" s="4" t="s">
        <v>46</v>
      </c>
      <c r="B4" s="19" t="s">
        <v>115</v>
      </c>
      <c r="C4" s="22" t="str">
        <f>B10</f>
        <v>29332398001036</v>
      </c>
    </row>
    <row r="5" spans="1:17" x14ac:dyDescent="0.25">
      <c r="A5" s="4" t="s">
        <v>47</v>
      </c>
      <c r="B5" s="19" t="s">
        <v>116</v>
      </c>
    </row>
    <row r="6" spans="1:17" x14ac:dyDescent="0.25">
      <c r="A6" s="4" t="s">
        <v>48</v>
      </c>
      <c r="B6" s="19" t="s">
        <v>117</v>
      </c>
    </row>
    <row r="7" spans="1:17" x14ac:dyDescent="0.25">
      <c r="A7" s="4" t="s">
        <v>49</v>
      </c>
      <c r="B7" s="25" t="s">
        <v>242</v>
      </c>
      <c r="C7" s="44" t="str">
        <f>VLOOKUP(B7,FILTRO!A:E,5,0)</f>
        <v>05.527.694/0001-33</v>
      </c>
      <c r="E7" s="9" t="s">
        <v>118</v>
      </c>
      <c r="F7" s="1" t="s">
        <v>119</v>
      </c>
    </row>
    <row r="8" spans="1:17" x14ac:dyDescent="0.25">
      <c r="A8" s="4" t="s">
        <v>50</v>
      </c>
      <c r="B8" s="19" t="s">
        <v>120</v>
      </c>
    </row>
    <row r="9" spans="1:17" x14ac:dyDescent="0.25">
      <c r="A9" s="4" t="s">
        <v>51</v>
      </c>
      <c r="C9" s="5" t="s">
        <v>52</v>
      </c>
      <c r="D9" s="5" t="s">
        <v>53</v>
      </c>
      <c r="E9" s="5" t="s">
        <v>54</v>
      </c>
      <c r="F9" s="3" t="s">
        <v>55</v>
      </c>
      <c r="G9" s="3" t="s">
        <v>56</v>
      </c>
      <c r="H9" s="3" t="s">
        <v>57</v>
      </c>
      <c r="J9" s="3" t="s">
        <v>58</v>
      </c>
      <c r="K9" s="3" t="s">
        <v>121</v>
      </c>
      <c r="L9" s="18" t="s">
        <v>0</v>
      </c>
      <c r="N9" s="5" t="s">
        <v>58</v>
      </c>
      <c r="O9" s="3" t="s">
        <v>122</v>
      </c>
      <c r="Q9" s="20" t="s">
        <v>123</v>
      </c>
    </row>
    <row r="10" spans="1:17" x14ac:dyDescent="0.25">
      <c r="A10" s="23" t="str">
        <f>VLOOKUP(B10,BASE!A:B,2,0)</f>
        <v>NOBLE - 19</v>
      </c>
      <c r="B10" s="28" t="str">
        <f>BASE!N1</f>
        <v>29332398001036</v>
      </c>
    </row>
    <row r="11" spans="1:17" x14ac:dyDescent="0.25">
      <c r="A11" s="1" t="s">
        <v>258</v>
      </c>
      <c r="C11" s="45">
        <v>43980</v>
      </c>
      <c r="D11" s="45">
        <v>43980</v>
      </c>
      <c r="E11" s="45">
        <v>16563</v>
      </c>
      <c r="F11" s="52">
        <v>44213.183749999997</v>
      </c>
      <c r="J11" s="45">
        <v>16563</v>
      </c>
      <c r="K11" s="1">
        <v>0</v>
      </c>
      <c r="L11" s="48">
        <v>12812</v>
      </c>
      <c r="M11" s="45">
        <v>1</v>
      </c>
      <c r="N11" s="47">
        <v>16563</v>
      </c>
      <c r="O11" s="1" t="s">
        <v>171</v>
      </c>
    </row>
  </sheetData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tabColor rgb="FFC00000"/>
  </sheetPr>
  <dimension ref="A1"/>
  <sheetViews>
    <sheetView workbookViewId="0">
      <selection activeCell="C6" sqref="C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Report</vt:lpstr>
      <vt:lpstr>FILTRO</vt:lpstr>
      <vt:lpstr>BASE</vt:lpstr>
      <vt:lpstr>LAYOUT</vt:lpstr>
      <vt:lpstr>Executa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N. Caracelli Diniz</dc:creator>
  <cp:lastModifiedBy>Nelson</cp:lastModifiedBy>
  <dcterms:created xsi:type="dcterms:W3CDTF">2018-12-04T13:51:11Z</dcterms:created>
  <dcterms:modified xsi:type="dcterms:W3CDTF">2021-01-18T12:45:35Z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n.caracelli.diniz@avanade.com</vt:lpwstr>
  </property>
  <property fmtid="{D5CDD505-2E9C-101B-9397-08002B2CF9AE}" pid="5" name="MSIP_Label_236020b0-6d69-48c1-9bb5-c586c1062b70_SetDate">
    <vt:lpwstr>2019-01-02T13:24:44.7972781Z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n.caracelli.diniz@avanade.com</vt:lpwstr>
  </property>
  <property fmtid="{D5CDD505-2E9C-101B-9397-08002B2CF9AE}" pid="12" name="MSIP_Label_5fae8262-b78e-4366-8929-a5d6aac95320_SetDate">
    <vt:lpwstr>2019-01-02T13:24:44.7972781Z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  <property fmtid="{D5CDD505-2E9C-101B-9397-08002B2CF9AE}" pid="18" name="WorkbookGuid">
    <vt:lpwstr>b6f816f6-3b5b-4610-9035-1bbdd34d3f92</vt:lpwstr>
  </property>
</Properties>
</file>