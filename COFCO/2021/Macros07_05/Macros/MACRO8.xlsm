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PROJETOS\GOBI\COFCO\2021\Macros07_05\Macros\"/>
    </mc:Choice>
  </mc:AlternateContent>
  <xr:revisionPtr revIDLastSave="0" documentId="13_ncr:1_{52E5E596-C667-44A2-AF7C-A8B3B481DAB0}" xr6:coauthVersionLast="46" xr6:coauthVersionMax="46" xr10:uidLastSave="{00000000-0000-0000-0000-000000000000}"/>
  <bookViews>
    <workbookView xWindow="2295" yWindow="2295" windowWidth="18000" windowHeight="12735" activeTab="2" xr2:uid="{00000000-000D-0000-FFFF-FFFF00000000}"/>
  </bookViews>
  <sheets>
    <sheet name="SEND" sheetId="1" r:id="rId1"/>
    <sheet name="Settings" sheetId="12" r:id="rId2"/>
    <sheet name="Sheet1" sheetId="11" r:id="rId3"/>
    <sheet name="BASE" sheetId="10" r:id="rId4"/>
  </sheets>
  <functionGroups builtInGroupCount="19"/>
  <externalReferences>
    <externalReference r:id="rId5"/>
  </externalReferences>
  <definedNames>
    <definedName name="_xlnm._FilterDatabase" localSheetId="3" hidden="1">BASE!$D$12:$E$27</definedName>
    <definedName name="_xlnm._FilterDatabase" localSheetId="0" hidden="1">SEND!$A$2:$L$4</definedName>
    <definedName name="_xlnm._FilterDatabase" localSheetId="2" hidden="1">Sheet1!$A$1:$U$3842</definedName>
    <definedName name="tbl_dinamica">OFFSET(Sheet1!$A$1,0,0,COUNTA(Sheet1!$A:$A),COUNTA(Sheet1!$A$1:$IV$1))</definedName>
  </definedNames>
  <calcPr calcId="191029"/>
  <pivotCaches>
    <pivotCache cacheId="4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2" l="1"/>
  <c r="F192" i="10"/>
  <c r="F191" i="10"/>
  <c r="F190" i="10"/>
  <c r="F189" i="10"/>
  <c r="F188" i="10"/>
  <c r="F187" i="10"/>
  <c r="F186" i="10"/>
  <c r="F185" i="10"/>
  <c r="F184" i="10"/>
  <c r="F183" i="10"/>
  <c r="F182" i="10"/>
  <c r="F181" i="10"/>
  <c r="F180" i="10"/>
  <c r="F179" i="10"/>
  <c r="F178" i="10"/>
  <c r="F177" i="10"/>
  <c r="F176" i="10"/>
  <c r="F175" i="10"/>
  <c r="F174" i="10"/>
  <c r="F173" i="10"/>
  <c r="F172" i="10"/>
  <c r="F171" i="10"/>
  <c r="F170" i="10"/>
  <c r="F169" i="10"/>
  <c r="F168" i="10"/>
  <c r="F167" i="10"/>
  <c r="F166" i="10"/>
  <c r="F165" i="10"/>
  <c r="F164" i="10"/>
  <c r="F163" i="10"/>
  <c r="F162" i="10"/>
  <c r="F161" i="10"/>
  <c r="F160" i="10"/>
  <c r="F159" i="10"/>
  <c r="F158" i="10"/>
  <c r="F157" i="10"/>
  <c r="F156" i="10"/>
  <c r="F155" i="10"/>
  <c r="F154" i="10"/>
  <c r="F153" i="10"/>
  <c r="F152" i="10"/>
  <c r="F151" i="10"/>
  <c r="F150" i="10"/>
  <c r="F149" i="10"/>
  <c r="F148" i="10"/>
  <c r="F147" i="10"/>
  <c r="F146" i="10"/>
  <c r="F145" i="10"/>
  <c r="F144" i="10"/>
  <c r="F143" i="10"/>
  <c r="F142" i="10"/>
  <c r="F141" i="10"/>
  <c r="F140" i="10"/>
  <c r="F139" i="10"/>
  <c r="F138" i="10"/>
  <c r="F137" i="10"/>
  <c r="F136" i="10"/>
  <c r="F135" i="10"/>
  <c r="F134" i="10"/>
  <c r="F133" i="10"/>
  <c r="F132" i="10"/>
  <c r="F131" i="10"/>
  <c r="F130" i="10"/>
  <c r="F129" i="10"/>
  <c r="F128" i="10"/>
  <c r="F127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F112" i="10"/>
  <c r="F111" i="10"/>
  <c r="F110" i="10"/>
  <c r="F109" i="10"/>
  <c r="F108" i="10"/>
  <c r="F107" i="10"/>
  <c r="K6" i="10" l="1"/>
  <c r="K7" i="10" s="1"/>
  <c r="H192" i="10" l="1"/>
  <c r="G192" i="10"/>
  <c r="E192" i="10"/>
  <c r="D192" i="10"/>
  <c r="H191" i="10"/>
  <c r="G191" i="10"/>
  <c r="E191" i="10"/>
  <c r="D191" i="10"/>
  <c r="H190" i="10"/>
  <c r="G190" i="10"/>
  <c r="E190" i="10"/>
  <c r="D190" i="10"/>
  <c r="H189" i="10"/>
  <c r="G189" i="10"/>
  <c r="E189" i="10"/>
  <c r="D189" i="10"/>
  <c r="H188" i="10"/>
  <c r="G188" i="10"/>
  <c r="E188" i="10"/>
  <c r="D188" i="10"/>
  <c r="H187" i="10"/>
  <c r="G187" i="10"/>
  <c r="E187" i="10"/>
  <c r="D187" i="10"/>
  <c r="H186" i="10"/>
  <c r="G186" i="10"/>
  <c r="E186" i="10"/>
  <c r="D186" i="10"/>
  <c r="H185" i="10"/>
  <c r="G185" i="10"/>
  <c r="E185" i="10"/>
  <c r="D185" i="10"/>
  <c r="H184" i="10"/>
  <c r="G184" i="10"/>
  <c r="E184" i="10"/>
  <c r="D184" i="10"/>
  <c r="H183" i="10"/>
  <c r="G183" i="10"/>
  <c r="E183" i="10"/>
  <c r="D183" i="10"/>
  <c r="H182" i="10"/>
  <c r="G182" i="10"/>
  <c r="E182" i="10"/>
  <c r="D182" i="10"/>
  <c r="H181" i="10"/>
  <c r="G181" i="10"/>
  <c r="E181" i="10"/>
  <c r="D181" i="10"/>
  <c r="H180" i="10"/>
  <c r="G180" i="10"/>
  <c r="E180" i="10"/>
  <c r="D180" i="10"/>
  <c r="H179" i="10"/>
  <c r="G179" i="10"/>
  <c r="E179" i="10"/>
  <c r="D179" i="10"/>
  <c r="H178" i="10"/>
  <c r="G178" i="10"/>
  <c r="E178" i="10"/>
  <c r="D178" i="10"/>
  <c r="H177" i="10"/>
  <c r="G177" i="10"/>
  <c r="E177" i="10"/>
  <c r="D177" i="10"/>
  <c r="H176" i="10"/>
  <c r="G176" i="10"/>
  <c r="E176" i="10"/>
  <c r="D176" i="10"/>
  <c r="H175" i="10"/>
  <c r="G175" i="10"/>
  <c r="E175" i="10"/>
  <c r="D175" i="10"/>
  <c r="H174" i="10"/>
  <c r="G174" i="10"/>
  <c r="E174" i="10"/>
  <c r="D174" i="10"/>
  <c r="H173" i="10"/>
  <c r="G173" i="10"/>
  <c r="E173" i="10"/>
  <c r="D173" i="10"/>
  <c r="H172" i="10"/>
  <c r="G172" i="10"/>
  <c r="E172" i="10"/>
  <c r="D172" i="10"/>
  <c r="H171" i="10"/>
  <c r="G171" i="10"/>
  <c r="E171" i="10"/>
  <c r="D171" i="10"/>
  <c r="H170" i="10"/>
  <c r="G170" i="10"/>
  <c r="E170" i="10"/>
  <c r="D170" i="10"/>
  <c r="H169" i="10"/>
  <c r="G169" i="10"/>
  <c r="E169" i="10"/>
  <c r="D169" i="10"/>
  <c r="H168" i="10"/>
  <c r="G168" i="10"/>
  <c r="E168" i="10"/>
  <c r="D168" i="10"/>
  <c r="H167" i="10"/>
  <c r="G167" i="10"/>
  <c r="E167" i="10"/>
  <c r="D167" i="10"/>
  <c r="H166" i="10"/>
  <c r="G166" i="10"/>
  <c r="E166" i="10"/>
  <c r="D166" i="10"/>
  <c r="H165" i="10"/>
  <c r="G165" i="10"/>
  <c r="E165" i="10"/>
  <c r="D165" i="10"/>
  <c r="H164" i="10"/>
  <c r="G164" i="10"/>
  <c r="E164" i="10"/>
  <c r="D164" i="10"/>
  <c r="H163" i="10"/>
  <c r="G163" i="10"/>
  <c r="E163" i="10"/>
  <c r="D163" i="10"/>
  <c r="H162" i="10"/>
  <c r="G162" i="10"/>
  <c r="E162" i="10"/>
  <c r="D162" i="10"/>
  <c r="H161" i="10"/>
  <c r="G161" i="10"/>
  <c r="E161" i="10"/>
  <c r="D161" i="10"/>
  <c r="H160" i="10"/>
  <c r="G160" i="10"/>
  <c r="E160" i="10"/>
  <c r="D160" i="10"/>
  <c r="H159" i="10"/>
  <c r="G159" i="10"/>
  <c r="E159" i="10"/>
  <c r="D159" i="10"/>
  <c r="H158" i="10"/>
  <c r="G158" i="10"/>
  <c r="E158" i="10"/>
  <c r="D158" i="10"/>
  <c r="H157" i="10"/>
  <c r="G157" i="10"/>
  <c r="E157" i="10"/>
  <c r="D157" i="10"/>
  <c r="H156" i="10"/>
  <c r="G156" i="10"/>
  <c r="E156" i="10"/>
  <c r="D156" i="10"/>
  <c r="H155" i="10"/>
  <c r="G155" i="10"/>
  <c r="E155" i="10"/>
  <c r="D155" i="10"/>
  <c r="H154" i="10"/>
  <c r="G154" i="10"/>
  <c r="E154" i="10"/>
  <c r="D154" i="10"/>
  <c r="H153" i="10"/>
  <c r="G153" i="10"/>
  <c r="E153" i="10"/>
  <c r="D153" i="10"/>
  <c r="H152" i="10"/>
  <c r="G152" i="10"/>
  <c r="E152" i="10"/>
  <c r="D152" i="10"/>
  <c r="H151" i="10"/>
  <c r="G151" i="10"/>
  <c r="E151" i="10"/>
  <c r="D151" i="10"/>
  <c r="H150" i="10"/>
  <c r="G150" i="10"/>
  <c r="E150" i="10"/>
  <c r="D150" i="10"/>
  <c r="H149" i="10"/>
  <c r="G149" i="10"/>
  <c r="E149" i="10"/>
  <c r="D149" i="10"/>
  <c r="H148" i="10"/>
  <c r="G148" i="10"/>
  <c r="E148" i="10"/>
  <c r="D148" i="10"/>
  <c r="H147" i="10"/>
  <c r="G147" i="10"/>
  <c r="E147" i="10"/>
  <c r="D147" i="10"/>
  <c r="H146" i="10"/>
  <c r="G146" i="10"/>
  <c r="E146" i="10"/>
  <c r="D146" i="10"/>
  <c r="H145" i="10"/>
  <c r="G145" i="10"/>
  <c r="E145" i="10"/>
  <c r="D145" i="10"/>
  <c r="H144" i="10"/>
  <c r="G144" i="10"/>
  <c r="E144" i="10"/>
  <c r="D144" i="10"/>
  <c r="H143" i="10"/>
  <c r="G143" i="10"/>
  <c r="E143" i="10"/>
  <c r="D143" i="10"/>
  <c r="H142" i="10"/>
  <c r="G142" i="10"/>
  <c r="E142" i="10"/>
  <c r="D142" i="10"/>
  <c r="H141" i="10"/>
  <c r="G141" i="10"/>
  <c r="E141" i="10"/>
  <c r="D141" i="10"/>
  <c r="H140" i="10"/>
  <c r="G140" i="10"/>
  <c r="E140" i="10"/>
  <c r="D140" i="10"/>
  <c r="H139" i="10"/>
  <c r="G139" i="10"/>
  <c r="E139" i="10"/>
  <c r="D139" i="10"/>
  <c r="H138" i="10"/>
  <c r="G138" i="10"/>
  <c r="E138" i="10"/>
  <c r="D138" i="10"/>
  <c r="H137" i="10"/>
  <c r="G137" i="10"/>
  <c r="E137" i="10"/>
  <c r="D137" i="10"/>
  <c r="H136" i="10"/>
  <c r="G136" i="10"/>
  <c r="E136" i="10"/>
  <c r="D136" i="10"/>
  <c r="H135" i="10"/>
  <c r="G135" i="10"/>
  <c r="E135" i="10"/>
  <c r="D135" i="10"/>
  <c r="H134" i="10"/>
  <c r="G134" i="10"/>
  <c r="E134" i="10"/>
  <c r="D134" i="10"/>
  <c r="H133" i="10"/>
  <c r="G133" i="10"/>
  <c r="E133" i="10"/>
  <c r="D133" i="10"/>
  <c r="H132" i="10"/>
  <c r="G132" i="10"/>
  <c r="E132" i="10"/>
  <c r="D132" i="10"/>
  <c r="H131" i="10"/>
  <c r="G131" i="10"/>
  <c r="E131" i="10"/>
  <c r="D131" i="10"/>
  <c r="H130" i="10"/>
  <c r="G130" i="10"/>
  <c r="E130" i="10"/>
  <c r="D130" i="10"/>
  <c r="H129" i="10"/>
  <c r="G129" i="10"/>
  <c r="E129" i="10"/>
  <c r="D129" i="10"/>
  <c r="H128" i="10"/>
  <c r="G128" i="10"/>
  <c r="E128" i="10"/>
  <c r="D128" i="10"/>
  <c r="H127" i="10"/>
  <c r="G127" i="10"/>
  <c r="E127" i="10"/>
  <c r="D127" i="10"/>
  <c r="H126" i="10"/>
  <c r="G126" i="10"/>
  <c r="E126" i="10"/>
  <c r="D126" i="10"/>
  <c r="H125" i="10"/>
  <c r="G125" i="10"/>
  <c r="E125" i="10"/>
  <c r="D125" i="10"/>
  <c r="H124" i="10"/>
  <c r="G124" i="10"/>
  <c r="E124" i="10"/>
  <c r="D124" i="10"/>
  <c r="H123" i="10"/>
  <c r="G123" i="10"/>
  <c r="E123" i="10"/>
  <c r="D123" i="10"/>
  <c r="H122" i="10"/>
  <c r="G122" i="10"/>
  <c r="E122" i="10"/>
  <c r="D122" i="10"/>
  <c r="H121" i="10"/>
  <c r="G121" i="10"/>
  <c r="E121" i="10"/>
  <c r="D121" i="10"/>
  <c r="H120" i="10"/>
  <c r="G120" i="10"/>
  <c r="E120" i="10"/>
  <c r="D120" i="10"/>
  <c r="H119" i="10"/>
  <c r="G119" i="10"/>
  <c r="E119" i="10"/>
  <c r="D119" i="10"/>
  <c r="H118" i="10"/>
  <c r="G118" i="10"/>
  <c r="E118" i="10"/>
  <c r="D118" i="10"/>
  <c r="H117" i="10"/>
  <c r="G117" i="10"/>
  <c r="E117" i="10"/>
  <c r="D117" i="10"/>
  <c r="H116" i="10"/>
  <c r="G116" i="10"/>
  <c r="E116" i="10"/>
  <c r="D116" i="10"/>
  <c r="H115" i="10"/>
  <c r="G115" i="10"/>
  <c r="E115" i="10"/>
  <c r="D115" i="10"/>
  <c r="H114" i="10"/>
  <c r="G114" i="10"/>
  <c r="E114" i="10"/>
  <c r="D114" i="10"/>
  <c r="H113" i="10"/>
  <c r="G113" i="10"/>
  <c r="E113" i="10"/>
  <c r="D113" i="10"/>
  <c r="H112" i="10"/>
  <c r="G112" i="10"/>
  <c r="E112" i="10"/>
  <c r="D112" i="10"/>
  <c r="H111" i="10"/>
  <c r="G111" i="10"/>
  <c r="E111" i="10"/>
  <c r="D111" i="10"/>
  <c r="H110" i="10"/>
  <c r="G110" i="10"/>
  <c r="E110" i="10"/>
  <c r="D110" i="10"/>
  <c r="H109" i="10"/>
  <c r="G109" i="10"/>
  <c r="E109" i="10"/>
  <c r="D109" i="10"/>
  <c r="H108" i="10"/>
  <c r="G108" i="10"/>
  <c r="E108" i="10"/>
  <c r="D108" i="10"/>
  <c r="H107" i="10"/>
  <c r="G107" i="10"/>
  <c r="E107" i="10"/>
  <c r="D107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emersongimenez</author>
  </authors>
  <commentList>
    <comment ref="A3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CNPJ FILIAL COMPRADORA S/ CARACTERES</t>
        </r>
      </text>
    </comment>
    <comment ref="B3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SERI NF PRODUTOR GG4019</t>
        </r>
      </text>
    </comment>
    <comment ref="C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NF PRODUTOR GG4019
</t>
        </r>
      </text>
    </comment>
    <comment ref="E3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PLACA GG4019
</t>
        </r>
      </text>
    </comment>
    <comment ref="G3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 FORNECEDOR S/ CARACTERES</t>
        </r>
      </text>
    </comment>
    <comment ref="I3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CNPJ DO PORTO COM CARACTERES</t>
        </r>
      </text>
    </comment>
    <comment ref="J3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DATA DA DESCARGA NO PORTO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emersongimenez</author>
  </authors>
  <commentList>
    <comment ref="A3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CNPJ FILIAL COMPRADORA S/ CARACTERES</t>
        </r>
      </text>
    </comment>
    <comment ref="B3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SERI NF PRODUTOR GG4019</t>
        </r>
      </text>
    </comment>
    <comment ref="C3" authorId="0" shapeId="0" xr:uid="{00000000-0006-0000-0100-000003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NF PRODUTOR GG4019
</t>
        </r>
      </text>
    </comment>
    <comment ref="E3" authorId="0" shapeId="0" xr:uid="{00000000-0006-0000-0100-000004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PLACA GG4019
</t>
        </r>
      </text>
    </comment>
    <comment ref="G3" authorId="0" shapeId="0" xr:uid="{00000000-0006-0000-0100-000005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 FORNECEDOR S/ CARACTERES</t>
        </r>
      </text>
    </comment>
    <comment ref="I3" authorId="0" shapeId="0" xr:uid="{00000000-0006-0000-0100-000006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CNPJ DO PORTO COM CARACTERES</t>
        </r>
      </text>
    </comment>
    <comment ref="J3" authorId="0" shapeId="0" xr:uid="{00000000-0006-0000-0100-000007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DATA DA DESCARGA NO PORTO
</t>
        </r>
      </text>
    </comment>
  </commentList>
</comments>
</file>

<file path=xl/sharedStrings.xml><?xml version="1.0" encoding="utf-8"?>
<sst xmlns="http://schemas.openxmlformats.org/spreadsheetml/2006/main" count="272" uniqueCount="175">
  <si>
    <t>CNPJ</t>
  </si>
  <si>
    <t>Origem</t>
  </si>
  <si>
    <t>Contagem de C2</t>
  </si>
  <si>
    <t>C1</t>
  </si>
  <si>
    <t>Total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</si>
  <si>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</si>
  <si>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</si>
  <si>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</si>
  <si>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</si>
  <si>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</si>
  <si>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</si>
  <si>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</si>
  <si>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</si>
  <si>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</si>
  <si>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</si>
  <si>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</si>
  <si>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</si>
  <si>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</si>
  <si>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Estab</t>
  </si>
  <si>
    <t>Serie</t>
  </si>
  <si>
    <t>Notas fiscais</t>
  </si>
  <si>
    <t>DCL</t>
  </si>
  <si>
    <t>Identificação</t>
  </si>
  <si>
    <t>Fornecedor Referência</t>
  </si>
  <si>
    <t>Destino Fiscal</t>
  </si>
  <si>
    <t>Destino FINAL</t>
  </si>
  <si>
    <t>Descarga (kg)</t>
  </si>
  <si>
    <t>Vagão</t>
  </si>
  <si>
    <t>Data</t>
  </si>
  <si>
    <t>Hora Descarga</t>
  </si>
  <si>
    <t>Bruto</t>
  </si>
  <si>
    <t>Tara</t>
  </si>
  <si>
    <t>Líquido</t>
  </si>
  <si>
    <t>Nota fiscal</t>
  </si>
  <si>
    <t>DOCUMENTO FISCAL (DCL)</t>
  </si>
  <si>
    <t>PLACA VAGAO</t>
  </si>
  <si>
    <t>Filial</t>
  </si>
  <si>
    <t>Terminal</t>
  </si>
  <si>
    <t>15.143.827/0002-02</t>
  </si>
  <si>
    <t>Data descarga</t>
  </si>
  <si>
    <t>Peso liquido Descarga</t>
  </si>
  <si>
    <t>C15</t>
  </si>
  <si>
    <t>C16</t>
  </si>
  <si>
    <t>C17</t>
  </si>
  <si>
    <t>C18</t>
  </si>
  <si>
    <t>C19</t>
  </si>
  <si>
    <t>C20</t>
  </si>
  <si>
    <t>A</t>
  </si>
  <si>
    <t>Automatico</t>
  </si>
  <si>
    <t>------</t>
  </si>
  <si>
    <t>Igual coluna A</t>
  </si>
  <si>
    <t>UF</t>
  </si>
  <si>
    <t>Estab.</t>
  </si>
  <si>
    <t>Série</t>
  </si>
  <si>
    <t>SANTOS</t>
  </si>
  <si>
    <t>SP</t>
  </si>
  <si>
    <t>LONDRINA</t>
  </si>
  <si>
    <t>PR</t>
  </si>
  <si>
    <t>PORTO ALEGRE</t>
  </si>
  <si>
    <t>RS</t>
  </si>
  <si>
    <t>MARINGÁ</t>
  </si>
  <si>
    <t>LUIS EDUARDO MAGALHÃES</t>
  </si>
  <si>
    <t>BA</t>
  </si>
  <si>
    <t>JATAÍ</t>
  </si>
  <si>
    <t>GO</t>
  </si>
  <si>
    <t>NOVA UBIRATÃ</t>
  </si>
  <si>
    <t>MT</t>
  </si>
  <si>
    <t>PONTA GROSSA</t>
  </si>
  <si>
    <t>SINOP</t>
  </si>
  <si>
    <t>MATUPA</t>
  </si>
  <si>
    <t>NOVO MUNDO</t>
  </si>
  <si>
    <t>MARCELANDIA</t>
  </si>
  <si>
    <t>PARAGOMINAS</t>
  </si>
  <si>
    <t>PA</t>
  </si>
  <si>
    <t>SORRISO</t>
  </si>
  <si>
    <t>NOVA UBIRATÃ2</t>
  </si>
  <si>
    <t>CANARANA</t>
  </si>
  <si>
    <t>IPIRANGA DO NORTE</t>
  </si>
  <si>
    <t>SANTA CARMEN</t>
  </si>
  <si>
    <t>NOVA SANTA HELENA</t>
  </si>
  <si>
    <t>CLÁUDIA</t>
  </si>
  <si>
    <t>TANGARA DA SERRA</t>
  </si>
  <si>
    <t>IMBITUVA</t>
  </si>
  <si>
    <t>ARROIO GRANDE</t>
  </si>
  <si>
    <t>PALMEIRA DAS MISSÕES</t>
  </si>
  <si>
    <t>SILVANÓPOLIS</t>
  </si>
  <si>
    <t>TO</t>
  </si>
  <si>
    <t>SANTA ROSA DO TOCANTINS</t>
  </si>
  <si>
    <t>NOVA MUTUM</t>
  </si>
  <si>
    <t>CORRENTE</t>
  </si>
  <si>
    <t>PI</t>
  </si>
  <si>
    <t>UBERLÂNDIA</t>
  </si>
  <si>
    <t>MG</t>
  </si>
  <si>
    <t>BOTUCATU</t>
  </si>
  <si>
    <t>RONDONÓPOLIS</t>
  </si>
  <si>
    <t>PORTO ALEGRE2</t>
  </si>
  <si>
    <t>CAMPO VERDE</t>
  </si>
  <si>
    <t>NOVA MARINGA</t>
  </si>
  <si>
    <t>LUCAS DO RIO VERDE</t>
  </si>
  <si>
    <t>PRIMAVERA DO LESTE</t>
  </si>
  <si>
    <t>ITANHANGA</t>
  </si>
  <si>
    <t>DIAMANTINO</t>
  </si>
  <si>
    <t>PEDRA PRETA</t>
  </si>
  <si>
    <t>06315338000380</t>
  </si>
  <si>
    <t>06315338000542</t>
  </si>
  <si>
    <t>06315338001514</t>
  </si>
  <si>
    <t>06315338001603</t>
  </si>
  <si>
    <t>06315338001948</t>
  </si>
  <si>
    <t>06315338005005</t>
  </si>
  <si>
    <t>06315338002839</t>
  </si>
  <si>
    <t>06315338003053</t>
  </si>
  <si>
    <t>06315338003134</t>
  </si>
  <si>
    <t>06315338016546</t>
  </si>
  <si>
    <t>06315338016970</t>
  </si>
  <si>
    <t>06315338017194</t>
  </si>
  <si>
    <t>06315338017356</t>
  </si>
  <si>
    <t>06315338018247</t>
  </si>
  <si>
    <t>06315338018409</t>
  </si>
  <si>
    <t>06315338018166</t>
  </si>
  <si>
    <t>06315338018085</t>
  </si>
  <si>
    <t>06315338018670</t>
  </si>
  <si>
    <t>06315338018328</t>
  </si>
  <si>
    <t>06315338017941</t>
  </si>
  <si>
    <t>06315338018590</t>
  </si>
  <si>
    <t>06315338018832</t>
  </si>
  <si>
    <t>06315338019138</t>
  </si>
  <si>
    <t>06315338019723</t>
  </si>
  <si>
    <t>06315338019308</t>
  </si>
  <si>
    <t>06315338019480</t>
  </si>
  <si>
    <t>06315338020659</t>
  </si>
  <si>
    <t>06315338019561</t>
  </si>
  <si>
    <t>06315338017780</t>
  </si>
  <si>
    <t>06315338021540</t>
  </si>
  <si>
    <t>29332398001206</t>
  </si>
  <si>
    <t>29332398003675</t>
  </si>
  <si>
    <t>29332398000307</t>
  </si>
  <si>
    <t>29332398000730</t>
  </si>
  <si>
    <t>29332398000498</t>
  </si>
  <si>
    <t>29332398000226</t>
  </si>
  <si>
    <t>29332398001389</t>
  </si>
  <si>
    <t>29332398000811</t>
  </si>
  <si>
    <t>29332398000579</t>
  </si>
  <si>
    <t>29332398001036</t>
  </si>
  <si>
    <t>29332398001460</t>
  </si>
  <si>
    <t>20/21</t>
  </si>
  <si>
    <t>1</t>
  </si>
  <si>
    <t>C21</t>
  </si>
  <si>
    <t>C22</t>
  </si>
  <si>
    <t>C23</t>
  </si>
  <si>
    <t>C24</t>
  </si>
  <si>
    <t>C25</t>
  </si>
  <si>
    <t>C26</t>
  </si>
  <si>
    <t>C27</t>
  </si>
  <si>
    <t>C28</t>
  </si>
  <si>
    <t>M</t>
  </si>
  <si>
    <t>P</t>
  </si>
  <si>
    <t>G</t>
  </si>
  <si>
    <t>W</t>
  </si>
  <si>
    <t>42.276.907/0002-09</t>
  </si>
  <si>
    <t>20210126-TIPI-124405</t>
  </si>
  <si>
    <t>Soja Trato</t>
  </si>
  <si>
    <t>COFCO INTERNATIONAL BRASIL S.A. - UBERLANDIA</t>
  </si>
  <si>
    <t>06.315.338/0177-80</t>
  </si>
  <si>
    <t>COFCO INTERNATIONAL BRASIL S A - UBERLANDIA</t>
  </si>
  <si>
    <t>COFCO INTERNATIONAL BRASIL S.A. - Uberlândia</t>
  </si>
  <si>
    <t>QXP5H05</t>
  </si>
  <si>
    <t>ICARO BATISTA LOPES</t>
  </si>
  <si>
    <t>16759</t>
  </si>
  <si>
    <t>31210106315338017780550010000167591179525360</t>
  </si>
  <si>
    <t>Vitória ES - Tubarão</t>
  </si>
  <si>
    <t>20210126-TIPI-124406</t>
  </si>
  <si>
    <t>QXP5H02</t>
  </si>
  <si>
    <t>MAX ANTONIO DA SILVA</t>
  </si>
  <si>
    <t>16762</t>
  </si>
  <si>
    <t>31210106315338017780550010000167621635212647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</si>
</sst>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10409]#,##0"/>
    <numFmt numFmtId="165" formatCode="[$-416]dd\-mmm\-yy;@"/>
    <numFmt numFmtId="166" formatCode="#,##0.000"/>
    <numFmt numFmtId="167" formatCode="#,#00"/>
  </numFmts>
  <fonts count="19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rgb="FF222222"/>
      <name val="Arial"/>
      <family val="2"/>
    </font>
    <font>
      <b/>
      <sz val="12"/>
      <color rgb="FF000000"/>
      <name val="Arial"/>
      <family val="2"/>
    </font>
    <font>
      <sz val="12"/>
      <color rgb="FF000000"/>
      <name val="Arial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FF"/>
        <bgColor rgb="FF000000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rgb="FFE8DCDC"/>
      </left>
      <right style="thin">
        <color rgb="FFE8DCDC"/>
      </right>
      <top style="thin">
        <color rgb="FFE8DCDC"/>
      </top>
      <bottom/>
      <diagonal/>
    </border>
    <border>
      <left/>
      <right style="thin">
        <color rgb="FFE8DCDC"/>
      </right>
      <top style="thin">
        <color rgb="FFE8DCDC"/>
      </top>
      <bottom/>
      <diagonal/>
    </border>
    <border>
      <left/>
      <right style="thin">
        <color rgb="FFE8DCDC"/>
      </right>
      <top/>
      <bottom/>
      <diagonal/>
    </border>
    <border>
      <left style="thin">
        <color theme="2" tint="-9.9978637043366805E-2"/>
      </left>
      <right style="thin">
        <color theme="2" tint="-9.9978637043366805E-2"/>
      </right>
      <top/>
      <bottom/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7" fillId="0" borderId="0"/>
    <xf numFmtId="0" fontId="8" fillId="0" borderId="0"/>
    <xf numFmtId="0" fontId="9" fillId="2" borderId="0" applyNumberFormat="0" applyBorder="0" applyAlignment="0" applyProtection="0"/>
    <xf numFmtId="0" fontId="10" fillId="3" borderId="0" applyNumberFormat="0" applyBorder="0" applyAlignment="0" applyProtection="0"/>
  </cellStyleXfs>
  <cellXfs count="86">
    <xf numFmtId="0" fontId="0" fillId="0" borderId="0" xfId="0"/>
    <xf numFmtId="49" fontId="0" fillId="0" borderId="0" xfId="0" applyNumberFormat="1"/>
    <xf numFmtId="0" fontId="5" fillId="0" borderId="0" xfId="0" applyFont="1" applyAlignment="1" applyProtection="1">
      <alignment horizontal="center" vertical="top"/>
      <protection locked="0"/>
    </xf>
    <xf numFmtId="0" fontId="4" fillId="0" borderId="0" xfId="0" applyFont="1" applyAlignment="1" applyProtection="1">
      <alignment horizontal="right" vertical="top"/>
      <protection locked="0"/>
    </xf>
    <xf numFmtId="0" fontId="6" fillId="0" borderId="0" xfId="0" applyFont="1"/>
    <xf numFmtId="49" fontId="6" fillId="0" borderId="0" xfId="2" applyNumberFormat="1" applyFont="1"/>
    <xf numFmtId="0" fontId="3" fillId="0" borderId="0" xfId="0" applyFont="1"/>
    <xf numFmtId="49" fontId="2" fillId="0" borderId="0" xfId="0" applyNumberFormat="1" applyFont="1"/>
    <xf numFmtId="1" fontId="0" fillId="0" borderId="0" xfId="0" applyNumberFormat="1"/>
    <xf numFmtId="0" fontId="7" fillId="0" borderId="0" xfId="3"/>
    <xf numFmtId="0" fontId="0" fillId="0" borderId="0" xfId="0" quotePrefix="1"/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0" fillId="0" borderId="12" xfId="0" applyNumberFormat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3" fontId="0" fillId="0" borderId="11" xfId="0" applyNumberFormat="1" applyBorder="1" applyAlignment="1">
      <alignment horizontal="center" vertical="center"/>
    </xf>
    <xf numFmtId="3" fontId="0" fillId="0" borderId="13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49" fontId="0" fillId="0" borderId="15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4" fontId="0" fillId="0" borderId="16" xfId="0" applyNumberFormat="1" applyBorder="1" applyAlignment="1">
      <alignment horizontal="center" vertical="center" wrapText="1"/>
    </xf>
    <xf numFmtId="49" fontId="0" fillId="0" borderId="16" xfId="0" applyNumberFormat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65" fontId="0" fillId="0" borderId="18" xfId="0" applyNumberFormat="1" applyBorder="1" applyAlignment="1">
      <alignment horizontal="center" vertical="center"/>
    </xf>
    <xf numFmtId="3" fontId="0" fillId="0" borderId="16" xfId="0" applyNumberFormat="1" applyBorder="1" applyAlignment="1">
      <alignment horizontal="center" vertical="center"/>
    </xf>
    <xf numFmtId="3" fontId="0" fillId="0" borderId="19" xfId="0" applyNumberFormat="1" applyBorder="1" applyAlignment="1">
      <alignment horizontal="center" vertical="center"/>
    </xf>
    <xf numFmtId="49" fontId="11" fillId="0" borderId="20" xfId="0" applyNumberFormat="1" applyFont="1" applyBorder="1" applyAlignment="1">
      <alignment horizontal="center" vertical="center"/>
    </xf>
    <xf numFmtId="165" fontId="11" fillId="0" borderId="20" xfId="0" applyNumberFormat="1" applyFont="1" applyBorder="1" applyAlignment="1">
      <alignment horizontal="center" vertical="center"/>
    </xf>
    <xf numFmtId="0" fontId="11" fillId="0" borderId="20" xfId="0" applyFont="1" applyBorder="1" applyAlignment="1">
      <alignment horizontal="center" vertical="center"/>
    </xf>
    <xf numFmtId="14" fontId="0" fillId="0" borderId="20" xfId="0" applyNumberFormat="1" applyBorder="1" applyAlignment="1">
      <alignment horizontal="center" vertical="center"/>
    </xf>
    <xf numFmtId="49" fontId="0" fillId="0" borderId="20" xfId="0" applyNumberFormat="1" applyBorder="1" applyAlignment="1">
      <alignment horizontal="center" vertical="center"/>
    </xf>
    <xf numFmtId="14" fontId="11" fillId="0" borderId="20" xfId="0" applyNumberFormat="1" applyFont="1" applyBorder="1" applyAlignment="1">
      <alignment horizontal="center" vertical="center"/>
    </xf>
    <xf numFmtId="3" fontId="0" fillId="0" borderId="20" xfId="0" applyNumberFormat="1" applyBorder="1" applyAlignment="1">
      <alignment horizontal="center" vertical="center"/>
    </xf>
    <xf numFmtId="3" fontId="11" fillId="0" borderId="20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4" borderId="20" xfId="0" quotePrefix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1" xfId="0" applyFont="1" applyFill="1" applyBorder="1" applyAlignment="1">
      <alignment horizontal="center" vertical="center"/>
    </xf>
    <xf numFmtId="0" fontId="14" fillId="0" borderId="0" xfId="0" applyFont="1"/>
    <xf numFmtId="0" fontId="16" fillId="6" borderId="0" xfId="0" applyFont="1" applyFill="1" applyAlignment="1">
      <alignment horizontal="center" vertical="center"/>
    </xf>
    <xf numFmtId="0" fontId="16" fillId="6" borderId="0" xfId="0" applyFont="1" applyFill="1" applyAlignment="1">
      <alignment horizontal="center" vertical="center" wrapText="1"/>
    </xf>
    <xf numFmtId="0" fontId="15" fillId="6" borderId="0" xfId="0" applyFont="1" applyFill="1" applyAlignment="1">
      <alignment horizontal="center" vertical="center" wrapText="1"/>
    </xf>
    <xf numFmtId="0" fontId="16" fillId="7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 wrapText="1"/>
    </xf>
    <xf numFmtId="0" fontId="15" fillId="7" borderId="0" xfId="0" applyFont="1" applyFill="1" applyAlignment="1">
      <alignment horizontal="center" vertical="center" wrapText="1"/>
    </xf>
    <xf numFmtId="0" fontId="0" fillId="8" borderId="20" xfId="0" applyFill="1" applyBorder="1" applyAlignment="1">
      <alignment horizontal="center" vertical="center"/>
    </xf>
    <xf numFmtId="0" fontId="0" fillId="8" borderId="20" xfId="0" applyNumberFormat="1" applyFill="1" applyBorder="1" applyAlignment="1">
      <alignment horizontal="center" vertical="center"/>
    </xf>
    <xf numFmtId="0" fontId="6" fillId="8" borderId="20" xfId="0" applyFont="1" applyFill="1" applyBorder="1" applyAlignment="1">
      <alignment horizontal="center" vertical="center"/>
    </xf>
    <xf numFmtId="0" fontId="15" fillId="5" borderId="22" xfId="0" applyFont="1" applyFill="1" applyBorder="1" applyAlignment="1">
      <alignment horizontal="center" vertical="center"/>
    </xf>
    <xf numFmtId="0" fontId="15" fillId="5" borderId="23" xfId="0" applyFont="1" applyFill="1" applyBorder="1" applyAlignment="1">
      <alignment horizontal="center" vertical="center" wrapText="1"/>
    </xf>
    <xf numFmtId="0" fontId="15" fillId="5" borderId="24" xfId="0" applyFont="1" applyFill="1" applyBorder="1" applyAlignment="1">
      <alignment horizontal="center" vertical="center" wrapText="1"/>
    </xf>
    <xf numFmtId="0" fontId="16" fillId="6" borderId="0" xfId="0" quotePrefix="1" applyFont="1" applyFill="1" applyAlignment="1">
      <alignment horizontal="center" vertical="center" wrapText="1"/>
    </xf>
    <xf numFmtId="0" fontId="16" fillId="7" borderId="0" xfId="0" quotePrefix="1" applyFont="1" applyFill="1" applyAlignment="1">
      <alignment horizontal="center" vertical="center" wrapText="1"/>
    </xf>
    <xf numFmtId="20" fontId="0" fillId="9" borderId="26" xfId="0" applyNumberFormat="1" applyFill="1" applyBorder="1" applyAlignment="1">
      <alignment wrapText="1"/>
    </xf>
    <xf numFmtId="49" fontId="0" fillId="9" borderId="26" xfId="0" applyNumberFormat="1" applyFill="1" applyBorder="1" applyAlignment="1">
      <alignment horizontal="right" wrapText="1"/>
    </xf>
    <xf numFmtId="14" fontId="0" fillId="9" borderId="27" xfId="0" applyNumberFormat="1" applyFill="1" applyBorder="1" applyAlignment="1">
      <alignment horizontal="center" wrapText="1"/>
    </xf>
    <xf numFmtId="166" fontId="0" fillId="9" borderId="26" xfId="0" applyNumberFormat="1" applyFill="1" applyBorder="1" applyAlignment="1">
      <alignment horizontal="right" wrapText="1"/>
    </xf>
    <xf numFmtId="49" fontId="0" fillId="9" borderId="27" xfId="0" applyNumberFormat="1" applyFill="1" applyBorder="1" applyAlignment="1">
      <alignment horizontal="right" wrapText="1"/>
    </xf>
    <xf numFmtId="166" fontId="0" fillId="9" borderId="27" xfId="0" applyNumberFormat="1" applyFill="1" applyBorder="1" applyAlignment="1">
      <alignment horizontal="right" wrapText="1"/>
    </xf>
    <xf numFmtId="166" fontId="0" fillId="9" borderId="0" xfId="0" applyNumberFormat="1" applyFill="1" applyAlignment="1">
      <alignment horizontal="right"/>
    </xf>
    <xf numFmtId="166" fontId="0" fillId="9" borderId="28" xfId="0" applyNumberFormat="1" applyFill="1" applyBorder="1"/>
    <xf numFmtId="0" fontId="0" fillId="9" borderId="28" xfId="0" applyFill="1" applyBorder="1" applyAlignment="1">
      <alignment horizontal="center"/>
    </xf>
    <xf numFmtId="164" fontId="0" fillId="8" borderId="20" xfId="0" applyNumberFormat="1" applyFill="1" applyBorder="1" applyAlignment="1">
      <alignment horizontal="center" vertical="center"/>
    </xf>
    <xf numFmtId="0" fontId="18" fillId="0" borderId="0" xfId="0" quotePrefix="1" applyFont="1"/>
    <xf numFmtId="167" fontId="0" fillId="0" borderId="0" xfId="0" applyNumberFormat="1"/>
    <xf numFmtId="14" fontId="0" fillId="0" borderId="0" xfId="0" applyNumberFormat="1"/>
    <xf numFmtId="14" fontId="0" fillId="9" borderId="25" xfId="0" applyNumberFormat="1" applyFill="1" applyBorder="1" applyAlignment="1">
      <alignment wrapText="1"/>
    </xf>
    <xf numFmtId="49" fontId="0" fillId="0" borderId="4" xfId="0" applyNumberForma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 wrapText="1"/>
    </xf>
    <xf numFmtId="14" fontId="0" fillId="0" borderId="11" xfId="0" applyNumberFormat="1" applyBorder="1" applyAlignment="1">
      <alignment horizontal="center" vertical="center" wrapText="1"/>
    </xf>
  </cellXfs>
  <cellStyles count="7">
    <cellStyle name="Incorreto" xfId="5" xr:uid="{00000000-0005-0000-0000-000000000000}"/>
    <cellStyle name="Neutra" xfId="6" xr:uid="{00000000-0005-0000-0000-000001000000}"/>
    <cellStyle name="Normal" xfId="0" builtinId="0"/>
    <cellStyle name="Normal 2" xfId="1" xr:uid="{00000000-0005-0000-0000-000003000000}"/>
    <cellStyle name="Normal 3" xfId="2" xr:uid="{00000000-0005-0000-0000-000004000000}"/>
    <cellStyle name="Normal 4" xfId="3" xr:uid="{00000000-0005-0000-0000-000005000000}"/>
    <cellStyle name="Normal 5" xfId="4" xr:uid="{00000000-0005-0000-0000-000006000000}"/>
  </cellStyles>
  <dxfs count="20"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Diamond/BaixaDeTransito/Arquivos_DataSul/8%20-%20VLI%20-%20DESCARGA%20TRANSBORDO/MACR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D"/>
      <sheetName val=""/>
      <sheetName val="BASE"/>
      <sheetName val="dados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lson" refreshedDate="44228.655672106484" createdVersion="6" refreshedVersion="6" minRefreshableVersion="3" recordCount="2" xr:uid="{00000000-000A-0000-FFFF-FFFF37000000}">
  <cacheSource type="worksheet">
    <worksheetSource name="=tbl_dinamica"/>
  </cacheSource>
  <cacheFields count="28">
    <cacheField name="C1" numFmtId="14">
      <sharedItems containsSemiMixedTypes="0" containsNonDate="0" containsDate="1" containsString="0" minDate="2021-01-27T00:00:00" maxDate="2021-01-28T00:00:00"/>
    </cacheField>
    <cacheField name="C2" numFmtId="20">
      <sharedItems containsSemiMixedTypes="0" containsNonDate="0" containsDate="1" containsString="0" minDate="1899-12-30T15:29:17" maxDate="1899-12-30T17:03:42"/>
    </cacheField>
    <cacheField name="C3" numFmtId="49">
      <sharedItems/>
    </cacheField>
    <cacheField name="C4" numFmtId="49">
      <sharedItems/>
    </cacheField>
    <cacheField name="C5" numFmtId="49">
      <sharedItems/>
    </cacheField>
    <cacheField name="C6" numFmtId="49">
      <sharedItems/>
    </cacheField>
    <cacheField name="C7" numFmtId="49">
      <sharedItems count="2">
        <s v="06.315.338/0177-80"/>
        <s v="06.315.338/0181-66" u="1"/>
      </sharedItems>
    </cacheField>
    <cacheField name="C8" numFmtId="49">
      <sharedItems/>
    </cacheField>
    <cacheField name="C9" numFmtId="49">
      <sharedItems/>
    </cacheField>
    <cacheField name="C10" numFmtId="49">
      <sharedItems/>
    </cacheField>
    <cacheField name="C11" numFmtId="49">
      <sharedItems/>
    </cacheField>
    <cacheField name="C12" numFmtId="49">
      <sharedItems containsNonDate="0" containsString="0" containsBlank="1"/>
    </cacheField>
    <cacheField name="C13" numFmtId="49">
      <sharedItems/>
    </cacheField>
    <cacheField name="C14" numFmtId="49">
      <sharedItems containsBlank="1" count="54">
        <s v="ICARO BATISTA LOPES"/>
        <s v="MAX ANTONIO DA SILVA"/>
        <s v="MARCELO CALLION" u="1"/>
        <s v="DANIEL FERREIRA LUCAS " u="1"/>
        <s v="DANIEL NUNES DE FREITAS" u="1"/>
        <m u="1"/>
        <s v="EDIVALDO MENDES DA SILVA" u="1"/>
        <s v="CLEIDSON BARBOSA" u="1"/>
        <s v="MARCO ANTONIO DA SILVA" u="1"/>
        <s v="Wellington José Soares " u="1"/>
        <s v="LEANDRO AUGUSTO DA SILVA" u="1"/>
        <s v="29.332.398/0003-07" u="1"/>
        <s v="LUIZ FERNANDO DE OLIVEIRA" u="1"/>
        <s v="06.315.338/0177-80" u="1"/>
        <s v="IGOR PEIXOTO BRETAS" u="1"/>
        <s v="ROBSON DE CASTRO MARTINS" u="1"/>
        <s v="RAIMUNDO DA SILVA  ARAUJO" u="1"/>
        <s v="ORIVALDO DA COSTA" u="1"/>
        <s v="JOSE ROBERTO CAVALARO" u="1"/>
        <s v="AILTON BARBOSA DE LIMA" u="1"/>
        <s v="WISLEY LEMES DE MORAIS" u="1"/>
        <s v="GILBERTO SOARES DE OLIVEIRA" u="1"/>
        <s v="CASSIO DANILO HERACTO CORREIA" u="1"/>
        <s v="VILSONMAR SOARES ROCHA" u="1"/>
        <s v="ANTONIO GILBERTO DA CUNHA" u="1"/>
        <s v="FLORIVALDO FRANCISCO DE SOUZA" u="1"/>
        <s v="29.332.398/0002-26" u="1"/>
        <s v="29.332.398/0013-89" u="1"/>
        <s v="06.315.338/0028-39" u="1"/>
        <s v="06.315.338/0181-66" u="1"/>
        <s v="CLEIBER PEREIRA DA SILVA" u="1"/>
        <s v="HUDSON CASTRO DE PAULO" u="1"/>
        <s v="LOURIVAL APARECIDO DOS SANTOS" u="1"/>
        <s v="ROSINALDO  CELIO JARDIM" u="1"/>
        <s v="PAULO ROGERIO DE OLIVERIRA" u="1"/>
        <s v="JEANDRE DOS SANTOS FERNANDES" u="1"/>
        <s v="06.315.338/0184-09" u="1"/>
        <s v="Rafaelmedeiros de Freitas" u="1"/>
        <s v="EDSON DA SILVA PRATES" u="1"/>
        <s v="ALECIO MONTES CORREIA" u="1"/>
        <s v="LUIZ CLAUDIO JERONIMO DA SILVA" u="1"/>
        <s v="29.332.398/0010-36" u="1"/>
        <s v="MARCIO BATISTA DA LUZ" u="1"/>
        <s v="MAURILIO CUNHA DOS SANTOS" u="1"/>
        <s v="RAIMUNDO ALVES BARROS" u="1"/>
        <s v="29.332.398/0008-11" u="1"/>
        <s v="MARCOS AURELIO PEREIRA DA SILVA" u="1"/>
        <s v="Adriano Pereira" u="1"/>
        <s v="06.315.338/0206-59" u="1"/>
        <s v="MARCELO COSTA DOS SANTOS" u="1"/>
        <s v="FLAVIO RENATO CARRIJO" u="1"/>
        <s v="DIAN LUCAS FELIX VIIRA" u="1"/>
        <s v="MARCOS HUMBERTO MARTINS TERRA" u="1"/>
        <s v="FLAILTON DOS SANTOS" u="1"/>
      </sharedItems>
    </cacheField>
    <cacheField name="C15" numFmtId="14">
      <sharedItems containsSemiMixedTypes="0" containsNonDate="0" containsDate="1" containsString="0" minDate="2021-01-26T13:44:29" maxDate="2021-01-26T16:09:01"/>
    </cacheField>
    <cacheField name="C16" numFmtId="49">
      <sharedItems/>
    </cacheField>
    <cacheField name="C17" numFmtId="49">
      <sharedItems/>
    </cacheField>
    <cacheField name="C18" numFmtId="166">
      <sharedItems containsSemiMixedTypes="0" containsString="0" containsNumber="1" containsInteger="1" minValue="65052" maxValue="66014"/>
    </cacheField>
    <cacheField name="C19" numFmtId="49">
      <sharedItems/>
    </cacheField>
    <cacheField name="C20" numFmtId="49">
      <sharedItems/>
    </cacheField>
    <cacheField name="C21" numFmtId="166">
      <sharedItems containsSemiMixedTypes="0" containsString="0" containsNumber="1" minValue="73.7" maxValue="75.400000000000006"/>
    </cacheField>
    <cacheField name="C22" numFmtId="166">
      <sharedItems containsSemiMixedTypes="0" containsString="0" containsNumber="1" minValue="23.46" maxValue="24.42"/>
    </cacheField>
    <cacheField name="C23" numFmtId="166">
      <sharedItems containsSemiMixedTypes="0" containsString="0" containsNumber="1" minValue="50.24" maxValue="50.98"/>
    </cacheField>
    <cacheField name="C24" numFmtId="166">
      <sharedItems containsSemiMixedTypes="0" containsString="0" containsNumber="1" containsInteger="1" minValue="0" maxValue="0"/>
    </cacheField>
    <cacheField name="C25" numFmtId="166">
      <sharedItems containsSemiMixedTypes="0" containsString="0" containsNumber="1" minValue="50.04" maxValue="50.78"/>
    </cacheField>
    <cacheField name="C26" numFmtId="166">
      <sharedItems containsSemiMixedTypes="0" containsString="0" containsNumber="1" minValue="0.2" maxValue="0.2"/>
    </cacheField>
    <cacheField name="C27" numFmtId="166">
      <sharedItems containsSemiMixedTypes="0" containsString="0" containsNumber="1" minValue="50.04" maxValue="50.78"/>
    </cacheField>
    <cacheField name="C28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d v="2021-01-27T00:00:00"/>
    <d v="1899-12-30T15:29:17"/>
    <s v="20210126-TIPI-124405"/>
    <s v="Soja Trato"/>
    <s v="20/21"/>
    <s v="COFCO INTERNATIONAL BRASIL S.A. - UBERLANDIA"/>
    <x v="0"/>
    <s v="COFCO INTERNATIONAL BRASIL S A - UBERLANDIA"/>
    <s v="06.315.338/0177-80"/>
    <s v="COFCO INTERNATIONAL BRASIL S.A. - Uberlândia"/>
    <s v="06.315.338/0177-80"/>
    <m/>
    <s v="QXP5H05"/>
    <x v="0"/>
    <d v="2021-01-26T13:44:29"/>
    <s v="16759"/>
    <s v="1"/>
    <n v="66014"/>
    <s v="31210106315338017780550010000167591179525360"/>
    <s v="Vitória ES - Tubarão"/>
    <n v="75.400000000000006"/>
    <n v="24.42"/>
    <n v="50.98"/>
    <n v="0"/>
    <n v="50.78"/>
    <n v="0.2"/>
    <n v="50.78"/>
    <n v="1"/>
  </r>
  <r>
    <d v="2021-01-27T00:00:00"/>
    <d v="1899-12-30T17:03:42"/>
    <s v="20210126-TIPI-124406"/>
    <s v="Soja Trato"/>
    <s v="20/21"/>
    <s v="COFCO INTERNATIONAL BRASIL S.A. - UBERLANDIA"/>
    <x v="0"/>
    <s v="COFCO INTERNATIONAL BRASIL S A - UBERLANDIA"/>
    <s v="06.315.338/0177-80"/>
    <s v="COFCO INTERNATIONAL BRASIL S.A. - Uberlândia"/>
    <s v="06.315.338/0177-80"/>
    <m/>
    <s v="QXP5H02"/>
    <x v="1"/>
    <d v="2021-01-26T16:09:01"/>
    <s v="16762"/>
    <s v="1"/>
    <n v="65052"/>
    <s v="31210106315338017780550010000167621635212647"/>
    <s v="Vitória ES - Tubarão"/>
    <n v="73.7"/>
    <n v="23.46"/>
    <n v="50.24"/>
    <n v="0"/>
    <n v="50.04"/>
    <n v="0.2"/>
    <n v="50.04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ela" cacheId="4" dataOnRows="1" applyNumberFormats="0" applyBorderFormats="0" applyFontFormats="0" applyPatternFormats="0" applyAlignmentFormats="0" applyWidthHeightFormats="1" dataCaption="Dados" updatedVersion="6" showMemberPropertyTips="0" useAutoFormatting="1" rowGrandTotals="0" colGrandTotals="0" itemPrintTitles="1" createdVersion="1" indent="0" compact="0" compactData="0" gridDropZones="1">
  <location ref="L4:M6" firstHeaderRow="2" firstDataRow="2" firstDataCol="1"/>
  <pivotFields count="28">
    <pivotField compact="0" numFmtId="1" outline="0" showAll="0" includeNewItemsInFilter="1"/>
    <pivotField dataField="1" compact="0" numFmtId="14" outline="0" showAll="0" includeNewItemsInFilter="1"/>
    <pivotField compact="0" outline="0" showAll="0" includeNewItemsInFilter="1"/>
    <pivotField compact="0" numFmtId="164" outline="0" showAll="0" includeNewItemsInFilter="1"/>
    <pivotField compact="0" numFmtId="164" outline="0" showAll="0" includeNewItemsInFilter="1"/>
    <pivotField compact="0" numFmtId="164" outline="0" showAll="0" includeNewItemsInFilter="1"/>
    <pivotField axis="axisRow" compact="0" numFmtId="164" outline="0" showAll="0" includeNewItemsInFilter="1">
      <items count="3">
        <item m="1" x="1"/>
        <item x="0"/>
        <item t="default"/>
      </items>
    </pivotField>
    <pivotField compact="0" numFmtId="164" outline="0" showAll="0" includeNewItemsInFilter="1"/>
    <pivotField compact="0" numFmtId="164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>
      <items count="55">
        <item m="1" x="29"/>
        <item m="1" x="48"/>
        <item m="1" x="26"/>
        <item m="1" x="11"/>
        <item m="1" x="45"/>
        <item m="1" x="41"/>
        <item m="1" x="27"/>
        <item m="1" x="5"/>
        <item m="1" x="28"/>
        <item m="1" x="13"/>
        <item m="1" x="36"/>
        <item m="1" x="16"/>
        <item m="1" x="37"/>
        <item m="1" x="39"/>
        <item m="1" x="25"/>
        <item m="1" x="38"/>
        <item m="1" x="9"/>
        <item m="1" x="6"/>
        <item m="1" x="22"/>
        <item m="1" x="50"/>
        <item m="1" x="42"/>
        <item m="1" x="14"/>
        <item m="1" x="3"/>
        <item m="1" x="35"/>
        <item m="1" x="20"/>
        <item m="1" x="8"/>
        <item m="1" x="19"/>
        <item m="1" x="40"/>
        <item m="1" x="31"/>
        <item m="1" x="51"/>
        <item m="1" x="33"/>
        <item m="1" x="7"/>
        <item m="1" x="43"/>
        <item m="1" x="4"/>
        <item m="1" x="44"/>
        <item m="1" x="30"/>
        <item m="1" x="17"/>
        <item m="1" x="53"/>
        <item m="1" x="49"/>
        <item m="1" x="34"/>
        <item m="1" x="46"/>
        <item m="1" x="32"/>
        <item m="1" x="23"/>
        <item m="1" x="47"/>
        <item m="1" x="18"/>
        <item m="1" x="12"/>
        <item m="1" x="21"/>
        <item m="1" x="15"/>
        <item m="1" x="10"/>
        <item m="1" x="2"/>
        <item m="1" x="24"/>
        <item m="1" x="52"/>
        <item x="0"/>
        <item x="1"/>
        <item t="default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outline="0" showAll="0" includeNewItemsInFilter="1"/>
  </pivotFields>
  <rowFields count="1">
    <field x="6"/>
  </rowFields>
  <rowItems count="1">
    <i>
      <x v="1"/>
    </i>
  </rowItems>
  <colItems count="1">
    <i/>
  </colItems>
  <dataFields count="1">
    <dataField name="Contagem de C2" fld="1" subtotal="count" baseField="0" baseItem="0"/>
  </dataFields>
  <formats count="20">
    <format dxfId="19">
      <pivotArea type="all" dataOnly="0" outline="0" fieldPosition="0"/>
    </format>
    <format dxfId="18">
      <pivotArea outline="0" fieldPosition="0"/>
    </format>
    <format dxfId="17">
      <pivotArea type="origin" dataOnly="0" labelOnly="1" outline="0" fieldPosition="0"/>
    </format>
    <format dxfId="16">
      <pivotArea field="13" type="button" dataOnly="0" labelOnly="1" outline="0"/>
    </format>
    <format dxfId="15">
      <pivotArea type="topRight" dataOnly="0" labelOnly="1" outline="0" fieldPosition="0"/>
    </format>
    <format dxfId="14">
      <pivotArea type="all" dataOnly="0" outline="0" fieldPosition="0"/>
    </format>
    <format dxfId="13">
      <pivotArea outline="0" fieldPosition="0"/>
    </format>
    <format dxfId="12">
      <pivotArea type="origin" dataOnly="0" labelOnly="1" outline="0" fieldPosition="0"/>
    </format>
    <format dxfId="11">
      <pivotArea field="13" type="button" dataOnly="0" labelOnly="1" outline="0"/>
    </format>
    <format dxfId="10">
      <pivotArea type="topRight" dataOnly="0" labelOnly="1" outline="0" fieldPosition="0"/>
    </format>
    <format dxfId="9">
      <pivotArea type="all" dataOnly="0" outline="0" fieldPosition="0"/>
    </format>
    <format dxfId="8">
      <pivotArea outline="0" fieldPosition="0"/>
    </format>
    <format dxfId="7">
      <pivotArea type="origin" dataOnly="0" labelOnly="1" outline="0" fieldPosition="0"/>
    </format>
    <format dxfId="6">
      <pivotArea field="13" type="button" dataOnly="0" labelOnly="1" outline="0"/>
    </format>
    <format dxfId="5">
      <pivotArea type="topRight" dataOnly="0" labelOnly="1" outline="0" fieldPosition="0"/>
    </format>
    <format dxfId="4">
      <pivotArea type="all" dataOnly="0" outline="0" fieldPosition="0"/>
    </format>
    <format dxfId="3">
      <pivotArea outline="0" fieldPosition="0"/>
    </format>
    <format dxfId="2">
      <pivotArea type="origin" dataOnly="0" labelOnly="1" outline="0" fieldPosition="0"/>
    </format>
    <format dxfId="1">
      <pivotArea field="13" type="button" dataOnly="0" labelOnly="1" outline="0"/>
    </format>
    <format dxfId="0">
      <pivotArea type="topRight" dataOnly="0" labelOnly="1"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1"/>
  <dimension ref="A1:P6"/>
  <sheetViews>
    <sheetView zoomScaleNormal="100" workbookViewId="0">
      <selection activeCell="N5" sqref="N5"/>
    </sheetView>
  </sheetViews>
  <sheetFormatPr defaultRowHeight="15" x14ac:dyDescent="0.25"/>
  <cols>
    <col min="1" max="1" width="20.42578125" style="8" bestFit="1" customWidth="1"/>
    <col min="2" max="2" width="11" customWidth="1"/>
    <col min="3" max="3" width="18" bestFit="1" customWidth="1"/>
    <col min="4" max="4" width="24.5703125" bestFit="1" customWidth="1"/>
    <col min="5" max="5" width="13.85546875" bestFit="1" customWidth="1"/>
    <col min="6" max="6" width="15.140625" customWidth="1"/>
    <col min="7" max="7" width="18" bestFit="1" customWidth="1"/>
    <col min="8" max="8" width="17.5703125" bestFit="1" customWidth="1"/>
    <col min="9" max="9" width="19.85546875" customWidth="1"/>
    <col min="10" max="10" width="13.28515625" bestFit="1" customWidth="1"/>
    <col min="11" max="11" width="13.5703125" bestFit="1" customWidth="1"/>
    <col min="12" max="12" width="5.85546875" bestFit="1" customWidth="1"/>
    <col min="13" max="13" width="4.7109375" bestFit="1" customWidth="1"/>
    <col min="14" max="14" width="21.5703125" customWidth="1"/>
  </cols>
  <sheetData>
    <row r="1" spans="1:16" x14ac:dyDescent="0.25">
      <c r="A1" s="76" t="s">
        <v>18</v>
      </c>
      <c r="B1" s="78" t="s">
        <v>19</v>
      </c>
      <c r="C1" s="80" t="s">
        <v>20</v>
      </c>
      <c r="D1" s="82" t="s">
        <v>21</v>
      </c>
      <c r="E1" s="11" t="s">
        <v>22</v>
      </c>
      <c r="F1" s="84" t="s">
        <v>23</v>
      </c>
      <c r="G1" s="71" t="s">
        <v>1</v>
      </c>
      <c r="H1" s="71" t="s">
        <v>24</v>
      </c>
      <c r="I1" s="71" t="s">
        <v>25</v>
      </c>
      <c r="J1" s="73" t="s">
        <v>26</v>
      </c>
      <c r="K1" s="74"/>
      <c r="L1" s="74"/>
      <c r="M1" s="74"/>
      <c r="N1" s="75"/>
      <c r="P1" s="2"/>
    </row>
    <row r="2" spans="1:16" ht="15.75" thickBot="1" x14ac:dyDescent="0.3">
      <c r="A2" s="77"/>
      <c r="B2" s="79"/>
      <c r="C2" s="81"/>
      <c r="D2" s="83"/>
      <c r="E2" s="12" t="s">
        <v>27</v>
      </c>
      <c r="F2" s="85"/>
      <c r="G2" s="72"/>
      <c r="H2" s="72"/>
      <c r="I2" s="72"/>
      <c r="J2" s="13" t="s">
        <v>28</v>
      </c>
      <c r="K2" s="14" t="s">
        <v>29</v>
      </c>
      <c r="L2" s="15" t="s">
        <v>30</v>
      </c>
      <c r="M2" s="15" t="s">
        <v>31</v>
      </c>
      <c r="N2" s="16" t="s">
        <v>32</v>
      </c>
    </row>
    <row r="3" spans="1:16" ht="15.75" thickTop="1" x14ac:dyDescent="0.25">
      <c r="A3" s="17">
        <v>3</v>
      </c>
      <c r="B3" s="18"/>
      <c r="C3" s="19"/>
      <c r="D3" s="20"/>
      <c r="E3" s="21"/>
      <c r="F3" s="22"/>
      <c r="G3" s="23"/>
      <c r="H3" s="23"/>
      <c r="I3" s="20"/>
      <c r="J3" s="24"/>
      <c r="K3" s="25"/>
      <c r="L3" s="26"/>
      <c r="M3" s="26"/>
      <c r="N3" s="27"/>
      <c r="O3" s="3"/>
    </row>
    <row r="4" spans="1:16" x14ac:dyDescent="0.25">
      <c r="A4" s="28" t="s">
        <v>18</v>
      </c>
      <c r="B4" s="29">
        <v>6</v>
      </c>
      <c r="C4" s="30" t="s">
        <v>33</v>
      </c>
      <c r="D4" s="28" t="s">
        <v>34</v>
      </c>
      <c r="E4" s="30" t="s">
        <v>35</v>
      </c>
      <c r="F4" s="31" t="s">
        <v>36</v>
      </c>
      <c r="G4" s="28" t="s">
        <v>1</v>
      </c>
      <c r="H4" s="32" t="s">
        <v>37</v>
      </c>
      <c r="I4" s="28" t="s">
        <v>38</v>
      </c>
      <c r="J4" s="33" t="s">
        <v>39</v>
      </c>
      <c r="K4" s="29" t="s">
        <v>29</v>
      </c>
      <c r="L4" s="34"/>
      <c r="M4" s="34"/>
      <c r="N4" s="35" t="s">
        <v>40</v>
      </c>
    </row>
    <row r="5" spans="1:16" x14ac:dyDescent="0.25">
      <c r="A5" s="8" t="s">
        <v>162</v>
      </c>
      <c r="B5">
        <v>1</v>
      </c>
      <c r="C5">
        <v>16759</v>
      </c>
      <c r="E5" t="s">
        <v>165</v>
      </c>
      <c r="G5" t="s">
        <v>162</v>
      </c>
      <c r="I5" t="s">
        <v>158</v>
      </c>
      <c r="J5" s="70">
        <v>44223</v>
      </c>
      <c r="N5" s="68">
        <v>50980</v>
      </c>
    </row>
    <row r="6" spans="1:16" x14ac:dyDescent="0.25">
      <c r="A6" s="8" t="s">
        <v>162</v>
      </c>
      <c r="B6">
        <v>1</v>
      </c>
      <c r="C6">
        <v>16762</v>
      </c>
      <c r="E6" t="s">
        <v>171</v>
      </c>
      <c r="G6" t="s">
        <v>162</v>
      </c>
      <c r="I6" t="s">
        <v>158</v>
      </c>
      <c r="J6" s="70">
        <v>44223</v>
      </c>
      <c r="N6" s="68">
        <v>50240</v>
      </c>
    </row>
  </sheetData>
  <mergeCells count="9">
    <mergeCell ref="H1:H2"/>
    <mergeCell ref="I1:I2"/>
    <mergeCell ref="J1:N1"/>
    <mergeCell ref="A1:A2"/>
    <mergeCell ref="B1:B2"/>
    <mergeCell ref="C1:C2"/>
    <mergeCell ref="D1:D2"/>
    <mergeCell ref="F1:F2"/>
    <mergeCell ref="G1:G2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&amp;C&amp;1#&amp;"Arial"&amp;7&amp;K000000Sensitivity: Internal &amp; Restricted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:N14"/>
  <sheetViews>
    <sheetView topLeftCell="A4" workbookViewId="0">
      <selection activeCell="I5" sqref="I5"/>
    </sheetView>
  </sheetViews>
  <sheetFormatPr defaultRowHeight="15" x14ac:dyDescent="0.25"/>
  <cols>
    <col min="1" max="1" width="13.28515625" customWidth="1"/>
    <col min="2" max="2" width="12.7109375" customWidth="1"/>
    <col min="3" max="3" width="12.42578125" customWidth="1"/>
    <col min="4" max="4" width="21.85546875" customWidth="1"/>
    <col min="5" max="5" width="18.7109375" customWidth="1"/>
    <col min="6" max="6" width="12.5703125" customWidth="1"/>
    <col min="7" max="7" width="16.85546875" customWidth="1"/>
    <col min="8" max="8" width="15.85546875" customWidth="1"/>
    <col min="9" max="9" width="19" customWidth="1"/>
    <col min="10" max="10" width="13.28515625" bestFit="1" customWidth="1"/>
    <col min="11" max="11" width="15.5703125" customWidth="1"/>
    <col min="14" max="14" width="18.85546875" customWidth="1"/>
  </cols>
  <sheetData>
    <row r="1" spans="1:14" x14ac:dyDescent="0.25">
      <c r="A1" s="76" t="s">
        <v>18</v>
      </c>
      <c r="B1" s="78" t="s">
        <v>19</v>
      </c>
      <c r="C1" s="80" t="s">
        <v>20</v>
      </c>
      <c r="D1" s="82" t="s">
        <v>21</v>
      </c>
      <c r="E1" s="11" t="s">
        <v>22</v>
      </c>
      <c r="F1" s="84" t="s">
        <v>23</v>
      </c>
      <c r="G1" s="71" t="s">
        <v>1</v>
      </c>
      <c r="H1" s="71" t="s">
        <v>24</v>
      </c>
      <c r="I1" s="71" t="s">
        <v>25</v>
      </c>
      <c r="J1" s="73" t="s">
        <v>26</v>
      </c>
      <c r="K1" s="74"/>
      <c r="L1" s="74"/>
      <c r="M1" s="74"/>
      <c r="N1" s="75"/>
    </row>
    <row r="2" spans="1:14" ht="15.75" thickBot="1" x14ac:dyDescent="0.3">
      <c r="A2" s="77"/>
      <c r="B2" s="79"/>
      <c r="C2" s="81"/>
      <c r="D2" s="83"/>
      <c r="E2" s="12" t="s">
        <v>27</v>
      </c>
      <c r="F2" s="85"/>
      <c r="G2" s="72"/>
      <c r="H2" s="72"/>
      <c r="I2" s="72"/>
      <c r="J2" s="13" t="s">
        <v>28</v>
      </c>
      <c r="K2" s="14" t="s">
        <v>29</v>
      </c>
      <c r="L2" s="15" t="s">
        <v>30</v>
      </c>
      <c r="M2" s="15" t="s">
        <v>31</v>
      </c>
      <c r="N2" s="16" t="s">
        <v>32</v>
      </c>
    </row>
    <row r="3" spans="1:14" ht="15.75" thickTop="1" x14ac:dyDescent="0.25">
      <c r="A3" s="36"/>
      <c r="B3" s="37"/>
      <c r="C3" s="19"/>
      <c r="D3" s="20"/>
      <c r="E3" s="21"/>
      <c r="F3" s="22"/>
      <c r="G3" s="23"/>
      <c r="H3" s="23"/>
      <c r="I3" s="20"/>
      <c r="J3" s="24"/>
      <c r="K3" s="25"/>
      <c r="L3" s="26"/>
      <c r="M3" s="26"/>
      <c r="N3" s="27"/>
    </row>
    <row r="4" spans="1:14" x14ac:dyDescent="0.25">
      <c r="A4" s="28" t="s">
        <v>18</v>
      </c>
      <c r="B4" s="29">
        <v>6</v>
      </c>
      <c r="C4" s="30" t="s">
        <v>33</v>
      </c>
      <c r="D4" s="28" t="s">
        <v>34</v>
      </c>
      <c r="E4" s="30" t="s">
        <v>35</v>
      </c>
      <c r="F4" s="31" t="s">
        <v>36</v>
      </c>
      <c r="G4" s="28" t="s">
        <v>1</v>
      </c>
      <c r="H4" s="32" t="s">
        <v>37</v>
      </c>
      <c r="I4" s="67" t="str">
        <f>I6</f>
        <v>42.276.907/0002-09</v>
      </c>
      <c r="J4" s="33" t="s">
        <v>39</v>
      </c>
      <c r="K4" s="29" t="s">
        <v>29</v>
      </c>
      <c r="L4" s="34"/>
      <c r="M4" s="34"/>
      <c r="N4" s="35" t="s">
        <v>40</v>
      </c>
    </row>
    <row r="5" spans="1:14" x14ac:dyDescent="0.25">
      <c r="A5" s="40" t="s">
        <v>156</v>
      </c>
      <c r="B5" s="40"/>
      <c r="C5" s="40" t="s">
        <v>155</v>
      </c>
      <c r="D5" s="40"/>
      <c r="E5" s="41" t="s">
        <v>154</v>
      </c>
      <c r="F5" s="40"/>
      <c r="G5" s="40"/>
      <c r="H5" s="40"/>
      <c r="I5" s="40"/>
      <c r="J5" s="40" t="s">
        <v>47</v>
      </c>
      <c r="K5" s="40"/>
      <c r="L5" s="40"/>
      <c r="M5" s="40"/>
      <c r="N5" s="40" t="s">
        <v>157</v>
      </c>
    </row>
    <row r="6" spans="1:14" x14ac:dyDescent="0.25">
      <c r="A6" s="38" t="s">
        <v>156</v>
      </c>
      <c r="B6" s="38" t="s">
        <v>48</v>
      </c>
      <c r="C6" s="38" t="s">
        <v>155</v>
      </c>
      <c r="D6" s="39" t="s">
        <v>49</v>
      </c>
      <c r="E6" s="38" t="s">
        <v>154</v>
      </c>
      <c r="F6" s="39" t="s">
        <v>49</v>
      </c>
      <c r="G6" s="38" t="s">
        <v>50</v>
      </c>
      <c r="H6" s="39" t="s">
        <v>49</v>
      </c>
      <c r="I6" s="39" t="s">
        <v>158</v>
      </c>
      <c r="J6" s="38" t="s">
        <v>47</v>
      </c>
      <c r="K6" s="39" t="s">
        <v>49</v>
      </c>
      <c r="L6" s="39" t="s">
        <v>49</v>
      </c>
      <c r="M6" s="39" t="s">
        <v>49</v>
      </c>
      <c r="N6" s="38" t="s">
        <v>157</v>
      </c>
    </row>
    <row r="14" spans="1:14" x14ac:dyDescent="0.25">
      <c r="I14" s="42"/>
    </row>
  </sheetData>
  <mergeCells count="9">
    <mergeCell ref="H1:H2"/>
    <mergeCell ref="I1:I2"/>
    <mergeCell ref="J1:N1"/>
    <mergeCell ref="A1:A2"/>
    <mergeCell ref="B1:B2"/>
    <mergeCell ref="C1:C2"/>
    <mergeCell ref="D1:D2"/>
    <mergeCell ref="F1:F2"/>
    <mergeCell ref="G1:G2"/>
  </mergeCells>
  <dataValidations count="2">
    <dataValidation type="list" allowBlank="1" showInputMessage="1" showErrorMessage="1" sqref="A6 C6 E6 J6" xr:uid="{00000000-0002-0000-0100-000000000000}">
      <formula1>"A,B,C,D,E,F,G,H,I,J,K,L,M,N,O,P,Q,R,S,T,U,V,X,Z"</formula1>
    </dataValidation>
    <dataValidation type="list" allowBlank="1" showInputMessage="1" showErrorMessage="1" sqref="N6" xr:uid="{00000000-0002-0000-0100-000001000000}">
      <formula1>"A,B,C,D,E,F,G,H,I,J,K,L,M,N,O,P,Q,R,S,T,U,V,W,X,Y,Z"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&amp;C&amp;1#&amp;"Arial"&amp;7&amp;K000000Sensitivity: Internal &amp; Restricted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 filterMode="1"/>
  <dimension ref="A1:AB3842"/>
  <sheetViews>
    <sheetView tabSelected="1" workbookViewId="0">
      <selection activeCell="G2" sqref="G2"/>
    </sheetView>
  </sheetViews>
  <sheetFormatPr defaultRowHeight="15" x14ac:dyDescent="0.25"/>
  <cols>
    <col min="1" max="1" width="15.140625" style="69" bestFit="1" customWidth="1"/>
  </cols>
  <sheetData>
    <row r="1" spans="1:28" x14ac:dyDescent="0.25">
      <c r="A1" s="69" t="s">
        <v>3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41</v>
      </c>
      <c r="P1" t="s">
        <v>42</v>
      </c>
      <c r="Q1" t="s">
        <v>43</v>
      </c>
      <c r="R1" t="s">
        <v>44</v>
      </c>
      <c r="S1" t="s">
        <v>45</v>
      </c>
      <c r="T1" t="s">
        <v>46</v>
      </c>
      <c r="U1" t="s">
        <v>146</v>
      </c>
      <c r="V1" t="s">
        <v>147</v>
      </c>
      <c r="W1" t="s">
        <v>148</v>
      </c>
      <c r="X1" t="s">
        <v>149</v>
      </c>
      <c r="Y1" t="s">
        <v>150</v>
      </c>
      <c r="Z1" t="s">
        <v>151</v>
      </c>
      <c r="AA1" t="s">
        <v>152</v>
      </c>
      <c r="AB1" t="s">
        <v>153</v>
      </c>
    </row>
    <row r="2" spans="1:28" ht="105" x14ac:dyDescent="0.25">
      <c r="A2" s="70">
        <v>44223</v>
      </c>
      <c r="B2" s="57">
        <v>0.64533030092592603</v>
      </c>
      <c r="C2" s="58" t="s">
        <v>159</v>
      </c>
      <c r="D2" s="58" t="s">
        <v>160</v>
      </c>
      <c r="E2" s="58" t="s">
        <v>144</v>
      </c>
      <c r="F2" s="58" t="s">
        <v>161</v>
      </c>
      <c r="G2" s="58" t="s">
        <v>162</v>
      </c>
      <c r="H2" s="58" t="s">
        <v>163</v>
      </c>
      <c r="I2" s="58" t="s">
        <v>162</v>
      </c>
      <c r="J2" s="58" t="s">
        <v>164</v>
      </c>
      <c r="K2" s="58" t="s">
        <v>162</v>
      </c>
      <c r="L2" s="58"/>
      <c r="M2" s="58" t="s">
        <v>165</v>
      </c>
      <c r="N2" s="58" t="s">
        <v>166</v>
      </c>
      <c r="O2" s="59">
        <v>44222.5725578704</v>
      </c>
      <c r="P2" s="58" t="s">
        <v>167</v>
      </c>
      <c r="Q2" s="58" t="s">
        <v>145</v>
      </c>
      <c r="R2" s="60">
        <v>66014</v>
      </c>
      <c r="S2" s="58" t="s">
        <v>168</v>
      </c>
      <c r="T2" s="61" t="s">
        <v>169</v>
      </c>
      <c r="U2" s="62">
        <v>75.400000000000006</v>
      </c>
      <c r="V2" s="62">
        <v>24.42</v>
      </c>
      <c r="W2" s="63">
        <v>50.98</v>
      </c>
      <c r="X2" s="64">
        <v>0</v>
      </c>
      <c r="Y2" s="64">
        <v>50.78</v>
      </c>
      <c r="Z2" s="64">
        <v>0.2</v>
      </c>
      <c r="AA2" s="64">
        <v>50.78</v>
      </c>
      <c r="AB2" s="65">
        <v>1</v>
      </c>
    </row>
    <row r="3" spans="1:28" ht="105" x14ac:dyDescent="0.25">
      <c r="A3" s="70">
        <v>44223</v>
      </c>
      <c r="B3" s="57">
        <v>0.71089979166666695</v>
      </c>
      <c r="C3" s="58" t="s">
        <v>170</v>
      </c>
      <c r="D3" s="58" t="s">
        <v>160</v>
      </c>
      <c r="E3" s="58" t="s">
        <v>144</v>
      </c>
      <c r="F3" s="58" t="s">
        <v>161</v>
      </c>
      <c r="G3" s="58" t="s">
        <v>162</v>
      </c>
      <c r="H3" s="58" t="s">
        <v>163</v>
      </c>
      <c r="I3" s="58" t="s">
        <v>162</v>
      </c>
      <c r="J3" s="58" t="s">
        <v>164</v>
      </c>
      <c r="K3" s="58" t="s">
        <v>162</v>
      </c>
      <c r="L3" s="58"/>
      <c r="M3" s="58" t="s">
        <v>171</v>
      </c>
      <c r="N3" s="58" t="s">
        <v>172</v>
      </c>
      <c r="O3" s="59">
        <v>44222.672928240703</v>
      </c>
      <c r="P3" s="58" t="s">
        <v>173</v>
      </c>
      <c r="Q3" s="58" t="s">
        <v>145</v>
      </c>
      <c r="R3" s="60">
        <v>65052</v>
      </c>
      <c r="S3" s="58" t="s">
        <v>174</v>
      </c>
      <c r="T3" s="61" t="s">
        <v>169</v>
      </c>
      <c r="U3" s="62">
        <v>73.7</v>
      </c>
      <c r="V3" s="62">
        <v>23.46</v>
      </c>
      <c r="W3" s="63">
        <v>50.24</v>
      </c>
      <c r="X3" s="64">
        <v>0</v>
      </c>
      <c r="Y3" s="64">
        <v>50.04</v>
      </c>
      <c r="Z3" s="64">
        <v>0.2</v>
      </c>
      <c r="AA3" s="64">
        <v>50.04</v>
      </c>
      <c r="AB3" s="65">
        <v>1</v>
      </c>
    </row>
    <row r="4" spans="1:28" hidden="1" x14ac:dyDescent="0.25"/>
    <row r="5" spans="1:28" hidden="1" x14ac:dyDescent="0.25"/>
    <row r="6" spans="1:28" hidden="1" x14ac:dyDescent="0.25"/>
    <row r="7" spans="1:28" hidden="1" x14ac:dyDescent="0.25"/>
    <row r="8" spans="1:28" hidden="1" x14ac:dyDescent="0.25"/>
    <row r="9" spans="1:28" hidden="1" x14ac:dyDescent="0.25"/>
    <row r="10" spans="1:28" hidden="1" x14ac:dyDescent="0.25"/>
    <row r="11" spans="1:28" hidden="1" x14ac:dyDescent="0.25"/>
    <row r="12" spans="1:28" hidden="1" x14ac:dyDescent="0.25"/>
    <row r="13" spans="1:28" hidden="1" x14ac:dyDescent="0.25"/>
    <row r="14" spans="1:28" hidden="1" x14ac:dyDescent="0.25"/>
    <row r="15" spans="1:28" hidden="1" x14ac:dyDescent="0.25"/>
    <row r="16" spans="1:28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  <row r="28" hidden="1" x14ac:dyDescent="0.25"/>
    <row r="29" hidden="1" x14ac:dyDescent="0.25"/>
    <row r="30" hidden="1" x14ac:dyDescent="0.25"/>
    <row r="31" hidden="1" x14ac:dyDescent="0.25"/>
    <row r="32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hidden="1" x14ac:dyDescent="0.25"/>
    <row r="786" hidden="1" x14ac:dyDescent="0.25"/>
    <row r="787" hidden="1" x14ac:dyDescent="0.25"/>
    <row r="788" hidden="1" x14ac:dyDescent="0.25"/>
    <row r="789" hidden="1" x14ac:dyDescent="0.25"/>
    <row r="790" hidden="1" x14ac:dyDescent="0.25"/>
    <row r="791" hidden="1" x14ac:dyDescent="0.25"/>
    <row r="792" hidden="1" x14ac:dyDescent="0.25"/>
    <row r="793" hidden="1" x14ac:dyDescent="0.25"/>
    <row r="794" hidden="1" x14ac:dyDescent="0.25"/>
    <row r="795" hidden="1" x14ac:dyDescent="0.25"/>
    <row r="796" hidden="1" x14ac:dyDescent="0.25"/>
    <row r="797" hidden="1" x14ac:dyDescent="0.25"/>
    <row r="798" hidden="1" x14ac:dyDescent="0.25"/>
    <row r="799" hidden="1" x14ac:dyDescent="0.25"/>
    <row r="800" hidden="1" x14ac:dyDescent="0.25"/>
    <row r="801" hidden="1" x14ac:dyDescent="0.25"/>
    <row r="802" hidden="1" x14ac:dyDescent="0.25"/>
    <row r="803" hidden="1" x14ac:dyDescent="0.25"/>
    <row r="804" hidden="1" x14ac:dyDescent="0.25"/>
    <row r="805" hidden="1" x14ac:dyDescent="0.25"/>
    <row r="806" hidden="1" x14ac:dyDescent="0.25"/>
    <row r="807" hidden="1" x14ac:dyDescent="0.25"/>
    <row r="808" hidden="1" x14ac:dyDescent="0.25"/>
    <row r="809" hidden="1" x14ac:dyDescent="0.25"/>
    <row r="810" hidden="1" x14ac:dyDescent="0.25"/>
    <row r="811" hidden="1" x14ac:dyDescent="0.25"/>
    <row r="812" hidden="1" x14ac:dyDescent="0.25"/>
    <row r="813" hidden="1" x14ac:dyDescent="0.25"/>
    <row r="814" hidden="1" x14ac:dyDescent="0.25"/>
    <row r="815" hidden="1" x14ac:dyDescent="0.25"/>
    <row r="816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hidden="1" x14ac:dyDescent="0.25"/>
    <row r="850" hidden="1" x14ac:dyDescent="0.25"/>
    <row r="851" hidden="1" x14ac:dyDescent="0.25"/>
    <row r="852" hidden="1" x14ac:dyDescent="0.25"/>
    <row r="853" hidden="1" x14ac:dyDescent="0.25"/>
    <row r="854" hidden="1" x14ac:dyDescent="0.25"/>
    <row r="855" hidden="1" x14ac:dyDescent="0.25"/>
    <row r="856" hidden="1" x14ac:dyDescent="0.25"/>
    <row r="857" hidden="1" x14ac:dyDescent="0.25"/>
    <row r="858" hidden="1" x14ac:dyDescent="0.25"/>
    <row r="859" hidden="1" x14ac:dyDescent="0.25"/>
    <row r="860" hidden="1" x14ac:dyDescent="0.25"/>
    <row r="861" hidden="1" x14ac:dyDescent="0.25"/>
    <row r="862" hidden="1" x14ac:dyDescent="0.25"/>
    <row r="863" hidden="1" x14ac:dyDescent="0.25"/>
    <row r="864" hidden="1" x14ac:dyDescent="0.25"/>
    <row r="865" hidden="1" x14ac:dyDescent="0.25"/>
    <row r="866" hidden="1" x14ac:dyDescent="0.25"/>
    <row r="867" hidden="1" x14ac:dyDescent="0.25"/>
    <row r="868" hidden="1" x14ac:dyDescent="0.25"/>
    <row r="869" hidden="1" x14ac:dyDescent="0.25"/>
    <row r="870" hidden="1" x14ac:dyDescent="0.25"/>
    <row r="871" hidden="1" x14ac:dyDescent="0.25"/>
    <row r="872" hidden="1" x14ac:dyDescent="0.25"/>
    <row r="873" hidden="1" x14ac:dyDescent="0.25"/>
    <row r="874" hidden="1" x14ac:dyDescent="0.25"/>
    <row r="875" hidden="1" x14ac:dyDescent="0.25"/>
    <row r="876" hidden="1" x14ac:dyDescent="0.25"/>
    <row r="877" hidden="1" x14ac:dyDescent="0.25"/>
    <row r="878" hidden="1" x14ac:dyDescent="0.25"/>
    <row r="879" hidden="1" x14ac:dyDescent="0.25"/>
    <row r="880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hidden="1" x14ac:dyDescent="0.25"/>
    <row r="898" hidden="1" x14ac:dyDescent="0.25"/>
    <row r="899" hidden="1" x14ac:dyDescent="0.25"/>
    <row r="900" hidden="1" x14ac:dyDescent="0.25"/>
    <row r="901" hidden="1" x14ac:dyDescent="0.25"/>
    <row r="902" hidden="1" x14ac:dyDescent="0.25"/>
    <row r="903" hidden="1" x14ac:dyDescent="0.25"/>
    <row r="904" hidden="1" x14ac:dyDescent="0.25"/>
    <row r="905" hidden="1" x14ac:dyDescent="0.25"/>
    <row r="906" hidden="1" x14ac:dyDescent="0.25"/>
    <row r="907" hidden="1" x14ac:dyDescent="0.25"/>
    <row r="908" hidden="1" x14ac:dyDescent="0.25"/>
    <row r="909" hidden="1" x14ac:dyDescent="0.25"/>
    <row r="910" hidden="1" x14ac:dyDescent="0.25"/>
    <row r="911" hidden="1" x14ac:dyDescent="0.25"/>
    <row r="912" hidden="1" x14ac:dyDescent="0.25"/>
    <row r="913" hidden="1" x14ac:dyDescent="0.25"/>
    <row r="914" hidden="1" x14ac:dyDescent="0.25"/>
    <row r="915" hidden="1" x14ac:dyDescent="0.25"/>
    <row r="916" hidden="1" x14ac:dyDescent="0.25"/>
    <row r="917" hidden="1" x14ac:dyDescent="0.25"/>
    <row r="918" hidden="1" x14ac:dyDescent="0.25"/>
    <row r="919" hidden="1" x14ac:dyDescent="0.25"/>
    <row r="920" hidden="1" x14ac:dyDescent="0.25"/>
    <row r="921" hidden="1" x14ac:dyDescent="0.25"/>
    <row r="922" hidden="1" x14ac:dyDescent="0.25"/>
    <row r="923" hidden="1" x14ac:dyDescent="0.25"/>
    <row r="924" hidden="1" x14ac:dyDescent="0.25"/>
    <row r="925" hidden="1" x14ac:dyDescent="0.25"/>
    <row r="926" hidden="1" x14ac:dyDescent="0.25"/>
    <row r="927" hidden="1" x14ac:dyDescent="0.25"/>
    <row r="928" hidden="1" x14ac:dyDescent="0.25"/>
    <row r="929" hidden="1" x14ac:dyDescent="0.25"/>
    <row r="930" hidden="1" x14ac:dyDescent="0.25"/>
    <row r="931" hidden="1" x14ac:dyDescent="0.25"/>
    <row r="932" hidden="1" x14ac:dyDescent="0.25"/>
    <row r="933" hidden="1" x14ac:dyDescent="0.25"/>
    <row r="934" hidden="1" x14ac:dyDescent="0.25"/>
    <row r="935" hidden="1" x14ac:dyDescent="0.25"/>
    <row r="936" hidden="1" x14ac:dyDescent="0.25"/>
    <row r="937" hidden="1" x14ac:dyDescent="0.25"/>
    <row r="938" hidden="1" x14ac:dyDescent="0.25"/>
    <row r="939" hidden="1" x14ac:dyDescent="0.25"/>
    <row r="940" hidden="1" x14ac:dyDescent="0.25"/>
    <row r="941" hidden="1" x14ac:dyDescent="0.25"/>
    <row r="942" hidden="1" x14ac:dyDescent="0.25"/>
    <row r="943" hidden="1" x14ac:dyDescent="0.25"/>
    <row r="944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hidden="1" x14ac:dyDescent="0.25"/>
    <row r="988" hidden="1" x14ac:dyDescent="0.25"/>
    <row r="989" hidden="1" x14ac:dyDescent="0.25"/>
    <row r="990" hidden="1" x14ac:dyDescent="0.25"/>
    <row r="991" hidden="1" x14ac:dyDescent="0.25"/>
    <row r="992" hidden="1" x14ac:dyDescent="0.25"/>
    <row r="993" hidden="1" x14ac:dyDescent="0.25"/>
    <row r="994" hidden="1" x14ac:dyDescent="0.25"/>
    <row r="995" hidden="1" x14ac:dyDescent="0.25"/>
    <row r="996" hidden="1" x14ac:dyDescent="0.25"/>
    <row r="997" hidden="1" x14ac:dyDescent="0.25"/>
    <row r="998" hidden="1" x14ac:dyDescent="0.25"/>
    <row r="999" hidden="1" x14ac:dyDescent="0.25"/>
    <row r="1000" hidden="1" x14ac:dyDescent="0.25"/>
    <row r="1001" hidden="1" x14ac:dyDescent="0.25"/>
    <row r="1002" hidden="1" x14ac:dyDescent="0.25"/>
    <row r="1003" hidden="1" x14ac:dyDescent="0.25"/>
    <row r="1004" hidden="1" x14ac:dyDescent="0.25"/>
    <row r="1005" hidden="1" x14ac:dyDescent="0.25"/>
    <row r="1006" hidden="1" x14ac:dyDescent="0.25"/>
    <row r="1007" hidden="1" x14ac:dyDescent="0.25"/>
    <row r="1008" hidden="1" x14ac:dyDescent="0.25"/>
    <row r="1009" hidden="1" x14ac:dyDescent="0.25"/>
    <row r="1010" hidden="1" x14ac:dyDescent="0.25"/>
    <row r="1011" hidden="1" x14ac:dyDescent="0.25"/>
    <row r="1012" hidden="1" x14ac:dyDescent="0.25"/>
    <row r="1013" hidden="1" x14ac:dyDescent="0.25"/>
    <row r="1014" hidden="1" x14ac:dyDescent="0.25"/>
    <row r="1015" hidden="1" x14ac:dyDescent="0.25"/>
    <row r="1016" hidden="1" x14ac:dyDescent="0.25"/>
    <row r="1017" hidden="1" x14ac:dyDescent="0.25"/>
    <row r="1018" hidden="1" x14ac:dyDescent="0.25"/>
    <row r="1019" hidden="1" x14ac:dyDescent="0.25"/>
    <row r="1020" hidden="1" x14ac:dyDescent="0.25"/>
    <row r="1021" hidden="1" x14ac:dyDescent="0.25"/>
    <row r="1022" hidden="1" x14ac:dyDescent="0.25"/>
    <row r="1023" hidden="1" x14ac:dyDescent="0.25"/>
    <row r="1024" hidden="1" x14ac:dyDescent="0.25"/>
    <row r="1025" hidden="1" x14ac:dyDescent="0.25"/>
    <row r="1026" hidden="1" x14ac:dyDescent="0.25"/>
    <row r="1027" hidden="1" x14ac:dyDescent="0.25"/>
    <row r="1028" hidden="1" x14ac:dyDescent="0.25"/>
    <row r="1029" hidden="1" x14ac:dyDescent="0.25"/>
    <row r="1030" hidden="1" x14ac:dyDescent="0.25"/>
    <row r="1031" hidden="1" x14ac:dyDescent="0.25"/>
    <row r="1032" hidden="1" x14ac:dyDescent="0.25"/>
    <row r="1033" hidden="1" x14ac:dyDescent="0.25"/>
    <row r="1034" hidden="1" x14ac:dyDescent="0.25"/>
    <row r="1035" hidden="1" x14ac:dyDescent="0.25"/>
    <row r="1036" hidden="1" x14ac:dyDescent="0.25"/>
    <row r="1037" hidden="1" x14ac:dyDescent="0.25"/>
    <row r="1038" hidden="1" x14ac:dyDescent="0.25"/>
    <row r="1039" hidden="1" x14ac:dyDescent="0.25"/>
    <row r="1040" hidden="1" x14ac:dyDescent="0.25"/>
    <row r="1041" hidden="1" x14ac:dyDescent="0.25"/>
    <row r="1042" hidden="1" x14ac:dyDescent="0.25"/>
    <row r="1043" hidden="1" x14ac:dyDescent="0.25"/>
    <row r="1044" hidden="1" x14ac:dyDescent="0.25"/>
    <row r="1045" hidden="1" x14ac:dyDescent="0.25"/>
    <row r="1046" hidden="1" x14ac:dyDescent="0.25"/>
    <row r="1047" hidden="1" x14ac:dyDescent="0.25"/>
    <row r="1048" hidden="1" x14ac:dyDescent="0.25"/>
    <row r="1049" hidden="1" x14ac:dyDescent="0.25"/>
    <row r="1050" hidden="1" x14ac:dyDescent="0.25"/>
    <row r="1051" hidden="1" x14ac:dyDescent="0.25"/>
    <row r="1052" hidden="1" x14ac:dyDescent="0.25"/>
    <row r="1053" hidden="1" x14ac:dyDescent="0.25"/>
    <row r="1054" hidden="1" x14ac:dyDescent="0.25"/>
    <row r="1055" hidden="1" x14ac:dyDescent="0.25"/>
    <row r="1056" hidden="1" x14ac:dyDescent="0.25"/>
    <row r="1057" hidden="1" x14ac:dyDescent="0.25"/>
    <row r="1058" hidden="1" x14ac:dyDescent="0.25"/>
    <row r="1059" hidden="1" x14ac:dyDescent="0.25"/>
    <row r="1060" hidden="1" x14ac:dyDescent="0.25"/>
    <row r="1061" hidden="1" x14ac:dyDescent="0.25"/>
    <row r="1062" hidden="1" x14ac:dyDescent="0.25"/>
    <row r="1063" hidden="1" x14ac:dyDescent="0.25"/>
    <row r="1064" hidden="1" x14ac:dyDescent="0.25"/>
    <row r="1065" hidden="1" x14ac:dyDescent="0.25"/>
    <row r="1066" hidden="1" x14ac:dyDescent="0.25"/>
    <row r="1067" hidden="1" x14ac:dyDescent="0.25"/>
    <row r="1068" hidden="1" x14ac:dyDescent="0.25"/>
    <row r="1069" hidden="1" x14ac:dyDescent="0.25"/>
    <row r="1070" hidden="1" x14ac:dyDescent="0.25"/>
    <row r="1071" hidden="1" x14ac:dyDescent="0.25"/>
    <row r="1072" hidden="1" x14ac:dyDescent="0.25"/>
    <row r="1073" hidden="1" x14ac:dyDescent="0.25"/>
    <row r="1074" hidden="1" x14ac:dyDescent="0.25"/>
    <row r="1075" hidden="1" x14ac:dyDescent="0.25"/>
    <row r="1076" hidden="1" x14ac:dyDescent="0.25"/>
    <row r="1077" hidden="1" x14ac:dyDescent="0.25"/>
    <row r="1078" hidden="1" x14ac:dyDescent="0.25"/>
    <row r="1079" hidden="1" x14ac:dyDescent="0.25"/>
    <row r="1080" hidden="1" x14ac:dyDescent="0.25"/>
    <row r="1081" hidden="1" x14ac:dyDescent="0.25"/>
    <row r="1082" hidden="1" x14ac:dyDescent="0.25"/>
    <row r="1083" hidden="1" x14ac:dyDescent="0.25"/>
    <row r="1084" hidden="1" x14ac:dyDescent="0.25"/>
    <row r="1085" hidden="1" x14ac:dyDescent="0.25"/>
    <row r="1086" hidden="1" x14ac:dyDescent="0.25"/>
    <row r="1087" hidden="1" x14ac:dyDescent="0.25"/>
    <row r="1088" hidden="1" x14ac:dyDescent="0.25"/>
    <row r="1089" hidden="1" x14ac:dyDescent="0.25"/>
    <row r="1090" hidden="1" x14ac:dyDescent="0.25"/>
    <row r="1091" hidden="1" x14ac:dyDescent="0.25"/>
    <row r="1092" hidden="1" x14ac:dyDescent="0.25"/>
    <row r="1093" hidden="1" x14ac:dyDescent="0.25"/>
    <row r="1094" hidden="1" x14ac:dyDescent="0.25"/>
    <row r="1095" hidden="1" x14ac:dyDescent="0.25"/>
    <row r="1096" hidden="1" x14ac:dyDescent="0.25"/>
    <row r="1097" hidden="1" x14ac:dyDescent="0.25"/>
    <row r="1098" hidden="1" x14ac:dyDescent="0.25"/>
    <row r="1099" hidden="1" x14ac:dyDescent="0.25"/>
    <row r="1100" hidden="1" x14ac:dyDescent="0.25"/>
    <row r="1101" hidden="1" x14ac:dyDescent="0.25"/>
    <row r="1102" hidden="1" x14ac:dyDescent="0.25"/>
    <row r="1103" hidden="1" x14ac:dyDescent="0.25"/>
    <row r="1104" hidden="1" x14ac:dyDescent="0.25"/>
    <row r="1105" hidden="1" x14ac:dyDescent="0.25"/>
    <row r="1106" hidden="1" x14ac:dyDescent="0.25"/>
    <row r="1107" hidden="1" x14ac:dyDescent="0.25"/>
    <row r="1108" hidden="1" x14ac:dyDescent="0.25"/>
    <row r="1109" hidden="1" x14ac:dyDescent="0.25"/>
    <row r="1110" hidden="1" x14ac:dyDescent="0.25"/>
    <row r="1111" hidden="1" x14ac:dyDescent="0.25"/>
    <row r="1112" hidden="1" x14ac:dyDescent="0.25"/>
    <row r="1113" hidden="1" x14ac:dyDescent="0.25"/>
    <row r="1114" hidden="1" x14ac:dyDescent="0.25"/>
    <row r="1115" hidden="1" x14ac:dyDescent="0.25"/>
    <row r="1116" hidden="1" x14ac:dyDescent="0.25"/>
    <row r="1117" hidden="1" x14ac:dyDescent="0.25"/>
    <row r="1118" hidden="1" x14ac:dyDescent="0.25"/>
    <row r="1119" hidden="1" x14ac:dyDescent="0.25"/>
    <row r="1120" hidden="1" x14ac:dyDescent="0.25"/>
    <row r="1121" hidden="1" x14ac:dyDescent="0.25"/>
    <row r="1122" hidden="1" x14ac:dyDescent="0.25"/>
    <row r="1123" hidden="1" x14ac:dyDescent="0.25"/>
    <row r="1124" hidden="1" x14ac:dyDescent="0.25"/>
    <row r="1125" hidden="1" x14ac:dyDescent="0.25"/>
    <row r="1126" hidden="1" x14ac:dyDescent="0.25"/>
    <row r="1127" hidden="1" x14ac:dyDescent="0.25"/>
    <row r="1128" hidden="1" x14ac:dyDescent="0.25"/>
    <row r="1129" hidden="1" x14ac:dyDescent="0.25"/>
    <row r="1130" hidden="1" x14ac:dyDescent="0.25"/>
    <row r="1131" hidden="1" x14ac:dyDescent="0.25"/>
    <row r="1132" hidden="1" x14ac:dyDescent="0.25"/>
    <row r="1133" hidden="1" x14ac:dyDescent="0.25"/>
    <row r="1134" hidden="1" x14ac:dyDescent="0.25"/>
    <row r="1135" hidden="1" x14ac:dyDescent="0.25"/>
    <row r="1136" hidden="1" x14ac:dyDescent="0.25"/>
    <row r="1137" hidden="1" x14ac:dyDescent="0.25"/>
    <row r="1138" hidden="1" x14ac:dyDescent="0.25"/>
    <row r="1139" hidden="1" x14ac:dyDescent="0.25"/>
    <row r="1140" hidden="1" x14ac:dyDescent="0.25"/>
    <row r="1141" hidden="1" x14ac:dyDescent="0.25"/>
    <row r="1142" hidden="1" x14ac:dyDescent="0.25"/>
    <row r="1143" hidden="1" x14ac:dyDescent="0.25"/>
    <row r="1144" hidden="1" x14ac:dyDescent="0.25"/>
    <row r="1145" hidden="1" x14ac:dyDescent="0.25"/>
    <row r="1146" hidden="1" x14ac:dyDescent="0.25"/>
    <row r="1147" hidden="1" x14ac:dyDescent="0.25"/>
    <row r="1148" hidden="1" x14ac:dyDescent="0.25"/>
    <row r="1149" hidden="1" x14ac:dyDescent="0.25"/>
    <row r="1150" hidden="1" x14ac:dyDescent="0.25"/>
    <row r="1151" hidden="1" x14ac:dyDescent="0.25"/>
    <row r="1152" hidden="1" x14ac:dyDescent="0.25"/>
    <row r="1153" hidden="1" x14ac:dyDescent="0.25"/>
    <row r="1154" hidden="1" x14ac:dyDescent="0.25"/>
    <row r="1155" hidden="1" x14ac:dyDescent="0.25"/>
    <row r="1156" hidden="1" x14ac:dyDescent="0.25"/>
    <row r="1157" hidden="1" x14ac:dyDescent="0.25"/>
    <row r="1158" hidden="1" x14ac:dyDescent="0.25"/>
    <row r="1159" hidden="1" x14ac:dyDescent="0.25"/>
    <row r="1160" hidden="1" x14ac:dyDescent="0.25"/>
    <row r="1161" hidden="1" x14ac:dyDescent="0.25"/>
    <row r="1162" hidden="1" x14ac:dyDescent="0.25"/>
    <row r="1163" hidden="1" x14ac:dyDescent="0.25"/>
    <row r="1164" hidden="1" x14ac:dyDescent="0.25"/>
    <row r="1165" hidden="1" x14ac:dyDescent="0.25"/>
    <row r="1166" hidden="1" x14ac:dyDescent="0.25"/>
    <row r="1167" hidden="1" x14ac:dyDescent="0.25"/>
    <row r="1168" hidden="1" x14ac:dyDescent="0.25"/>
    <row r="1169" hidden="1" x14ac:dyDescent="0.25"/>
    <row r="1170" hidden="1" x14ac:dyDescent="0.25"/>
    <row r="1171" hidden="1" x14ac:dyDescent="0.25"/>
    <row r="1172" hidden="1" x14ac:dyDescent="0.25"/>
    <row r="1173" hidden="1" x14ac:dyDescent="0.25"/>
    <row r="1174" hidden="1" x14ac:dyDescent="0.25"/>
    <row r="1175" hidden="1" x14ac:dyDescent="0.25"/>
    <row r="1176" hidden="1" x14ac:dyDescent="0.25"/>
    <row r="1177" hidden="1" x14ac:dyDescent="0.25"/>
    <row r="1178" hidden="1" x14ac:dyDescent="0.25"/>
    <row r="1179" hidden="1" x14ac:dyDescent="0.25"/>
    <row r="1180" hidden="1" x14ac:dyDescent="0.25"/>
    <row r="1181" hidden="1" x14ac:dyDescent="0.25"/>
    <row r="1182" hidden="1" x14ac:dyDescent="0.25"/>
    <row r="1183" hidden="1" x14ac:dyDescent="0.25"/>
    <row r="1184" hidden="1" x14ac:dyDescent="0.25"/>
    <row r="1185" hidden="1" x14ac:dyDescent="0.25"/>
    <row r="1186" hidden="1" x14ac:dyDescent="0.25"/>
    <row r="1187" hidden="1" x14ac:dyDescent="0.25"/>
    <row r="1188" hidden="1" x14ac:dyDescent="0.25"/>
    <row r="1189" hidden="1" x14ac:dyDescent="0.25"/>
    <row r="1190" hidden="1" x14ac:dyDescent="0.25"/>
    <row r="1191" hidden="1" x14ac:dyDescent="0.25"/>
    <row r="1192" hidden="1" x14ac:dyDescent="0.25"/>
    <row r="1193" hidden="1" x14ac:dyDescent="0.25"/>
    <row r="1194" hidden="1" x14ac:dyDescent="0.25"/>
    <row r="1195" hidden="1" x14ac:dyDescent="0.25"/>
    <row r="1196" hidden="1" x14ac:dyDescent="0.25"/>
    <row r="1197" hidden="1" x14ac:dyDescent="0.25"/>
    <row r="1198" hidden="1" x14ac:dyDescent="0.25"/>
    <row r="1199" hidden="1" x14ac:dyDescent="0.25"/>
    <row r="1200" hidden="1" x14ac:dyDescent="0.25"/>
    <row r="1201" hidden="1" x14ac:dyDescent="0.25"/>
    <row r="1202" hidden="1" x14ac:dyDescent="0.25"/>
    <row r="1203" hidden="1" x14ac:dyDescent="0.25"/>
    <row r="1204" hidden="1" x14ac:dyDescent="0.25"/>
    <row r="1205" hidden="1" x14ac:dyDescent="0.25"/>
    <row r="1206" hidden="1" x14ac:dyDescent="0.25"/>
    <row r="1207" hidden="1" x14ac:dyDescent="0.25"/>
    <row r="1208" hidden="1" x14ac:dyDescent="0.25"/>
    <row r="1209" hidden="1" x14ac:dyDescent="0.25"/>
    <row r="1210" hidden="1" x14ac:dyDescent="0.25"/>
    <row r="1211" hidden="1" x14ac:dyDescent="0.25"/>
    <row r="1212" hidden="1" x14ac:dyDescent="0.25"/>
    <row r="1213" hidden="1" x14ac:dyDescent="0.25"/>
    <row r="1214" hidden="1" x14ac:dyDescent="0.25"/>
    <row r="1215" hidden="1" x14ac:dyDescent="0.25"/>
    <row r="1216" hidden="1" x14ac:dyDescent="0.25"/>
    <row r="1217" hidden="1" x14ac:dyDescent="0.25"/>
    <row r="1218" hidden="1" x14ac:dyDescent="0.25"/>
    <row r="1219" hidden="1" x14ac:dyDescent="0.25"/>
    <row r="1220" hidden="1" x14ac:dyDescent="0.25"/>
    <row r="1221" hidden="1" x14ac:dyDescent="0.25"/>
    <row r="1222" hidden="1" x14ac:dyDescent="0.25"/>
    <row r="1223" hidden="1" x14ac:dyDescent="0.25"/>
    <row r="1224" hidden="1" x14ac:dyDescent="0.25"/>
    <row r="1225" hidden="1" x14ac:dyDescent="0.25"/>
    <row r="1226" hidden="1" x14ac:dyDescent="0.25"/>
    <row r="1227" hidden="1" x14ac:dyDescent="0.25"/>
    <row r="1228" hidden="1" x14ac:dyDescent="0.25"/>
    <row r="1229" hidden="1" x14ac:dyDescent="0.25"/>
    <row r="1230" hidden="1" x14ac:dyDescent="0.25"/>
    <row r="1231" hidden="1" x14ac:dyDescent="0.25"/>
    <row r="1232" hidden="1" x14ac:dyDescent="0.25"/>
    <row r="1233" hidden="1" x14ac:dyDescent="0.25"/>
    <row r="1234" hidden="1" x14ac:dyDescent="0.25"/>
    <row r="1235" hidden="1" x14ac:dyDescent="0.25"/>
    <row r="1236" hidden="1" x14ac:dyDescent="0.25"/>
    <row r="1237" hidden="1" x14ac:dyDescent="0.25"/>
    <row r="1238" hidden="1" x14ac:dyDescent="0.25"/>
    <row r="1239" hidden="1" x14ac:dyDescent="0.25"/>
    <row r="1240" hidden="1" x14ac:dyDescent="0.25"/>
    <row r="1241" hidden="1" x14ac:dyDescent="0.25"/>
    <row r="1242" hidden="1" x14ac:dyDescent="0.25"/>
    <row r="1243" hidden="1" x14ac:dyDescent="0.25"/>
    <row r="1244" hidden="1" x14ac:dyDescent="0.25"/>
    <row r="1245" hidden="1" x14ac:dyDescent="0.25"/>
    <row r="1246" hidden="1" x14ac:dyDescent="0.25"/>
    <row r="1247" hidden="1" x14ac:dyDescent="0.25"/>
    <row r="1248" hidden="1" x14ac:dyDescent="0.25"/>
    <row r="1249" hidden="1" x14ac:dyDescent="0.25"/>
    <row r="1250" hidden="1" x14ac:dyDescent="0.25"/>
    <row r="1251" hidden="1" x14ac:dyDescent="0.25"/>
    <row r="1252" hidden="1" x14ac:dyDescent="0.25"/>
    <row r="1253" hidden="1" x14ac:dyDescent="0.25"/>
    <row r="1254" hidden="1" x14ac:dyDescent="0.25"/>
    <row r="1255" hidden="1" x14ac:dyDescent="0.25"/>
    <row r="1256" hidden="1" x14ac:dyDescent="0.25"/>
    <row r="1257" hidden="1" x14ac:dyDescent="0.25"/>
    <row r="1258" hidden="1" x14ac:dyDescent="0.25"/>
    <row r="1259" hidden="1" x14ac:dyDescent="0.25"/>
    <row r="1260" hidden="1" x14ac:dyDescent="0.25"/>
    <row r="1261" hidden="1" x14ac:dyDescent="0.25"/>
    <row r="1262" hidden="1" x14ac:dyDescent="0.25"/>
    <row r="1263" hidden="1" x14ac:dyDescent="0.25"/>
    <row r="1264" hidden="1" x14ac:dyDescent="0.25"/>
    <row r="1265" hidden="1" x14ac:dyDescent="0.25"/>
    <row r="1266" hidden="1" x14ac:dyDescent="0.25"/>
    <row r="1267" hidden="1" x14ac:dyDescent="0.25"/>
    <row r="1268" hidden="1" x14ac:dyDescent="0.25"/>
    <row r="1269" hidden="1" x14ac:dyDescent="0.25"/>
    <row r="1270" hidden="1" x14ac:dyDescent="0.25"/>
    <row r="1271" hidden="1" x14ac:dyDescent="0.25"/>
    <row r="1272" hidden="1" x14ac:dyDescent="0.25"/>
    <row r="1273" hidden="1" x14ac:dyDescent="0.25"/>
    <row r="1274" hidden="1" x14ac:dyDescent="0.25"/>
    <row r="1275" hidden="1" x14ac:dyDescent="0.25"/>
    <row r="1276" hidden="1" x14ac:dyDescent="0.25"/>
    <row r="1277" hidden="1" x14ac:dyDescent="0.25"/>
    <row r="1278" hidden="1" x14ac:dyDescent="0.25"/>
    <row r="1279" hidden="1" x14ac:dyDescent="0.25"/>
    <row r="1280" hidden="1" x14ac:dyDescent="0.25"/>
    <row r="1281" hidden="1" x14ac:dyDescent="0.25"/>
    <row r="1282" hidden="1" x14ac:dyDescent="0.25"/>
    <row r="1283" hidden="1" x14ac:dyDescent="0.25"/>
    <row r="1284" hidden="1" x14ac:dyDescent="0.25"/>
    <row r="1285" hidden="1" x14ac:dyDescent="0.25"/>
    <row r="1286" hidden="1" x14ac:dyDescent="0.25"/>
    <row r="1287" hidden="1" x14ac:dyDescent="0.25"/>
    <row r="1288" hidden="1" x14ac:dyDescent="0.25"/>
    <row r="1289" hidden="1" x14ac:dyDescent="0.25"/>
    <row r="1290" hidden="1" x14ac:dyDescent="0.25"/>
    <row r="1291" hidden="1" x14ac:dyDescent="0.25"/>
    <row r="1292" hidden="1" x14ac:dyDescent="0.25"/>
    <row r="1293" hidden="1" x14ac:dyDescent="0.25"/>
    <row r="1294" hidden="1" x14ac:dyDescent="0.25"/>
    <row r="1295" hidden="1" x14ac:dyDescent="0.25"/>
    <row r="1296" hidden="1" x14ac:dyDescent="0.25"/>
    <row r="1297" hidden="1" x14ac:dyDescent="0.25"/>
    <row r="1298" hidden="1" x14ac:dyDescent="0.25"/>
    <row r="1299" hidden="1" x14ac:dyDescent="0.25"/>
    <row r="1300" hidden="1" x14ac:dyDescent="0.25"/>
    <row r="1301" hidden="1" x14ac:dyDescent="0.25"/>
    <row r="1302" hidden="1" x14ac:dyDescent="0.25"/>
    <row r="1303" hidden="1" x14ac:dyDescent="0.25"/>
    <row r="1304" hidden="1" x14ac:dyDescent="0.25"/>
    <row r="1305" hidden="1" x14ac:dyDescent="0.25"/>
    <row r="1306" hidden="1" x14ac:dyDescent="0.25"/>
    <row r="1307" hidden="1" x14ac:dyDescent="0.25"/>
    <row r="1308" hidden="1" x14ac:dyDescent="0.25"/>
    <row r="1309" hidden="1" x14ac:dyDescent="0.25"/>
    <row r="1310" hidden="1" x14ac:dyDescent="0.25"/>
    <row r="1311" hidden="1" x14ac:dyDescent="0.25"/>
    <row r="1312" hidden="1" x14ac:dyDescent="0.25"/>
    <row r="1313" hidden="1" x14ac:dyDescent="0.25"/>
    <row r="1314" hidden="1" x14ac:dyDescent="0.25"/>
    <row r="1315" hidden="1" x14ac:dyDescent="0.25"/>
    <row r="1316" hidden="1" x14ac:dyDescent="0.25"/>
    <row r="1317" hidden="1" x14ac:dyDescent="0.25"/>
    <row r="1318" hidden="1" x14ac:dyDescent="0.25"/>
    <row r="1319" hidden="1" x14ac:dyDescent="0.25"/>
    <row r="1320" hidden="1" x14ac:dyDescent="0.25"/>
    <row r="1321" hidden="1" x14ac:dyDescent="0.25"/>
    <row r="1322" hidden="1" x14ac:dyDescent="0.25"/>
    <row r="1323" hidden="1" x14ac:dyDescent="0.25"/>
    <row r="1324" hidden="1" x14ac:dyDescent="0.25"/>
    <row r="1325" hidden="1" x14ac:dyDescent="0.25"/>
    <row r="1326" hidden="1" x14ac:dyDescent="0.25"/>
    <row r="1327" hidden="1" x14ac:dyDescent="0.25"/>
    <row r="1328" hidden="1" x14ac:dyDescent="0.25"/>
    <row r="1329" hidden="1" x14ac:dyDescent="0.25"/>
    <row r="1330" hidden="1" x14ac:dyDescent="0.25"/>
    <row r="1331" hidden="1" x14ac:dyDescent="0.25"/>
    <row r="1332" hidden="1" x14ac:dyDescent="0.25"/>
    <row r="1333" hidden="1" x14ac:dyDescent="0.25"/>
    <row r="1334" hidden="1" x14ac:dyDescent="0.25"/>
    <row r="1335" hidden="1" x14ac:dyDescent="0.25"/>
    <row r="1336" hidden="1" x14ac:dyDescent="0.25"/>
    <row r="1337" hidden="1" x14ac:dyDescent="0.25"/>
    <row r="1338" hidden="1" x14ac:dyDescent="0.25"/>
    <row r="1339" hidden="1" x14ac:dyDescent="0.25"/>
    <row r="1340" hidden="1" x14ac:dyDescent="0.25"/>
    <row r="1341" hidden="1" x14ac:dyDescent="0.25"/>
    <row r="1342" hidden="1" x14ac:dyDescent="0.25"/>
    <row r="1343" hidden="1" x14ac:dyDescent="0.25"/>
    <row r="1344" hidden="1" x14ac:dyDescent="0.25"/>
    <row r="1345" hidden="1" x14ac:dyDescent="0.25"/>
    <row r="1346" hidden="1" x14ac:dyDescent="0.25"/>
    <row r="1347" hidden="1" x14ac:dyDescent="0.25"/>
    <row r="1348" hidden="1" x14ac:dyDescent="0.25"/>
    <row r="1349" hidden="1" x14ac:dyDescent="0.25"/>
    <row r="1350" hidden="1" x14ac:dyDescent="0.25"/>
    <row r="1351" hidden="1" x14ac:dyDescent="0.25"/>
    <row r="1352" hidden="1" x14ac:dyDescent="0.25"/>
    <row r="1353" hidden="1" x14ac:dyDescent="0.25"/>
    <row r="1354" hidden="1" x14ac:dyDescent="0.25"/>
    <row r="1355" hidden="1" x14ac:dyDescent="0.25"/>
    <row r="1356" hidden="1" x14ac:dyDescent="0.25"/>
    <row r="1357" hidden="1" x14ac:dyDescent="0.25"/>
    <row r="1358" hidden="1" x14ac:dyDescent="0.25"/>
    <row r="1359" hidden="1" x14ac:dyDescent="0.25"/>
    <row r="1360" hidden="1" x14ac:dyDescent="0.25"/>
    <row r="1361" hidden="1" x14ac:dyDescent="0.25"/>
    <row r="1362" hidden="1" x14ac:dyDescent="0.25"/>
    <row r="1363" hidden="1" x14ac:dyDescent="0.25"/>
    <row r="1364" hidden="1" x14ac:dyDescent="0.25"/>
    <row r="1365" hidden="1" x14ac:dyDescent="0.25"/>
    <row r="1366" hidden="1" x14ac:dyDescent="0.25"/>
    <row r="1367" hidden="1" x14ac:dyDescent="0.25"/>
    <row r="1368" hidden="1" x14ac:dyDescent="0.25"/>
    <row r="1369" hidden="1" x14ac:dyDescent="0.25"/>
    <row r="1370" hidden="1" x14ac:dyDescent="0.25"/>
    <row r="1371" hidden="1" x14ac:dyDescent="0.25"/>
    <row r="1372" hidden="1" x14ac:dyDescent="0.25"/>
    <row r="1373" hidden="1" x14ac:dyDescent="0.25"/>
    <row r="1374" hidden="1" x14ac:dyDescent="0.25"/>
    <row r="1375" hidden="1" x14ac:dyDescent="0.25"/>
    <row r="1376" hidden="1" x14ac:dyDescent="0.25"/>
    <row r="1377" hidden="1" x14ac:dyDescent="0.25"/>
    <row r="1378" hidden="1" x14ac:dyDescent="0.25"/>
    <row r="1379" hidden="1" x14ac:dyDescent="0.25"/>
    <row r="1380" hidden="1" x14ac:dyDescent="0.25"/>
    <row r="1381" hidden="1" x14ac:dyDescent="0.25"/>
    <row r="1382" hidden="1" x14ac:dyDescent="0.25"/>
    <row r="1383" hidden="1" x14ac:dyDescent="0.25"/>
    <row r="1384" hidden="1" x14ac:dyDescent="0.25"/>
    <row r="1385" hidden="1" x14ac:dyDescent="0.25"/>
    <row r="1386" hidden="1" x14ac:dyDescent="0.25"/>
    <row r="1387" hidden="1" x14ac:dyDescent="0.25"/>
    <row r="1388" hidden="1" x14ac:dyDescent="0.25"/>
    <row r="1389" hidden="1" x14ac:dyDescent="0.25"/>
    <row r="1390" hidden="1" x14ac:dyDescent="0.25"/>
    <row r="1391" hidden="1" x14ac:dyDescent="0.25"/>
    <row r="1392" hidden="1" x14ac:dyDescent="0.25"/>
    <row r="1393" hidden="1" x14ac:dyDescent="0.25"/>
    <row r="1394" hidden="1" x14ac:dyDescent="0.25"/>
    <row r="1395" hidden="1" x14ac:dyDescent="0.25"/>
    <row r="1396" hidden="1" x14ac:dyDescent="0.25"/>
    <row r="1397" hidden="1" x14ac:dyDescent="0.25"/>
    <row r="1398" hidden="1" x14ac:dyDescent="0.25"/>
    <row r="1399" hidden="1" x14ac:dyDescent="0.25"/>
    <row r="1400" hidden="1" x14ac:dyDescent="0.25"/>
    <row r="1401" hidden="1" x14ac:dyDescent="0.25"/>
    <row r="1402" hidden="1" x14ac:dyDescent="0.25"/>
    <row r="1403" hidden="1" x14ac:dyDescent="0.25"/>
    <row r="1404" hidden="1" x14ac:dyDescent="0.25"/>
    <row r="1405" hidden="1" x14ac:dyDescent="0.25"/>
    <row r="1406" hidden="1" x14ac:dyDescent="0.25"/>
    <row r="1407" hidden="1" x14ac:dyDescent="0.25"/>
    <row r="1408" hidden="1" x14ac:dyDescent="0.25"/>
    <row r="1409" hidden="1" x14ac:dyDescent="0.25"/>
    <row r="1410" hidden="1" x14ac:dyDescent="0.25"/>
    <row r="1411" hidden="1" x14ac:dyDescent="0.25"/>
    <row r="1412" hidden="1" x14ac:dyDescent="0.25"/>
    <row r="1413" hidden="1" x14ac:dyDescent="0.25"/>
    <row r="1414" hidden="1" x14ac:dyDescent="0.25"/>
    <row r="1415" hidden="1" x14ac:dyDescent="0.25"/>
    <row r="1416" hidden="1" x14ac:dyDescent="0.25"/>
    <row r="1417" hidden="1" x14ac:dyDescent="0.25"/>
    <row r="1418" hidden="1" x14ac:dyDescent="0.25"/>
    <row r="1419" hidden="1" x14ac:dyDescent="0.25"/>
    <row r="1420" hidden="1" x14ac:dyDescent="0.25"/>
    <row r="1421" hidden="1" x14ac:dyDescent="0.25"/>
    <row r="1422" hidden="1" x14ac:dyDescent="0.25"/>
    <row r="1423" hidden="1" x14ac:dyDescent="0.25"/>
    <row r="1424" hidden="1" x14ac:dyDescent="0.25"/>
    <row r="1425" hidden="1" x14ac:dyDescent="0.25"/>
    <row r="1426" hidden="1" x14ac:dyDescent="0.25"/>
    <row r="1427" hidden="1" x14ac:dyDescent="0.25"/>
    <row r="1428" hidden="1" x14ac:dyDescent="0.25"/>
    <row r="1429" hidden="1" x14ac:dyDescent="0.25"/>
    <row r="1430" hidden="1" x14ac:dyDescent="0.25"/>
    <row r="1431" hidden="1" x14ac:dyDescent="0.25"/>
    <row r="1432" hidden="1" x14ac:dyDescent="0.25"/>
    <row r="1433" hidden="1" x14ac:dyDescent="0.25"/>
    <row r="1434" hidden="1" x14ac:dyDescent="0.25"/>
    <row r="1435" hidden="1" x14ac:dyDescent="0.25"/>
    <row r="1436" hidden="1" x14ac:dyDescent="0.25"/>
    <row r="1437" hidden="1" x14ac:dyDescent="0.25"/>
    <row r="1438" hidden="1" x14ac:dyDescent="0.25"/>
    <row r="1439" hidden="1" x14ac:dyDescent="0.25"/>
    <row r="1440" hidden="1" x14ac:dyDescent="0.25"/>
    <row r="1441" hidden="1" x14ac:dyDescent="0.25"/>
    <row r="1442" hidden="1" x14ac:dyDescent="0.25"/>
    <row r="1443" hidden="1" x14ac:dyDescent="0.25"/>
    <row r="1444" hidden="1" x14ac:dyDescent="0.25"/>
    <row r="1445" hidden="1" x14ac:dyDescent="0.25"/>
    <row r="1446" hidden="1" x14ac:dyDescent="0.25"/>
    <row r="1447" hidden="1" x14ac:dyDescent="0.25"/>
    <row r="1448" hidden="1" x14ac:dyDescent="0.25"/>
    <row r="1449" hidden="1" x14ac:dyDescent="0.25"/>
    <row r="1450" hidden="1" x14ac:dyDescent="0.25"/>
    <row r="1451" hidden="1" x14ac:dyDescent="0.25"/>
    <row r="1452" hidden="1" x14ac:dyDescent="0.25"/>
    <row r="1453" hidden="1" x14ac:dyDescent="0.25"/>
    <row r="1454" hidden="1" x14ac:dyDescent="0.25"/>
    <row r="1455" hidden="1" x14ac:dyDescent="0.25"/>
    <row r="1456" hidden="1" x14ac:dyDescent="0.25"/>
    <row r="1457" hidden="1" x14ac:dyDescent="0.25"/>
    <row r="1458" hidden="1" x14ac:dyDescent="0.25"/>
    <row r="1459" hidden="1" x14ac:dyDescent="0.25"/>
    <row r="1460" hidden="1" x14ac:dyDescent="0.25"/>
    <row r="1461" hidden="1" x14ac:dyDescent="0.25"/>
    <row r="1462" hidden="1" x14ac:dyDescent="0.25"/>
    <row r="1463" hidden="1" x14ac:dyDescent="0.25"/>
    <row r="1464" hidden="1" x14ac:dyDescent="0.25"/>
    <row r="1465" hidden="1" x14ac:dyDescent="0.25"/>
    <row r="1466" hidden="1" x14ac:dyDescent="0.25"/>
    <row r="1467" hidden="1" x14ac:dyDescent="0.25"/>
    <row r="1468" hidden="1" x14ac:dyDescent="0.25"/>
    <row r="1469" hidden="1" x14ac:dyDescent="0.25"/>
    <row r="1470" hidden="1" x14ac:dyDescent="0.25"/>
    <row r="1471" hidden="1" x14ac:dyDescent="0.25"/>
    <row r="1472" hidden="1" x14ac:dyDescent="0.25"/>
    <row r="1473" hidden="1" x14ac:dyDescent="0.25"/>
    <row r="1474" hidden="1" x14ac:dyDescent="0.25"/>
    <row r="1475" hidden="1" x14ac:dyDescent="0.25"/>
    <row r="1476" hidden="1" x14ac:dyDescent="0.25"/>
    <row r="1477" hidden="1" x14ac:dyDescent="0.25"/>
    <row r="1478" hidden="1" x14ac:dyDescent="0.25"/>
    <row r="1479" hidden="1" x14ac:dyDescent="0.25"/>
    <row r="1480" hidden="1" x14ac:dyDescent="0.25"/>
    <row r="1481" hidden="1" x14ac:dyDescent="0.25"/>
    <row r="1482" hidden="1" x14ac:dyDescent="0.25"/>
    <row r="1483" hidden="1" x14ac:dyDescent="0.25"/>
    <row r="1484" hidden="1" x14ac:dyDescent="0.25"/>
    <row r="1485" hidden="1" x14ac:dyDescent="0.25"/>
    <row r="1486" hidden="1" x14ac:dyDescent="0.25"/>
    <row r="1487" hidden="1" x14ac:dyDescent="0.25"/>
    <row r="1488" hidden="1" x14ac:dyDescent="0.25"/>
    <row r="1489" hidden="1" x14ac:dyDescent="0.25"/>
    <row r="1490" hidden="1" x14ac:dyDescent="0.25"/>
    <row r="1491" hidden="1" x14ac:dyDescent="0.25"/>
    <row r="1492" hidden="1" x14ac:dyDescent="0.25"/>
    <row r="1493" hidden="1" x14ac:dyDescent="0.25"/>
    <row r="1494" hidden="1" x14ac:dyDescent="0.25"/>
    <row r="1495" hidden="1" x14ac:dyDescent="0.25"/>
    <row r="1496" hidden="1" x14ac:dyDescent="0.25"/>
    <row r="1497" hidden="1" x14ac:dyDescent="0.25"/>
    <row r="1498" hidden="1" x14ac:dyDescent="0.25"/>
    <row r="1499" hidden="1" x14ac:dyDescent="0.25"/>
    <row r="1500" hidden="1" x14ac:dyDescent="0.25"/>
    <row r="1501" hidden="1" x14ac:dyDescent="0.25"/>
    <row r="1502" hidden="1" x14ac:dyDescent="0.25"/>
    <row r="1503" hidden="1" x14ac:dyDescent="0.25"/>
    <row r="1504" hidden="1" x14ac:dyDescent="0.25"/>
    <row r="1505" hidden="1" x14ac:dyDescent="0.25"/>
    <row r="1506" hidden="1" x14ac:dyDescent="0.25"/>
    <row r="1507" hidden="1" x14ac:dyDescent="0.25"/>
    <row r="1508" hidden="1" x14ac:dyDescent="0.25"/>
    <row r="1509" hidden="1" x14ac:dyDescent="0.25"/>
    <row r="1510" hidden="1" x14ac:dyDescent="0.25"/>
    <row r="1511" hidden="1" x14ac:dyDescent="0.25"/>
    <row r="1512" hidden="1" x14ac:dyDescent="0.25"/>
    <row r="1513" hidden="1" x14ac:dyDescent="0.25"/>
    <row r="1514" hidden="1" x14ac:dyDescent="0.25"/>
    <row r="1515" hidden="1" x14ac:dyDescent="0.25"/>
    <row r="1516" hidden="1" x14ac:dyDescent="0.25"/>
    <row r="1517" hidden="1" x14ac:dyDescent="0.25"/>
    <row r="1518" hidden="1" x14ac:dyDescent="0.25"/>
    <row r="1519" hidden="1" x14ac:dyDescent="0.25"/>
    <row r="1520" hidden="1" x14ac:dyDescent="0.25"/>
    <row r="1521" hidden="1" x14ac:dyDescent="0.25"/>
    <row r="1522" hidden="1" x14ac:dyDescent="0.25"/>
    <row r="1523" hidden="1" x14ac:dyDescent="0.25"/>
    <row r="1524" hidden="1" x14ac:dyDescent="0.25"/>
    <row r="1525" hidden="1" x14ac:dyDescent="0.25"/>
    <row r="1526" hidden="1" x14ac:dyDescent="0.25"/>
    <row r="1527" hidden="1" x14ac:dyDescent="0.25"/>
    <row r="1528" hidden="1" x14ac:dyDescent="0.25"/>
    <row r="1529" hidden="1" x14ac:dyDescent="0.25"/>
    <row r="1530" hidden="1" x14ac:dyDescent="0.25"/>
    <row r="1531" hidden="1" x14ac:dyDescent="0.25"/>
    <row r="1532" hidden="1" x14ac:dyDescent="0.25"/>
    <row r="1533" hidden="1" x14ac:dyDescent="0.25"/>
    <row r="1534" hidden="1" x14ac:dyDescent="0.25"/>
    <row r="1535" hidden="1" x14ac:dyDescent="0.25"/>
    <row r="1536" hidden="1" x14ac:dyDescent="0.25"/>
    <row r="1537" hidden="1" x14ac:dyDescent="0.25"/>
    <row r="1538" hidden="1" x14ac:dyDescent="0.25"/>
    <row r="1539" hidden="1" x14ac:dyDescent="0.25"/>
    <row r="1540" hidden="1" x14ac:dyDescent="0.25"/>
    <row r="1541" hidden="1" x14ac:dyDescent="0.25"/>
    <row r="1542" hidden="1" x14ac:dyDescent="0.25"/>
    <row r="1543" hidden="1" x14ac:dyDescent="0.25"/>
    <row r="1544" hidden="1" x14ac:dyDescent="0.25"/>
    <row r="1545" hidden="1" x14ac:dyDescent="0.25"/>
    <row r="1546" hidden="1" x14ac:dyDescent="0.25"/>
    <row r="1547" hidden="1" x14ac:dyDescent="0.25"/>
    <row r="1548" hidden="1" x14ac:dyDescent="0.25"/>
    <row r="1549" hidden="1" x14ac:dyDescent="0.25"/>
    <row r="1550" hidden="1" x14ac:dyDescent="0.25"/>
    <row r="1551" hidden="1" x14ac:dyDescent="0.25"/>
    <row r="1552" hidden="1" x14ac:dyDescent="0.25"/>
    <row r="1553" hidden="1" x14ac:dyDescent="0.25"/>
    <row r="1554" hidden="1" x14ac:dyDescent="0.25"/>
    <row r="1555" hidden="1" x14ac:dyDescent="0.25"/>
    <row r="1556" hidden="1" x14ac:dyDescent="0.25"/>
    <row r="1557" hidden="1" x14ac:dyDescent="0.25"/>
    <row r="1558" hidden="1" x14ac:dyDescent="0.25"/>
    <row r="1559" hidden="1" x14ac:dyDescent="0.25"/>
    <row r="1560" hidden="1" x14ac:dyDescent="0.25"/>
    <row r="1561" hidden="1" x14ac:dyDescent="0.25"/>
    <row r="1562" hidden="1" x14ac:dyDescent="0.25"/>
    <row r="1563" hidden="1" x14ac:dyDescent="0.25"/>
    <row r="1564" hidden="1" x14ac:dyDescent="0.25"/>
    <row r="1565" hidden="1" x14ac:dyDescent="0.25"/>
    <row r="1566" hidden="1" x14ac:dyDescent="0.25"/>
    <row r="1567" hidden="1" x14ac:dyDescent="0.25"/>
    <row r="1568" hidden="1" x14ac:dyDescent="0.25"/>
    <row r="1569" hidden="1" x14ac:dyDescent="0.25"/>
    <row r="1570" hidden="1" x14ac:dyDescent="0.25"/>
    <row r="1571" hidden="1" x14ac:dyDescent="0.25"/>
    <row r="1572" hidden="1" x14ac:dyDescent="0.25"/>
    <row r="1573" hidden="1" x14ac:dyDescent="0.25"/>
    <row r="1574" hidden="1" x14ac:dyDescent="0.25"/>
    <row r="1575" hidden="1" x14ac:dyDescent="0.25"/>
    <row r="1576" hidden="1" x14ac:dyDescent="0.25"/>
    <row r="1577" hidden="1" x14ac:dyDescent="0.25"/>
    <row r="1578" hidden="1" x14ac:dyDescent="0.25"/>
    <row r="1579" hidden="1" x14ac:dyDescent="0.25"/>
    <row r="1580" hidden="1" x14ac:dyDescent="0.25"/>
    <row r="1581" hidden="1" x14ac:dyDescent="0.25"/>
    <row r="1582" hidden="1" x14ac:dyDescent="0.25"/>
    <row r="1583" hidden="1" x14ac:dyDescent="0.25"/>
    <row r="1584" hidden="1" x14ac:dyDescent="0.25"/>
    <row r="1585" hidden="1" x14ac:dyDescent="0.25"/>
    <row r="1586" hidden="1" x14ac:dyDescent="0.25"/>
    <row r="1587" hidden="1" x14ac:dyDescent="0.25"/>
    <row r="1588" hidden="1" x14ac:dyDescent="0.25"/>
    <row r="1589" hidden="1" x14ac:dyDescent="0.25"/>
    <row r="1590" hidden="1" x14ac:dyDescent="0.25"/>
    <row r="1591" hidden="1" x14ac:dyDescent="0.25"/>
    <row r="1592" hidden="1" x14ac:dyDescent="0.25"/>
    <row r="1593" hidden="1" x14ac:dyDescent="0.25"/>
    <row r="1594" hidden="1" x14ac:dyDescent="0.25"/>
    <row r="1595" hidden="1" x14ac:dyDescent="0.25"/>
    <row r="1596" hidden="1" x14ac:dyDescent="0.25"/>
    <row r="1597" hidden="1" x14ac:dyDescent="0.25"/>
    <row r="1598" hidden="1" x14ac:dyDescent="0.25"/>
    <row r="1599" hidden="1" x14ac:dyDescent="0.25"/>
    <row r="1600" hidden="1" x14ac:dyDescent="0.25"/>
    <row r="1601" hidden="1" x14ac:dyDescent="0.25"/>
    <row r="1602" hidden="1" x14ac:dyDescent="0.25"/>
    <row r="1603" hidden="1" x14ac:dyDescent="0.25"/>
    <row r="1604" hidden="1" x14ac:dyDescent="0.25"/>
    <row r="1605" hidden="1" x14ac:dyDescent="0.25"/>
    <row r="1606" hidden="1" x14ac:dyDescent="0.25"/>
    <row r="1607" hidden="1" x14ac:dyDescent="0.25"/>
    <row r="1608" hidden="1" x14ac:dyDescent="0.25"/>
    <row r="1609" hidden="1" x14ac:dyDescent="0.25"/>
    <row r="1610" hidden="1" x14ac:dyDescent="0.25"/>
    <row r="1611" hidden="1" x14ac:dyDescent="0.25"/>
    <row r="1612" hidden="1" x14ac:dyDescent="0.25"/>
    <row r="1613" hidden="1" x14ac:dyDescent="0.25"/>
    <row r="1614" hidden="1" x14ac:dyDescent="0.25"/>
    <row r="1615" hidden="1" x14ac:dyDescent="0.25"/>
    <row r="1616" hidden="1" x14ac:dyDescent="0.25"/>
    <row r="1617" hidden="1" x14ac:dyDescent="0.25"/>
    <row r="1618" hidden="1" x14ac:dyDescent="0.25"/>
    <row r="1619" hidden="1" x14ac:dyDescent="0.25"/>
    <row r="1620" hidden="1" x14ac:dyDescent="0.25"/>
    <row r="1621" hidden="1" x14ac:dyDescent="0.25"/>
    <row r="1622" hidden="1" x14ac:dyDescent="0.25"/>
    <row r="1623" hidden="1" x14ac:dyDescent="0.25"/>
    <row r="1624" hidden="1" x14ac:dyDescent="0.25"/>
    <row r="1625" hidden="1" x14ac:dyDescent="0.25"/>
    <row r="1626" hidden="1" x14ac:dyDescent="0.25"/>
    <row r="1627" hidden="1" x14ac:dyDescent="0.25"/>
    <row r="1628" hidden="1" x14ac:dyDescent="0.25"/>
    <row r="1629" hidden="1" x14ac:dyDescent="0.25"/>
    <row r="1630" hidden="1" x14ac:dyDescent="0.25"/>
    <row r="1631" hidden="1" x14ac:dyDescent="0.25"/>
    <row r="1632" hidden="1" x14ac:dyDescent="0.25"/>
    <row r="1633" hidden="1" x14ac:dyDescent="0.25"/>
    <row r="1634" hidden="1" x14ac:dyDescent="0.25"/>
    <row r="1635" hidden="1" x14ac:dyDescent="0.25"/>
    <row r="1636" hidden="1" x14ac:dyDescent="0.25"/>
    <row r="1637" hidden="1" x14ac:dyDescent="0.25"/>
    <row r="1638" hidden="1" x14ac:dyDescent="0.25"/>
    <row r="1639" hidden="1" x14ac:dyDescent="0.25"/>
    <row r="1640" hidden="1" x14ac:dyDescent="0.25"/>
    <row r="1641" hidden="1" x14ac:dyDescent="0.25"/>
    <row r="1642" hidden="1" x14ac:dyDescent="0.25"/>
    <row r="1643" hidden="1" x14ac:dyDescent="0.25"/>
    <row r="1644" hidden="1" x14ac:dyDescent="0.25"/>
    <row r="1645" hidden="1" x14ac:dyDescent="0.25"/>
    <row r="1646" hidden="1" x14ac:dyDescent="0.25"/>
    <row r="1647" hidden="1" x14ac:dyDescent="0.25"/>
    <row r="1648" hidden="1" x14ac:dyDescent="0.25"/>
    <row r="1649" hidden="1" x14ac:dyDescent="0.25"/>
    <row r="1650" hidden="1" x14ac:dyDescent="0.25"/>
    <row r="1651" hidden="1" x14ac:dyDescent="0.25"/>
    <row r="1652" hidden="1" x14ac:dyDescent="0.25"/>
    <row r="1653" hidden="1" x14ac:dyDescent="0.25"/>
    <row r="1654" hidden="1" x14ac:dyDescent="0.25"/>
    <row r="1655" hidden="1" x14ac:dyDescent="0.25"/>
    <row r="1656" hidden="1" x14ac:dyDescent="0.25"/>
    <row r="1657" hidden="1" x14ac:dyDescent="0.25"/>
    <row r="1658" hidden="1" x14ac:dyDescent="0.25"/>
    <row r="1659" hidden="1" x14ac:dyDescent="0.25"/>
    <row r="1660" hidden="1" x14ac:dyDescent="0.25"/>
    <row r="1661" hidden="1" x14ac:dyDescent="0.25"/>
    <row r="1662" hidden="1" x14ac:dyDescent="0.25"/>
    <row r="1663" hidden="1" x14ac:dyDescent="0.25"/>
    <row r="1664" hidden="1" x14ac:dyDescent="0.25"/>
    <row r="1665" hidden="1" x14ac:dyDescent="0.25"/>
    <row r="1666" hidden="1" x14ac:dyDescent="0.25"/>
    <row r="1667" hidden="1" x14ac:dyDescent="0.25"/>
    <row r="1668" hidden="1" x14ac:dyDescent="0.25"/>
    <row r="1669" hidden="1" x14ac:dyDescent="0.25"/>
    <row r="1670" hidden="1" x14ac:dyDescent="0.25"/>
    <row r="1671" hidden="1" x14ac:dyDescent="0.25"/>
    <row r="1672" hidden="1" x14ac:dyDescent="0.25"/>
    <row r="1673" hidden="1" x14ac:dyDescent="0.25"/>
    <row r="1674" hidden="1" x14ac:dyDescent="0.25"/>
    <row r="1675" hidden="1" x14ac:dyDescent="0.25"/>
    <row r="1676" hidden="1" x14ac:dyDescent="0.25"/>
    <row r="1677" hidden="1" x14ac:dyDescent="0.25"/>
    <row r="1678" hidden="1" x14ac:dyDescent="0.25"/>
    <row r="1679" hidden="1" x14ac:dyDescent="0.25"/>
    <row r="1680" hidden="1" x14ac:dyDescent="0.25"/>
    <row r="1681" hidden="1" x14ac:dyDescent="0.25"/>
    <row r="1682" hidden="1" x14ac:dyDescent="0.25"/>
    <row r="1683" hidden="1" x14ac:dyDescent="0.25"/>
    <row r="1684" hidden="1" x14ac:dyDescent="0.25"/>
    <row r="1685" hidden="1" x14ac:dyDescent="0.25"/>
    <row r="1686" hidden="1" x14ac:dyDescent="0.25"/>
    <row r="1687" hidden="1" x14ac:dyDescent="0.25"/>
    <row r="1688" hidden="1" x14ac:dyDescent="0.25"/>
    <row r="1689" hidden="1" x14ac:dyDescent="0.25"/>
    <row r="1690" hidden="1" x14ac:dyDescent="0.25"/>
    <row r="1691" hidden="1" x14ac:dyDescent="0.25"/>
    <row r="1692" hidden="1" x14ac:dyDescent="0.25"/>
    <row r="1693" hidden="1" x14ac:dyDescent="0.25"/>
    <row r="1694" hidden="1" x14ac:dyDescent="0.25"/>
    <row r="1695" hidden="1" x14ac:dyDescent="0.25"/>
    <row r="1696" hidden="1" x14ac:dyDescent="0.25"/>
    <row r="1697" hidden="1" x14ac:dyDescent="0.25"/>
    <row r="1698" hidden="1" x14ac:dyDescent="0.25"/>
    <row r="1699" hidden="1" x14ac:dyDescent="0.25"/>
    <row r="1700" hidden="1" x14ac:dyDescent="0.25"/>
    <row r="1701" hidden="1" x14ac:dyDescent="0.25"/>
    <row r="1702" hidden="1" x14ac:dyDescent="0.25"/>
    <row r="1703" hidden="1" x14ac:dyDescent="0.25"/>
    <row r="1704" hidden="1" x14ac:dyDescent="0.25"/>
    <row r="1705" hidden="1" x14ac:dyDescent="0.25"/>
    <row r="1706" hidden="1" x14ac:dyDescent="0.25"/>
    <row r="1707" hidden="1" x14ac:dyDescent="0.25"/>
    <row r="1708" hidden="1" x14ac:dyDescent="0.25"/>
    <row r="1709" hidden="1" x14ac:dyDescent="0.25"/>
    <row r="1710" hidden="1" x14ac:dyDescent="0.25"/>
    <row r="1711" hidden="1" x14ac:dyDescent="0.25"/>
    <row r="1712" hidden="1" x14ac:dyDescent="0.25"/>
    <row r="1713" hidden="1" x14ac:dyDescent="0.25"/>
    <row r="1714" hidden="1" x14ac:dyDescent="0.25"/>
    <row r="1715" hidden="1" x14ac:dyDescent="0.25"/>
    <row r="1716" hidden="1" x14ac:dyDescent="0.25"/>
    <row r="1717" hidden="1" x14ac:dyDescent="0.25"/>
    <row r="1718" hidden="1" x14ac:dyDescent="0.25"/>
    <row r="1719" hidden="1" x14ac:dyDescent="0.25"/>
    <row r="1720" hidden="1" x14ac:dyDescent="0.25"/>
    <row r="1721" hidden="1" x14ac:dyDescent="0.25"/>
    <row r="1722" hidden="1" x14ac:dyDescent="0.25"/>
    <row r="1723" hidden="1" x14ac:dyDescent="0.25"/>
    <row r="1724" hidden="1" x14ac:dyDescent="0.25"/>
    <row r="1725" hidden="1" x14ac:dyDescent="0.25"/>
    <row r="1726" hidden="1" x14ac:dyDescent="0.25"/>
    <row r="1727" hidden="1" x14ac:dyDescent="0.25"/>
    <row r="1728" hidden="1" x14ac:dyDescent="0.25"/>
    <row r="1729" hidden="1" x14ac:dyDescent="0.25"/>
    <row r="1730" hidden="1" x14ac:dyDescent="0.25"/>
    <row r="1731" hidden="1" x14ac:dyDescent="0.25"/>
    <row r="1732" hidden="1" x14ac:dyDescent="0.25"/>
    <row r="1733" hidden="1" x14ac:dyDescent="0.25"/>
    <row r="1734" hidden="1" x14ac:dyDescent="0.25"/>
    <row r="1735" hidden="1" x14ac:dyDescent="0.25"/>
    <row r="1736" hidden="1" x14ac:dyDescent="0.25"/>
    <row r="1737" hidden="1" x14ac:dyDescent="0.25"/>
    <row r="1738" hidden="1" x14ac:dyDescent="0.25"/>
    <row r="1739" hidden="1" x14ac:dyDescent="0.25"/>
    <row r="1740" hidden="1" x14ac:dyDescent="0.25"/>
    <row r="1741" hidden="1" x14ac:dyDescent="0.25"/>
    <row r="1742" hidden="1" x14ac:dyDescent="0.25"/>
    <row r="1743" hidden="1" x14ac:dyDescent="0.25"/>
    <row r="1744" hidden="1" x14ac:dyDescent="0.25"/>
    <row r="1745" hidden="1" x14ac:dyDescent="0.25"/>
    <row r="1746" hidden="1" x14ac:dyDescent="0.25"/>
    <row r="1747" hidden="1" x14ac:dyDescent="0.25"/>
    <row r="1748" hidden="1" x14ac:dyDescent="0.25"/>
    <row r="1749" hidden="1" x14ac:dyDescent="0.25"/>
    <row r="1750" hidden="1" x14ac:dyDescent="0.25"/>
    <row r="1751" hidden="1" x14ac:dyDescent="0.25"/>
    <row r="1752" hidden="1" x14ac:dyDescent="0.25"/>
    <row r="1753" hidden="1" x14ac:dyDescent="0.25"/>
    <row r="1754" hidden="1" x14ac:dyDescent="0.25"/>
    <row r="1755" hidden="1" x14ac:dyDescent="0.25"/>
    <row r="1756" hidden="1" x14ac:dyDescent="0.25"/>
    <row r="1757" hidden="1" x14ac:dyDescent="0.25"/>
    <row r="1758" hidden="1" x14ac:dyDescent="0.25"/>
    <row r="1759" hidden="1" x14ac:dyDescent="0.25"/>
    <row r="1760" hidden="1" x14ac:dyDescent="0.25"/>
    <row r="1761" hidden="1" x14ac:dyDescent="0.25"/>
    <row r="1762" hidden="1" x14ac:dyDescent="0.25"/>
    <row r="1763" hidden="1" x14ac:dyDescent="0.25"/>
    <row r="1764" hidden="1" x14ac:dyDescent="0.25"/>
    <row r="1765" hidden="1" x14ac:dyDescent="0.25"/>
    <row r="1766" hidden="1" x14ac:dyDescent="0.25"/>
    <row r="1767" hidden="1" x14ac:dyDescent="0.25"/>
    <row r="1768" hidden="1" x14ac:dyDescent="0.25"/>
    <row r="1769" hidden="1" x14ac:dyDescent="0.25"/>
    <row r="1770" hidden="1" x14ac:dyDescent="0.25"/>
    <row r="1771" hidden="1" x14ac:dyDescent="0.25"/>
    <row r="1772" hidden="1" x14ac:dyDescent="0.25"/>
    <row r="1773" hidden="1" x14ac:dyDescent="0.25"/>
    <row r="1774" hidden="1" x14ac:dyDescent="0.25"/>
    <row r="1775" hidden="1" x14ac:dyDescent="0.25"/>
    <row r="1776" hidden="1" x14ac:dyDescent="0.25"/>
    <row r="1777" hidden="1" x14ac:dyDescent="0.25"/>
    <row r="1778" hidden="1" x14ac:dyDescent="0.25"/>
    <row r="1779" hidden="1" x14ac:dyDescent="0.25"/>
    <row r="1780" hidden="1" x14ac:dyDescent="0.25"/>
    <row r="1781" hidden="1" x14ac:dyDescent="0.25"/>
    <row r="1782" hidden="1" x14ac:dyDescent="0.25"/>
    <row r="1783" hidden="1" x14ac:dyDescent="0.25"/>
    <row r="1784" hidden="1" x14ac:dyDescent="0.25"/>
    <row r="1785" hidden="1" x14ac:dyDescent="0.25"/>
    <row r="1786" hidden="1" x14ac:dyDescent="0.25"/>
    <row r="1787" hidden="1" x14ac:dyDescent="0.25"/>
    <row r="1788" hidden="1" x14ac:dyDescent="0.25"/>
    <row r="1789" hidden="1" x14ac:dyDescent="0.25"/>
    <row r="1790" hidden="1" x14ac:dyDescent="0.25"/>
    <row r="1791" hidden="1" x14ac:dyDescent="0.25"/>
    <row r="1792" hidden="1" x14ac:dyDescent="0.25"/>
    <row r="1793" hidden="1" x14ac:dyDescent="0.25"/>
    <row r="1794" hidden="1" x14ac:dyDescent="0.25"/>
    <row r="1795" hidden="1" x14ac:dyDescent="0.25"/>
    <row r="1796" hidden="1" x14ac:dyDescent="0.25"/>
    <row r="1797" hidden="1" x14ac:dyDescent="0.25"/>
    <row r="1798" hidden="1" x14ac:dyDescent="0.25"/>
    <row r="1799" hidden="1" x14ac:dyDescent="0.25"/>
    <row r="1800" hidden="1" x14ac:dyDescent="0.25"/>
    <row r="1801" hidden="1" x14ac:dyDescent="0.25"/>
    <row r="1802" hidden="1" x14ac:dyDescent="0.25"/>
    <row r="1803" hidden="1" x14ac:dyDescent="0.25"/>
    <row r="1804" hidden="1" x14ac:dyDescent="0.25"/>
    <row r="1805" hidden="1" x14ac:dyDescent="0.25"/>
    <row r="1806" hidden="1" x14ac:dyDescent="0.25"/>
    <row r="1807" hidden="1" x14ac:dyDescent="0.25"/>
    <row r="1808" hidden="1" x14ac:dyDescent="0.25"/>
    <row r="1809" hidden="1" x14ac:dyDescent="0.25"/>
    <row r="1810" hidden="1" x14ac:dyDescent="0.25"/>
    <row r="1811" hidden="1" x14ac:dyDescent="0.25"/>
    <row r="1812" hidden="1" x14ac:dyDescent="0.25"/>
    <row r="1813" hidden="1" x14ac:dyDescent="0.25"/>
    <row r="1814" hidden="1" x14ac:dyDescent="0.25"/>
    <row r="1815" hidden="1" x14ac:dyDescent="0.25"/>
    <row r="1816" hidden="1" x14ac:dyDescent="0.25"/>
    <row r="1817" hidden="1" x14ac:dyDescent="0.25"/>
    <row r="1818" hidden="1" x14ac:dyDescent="0.25"/>
    <row r="1819" hidden="1" x14ac:dyDescent="0.25"/>
    <row r="1820" hidden="1" x14ac:dyDescent="0.25"/>
    <row r="1821" hidden="1" x14ac:dyDescent="0.25"/>
    <row r="1822" hidden="1" x14ac:dyDescent="0.25"/>
    <row r="1823" hidden="1" x14ac:dyDescent="0.25"/>
    <row r="1824" hidden="1" x14ac:dyDescent="0.25"/>
    <row r="1825" hidden="1" x14ac:dyDescent="0.25"/>
    <row r="1826" hidden="1" x14ac:dyDescent="0.25"/>
    <row r="1827" hidden="1" x14ac:dyDescent="0.25"/>
    <row r="1828" hidden="1" x14ac:dyDescent="0.25"/>
    <row r="1829" hidden="1" x14ac:dyDescent="0.25"/>
    <row r="1830" hidden="1" x14ac:dyDescent="0.25"/>
    <row r="1831" hidden="1" x14ac:dyDescent="0.25"/>
    <row r="1832" hidden="1" x14ac:dyDescent="0.25"/>
    <row r="1833" hidden="1" x14ac:dyDescent="0.25"/>
    <row r="1834" hidden="1" x14ac:dyDescent="0.25"/>
    <row r="1835" hidden="1" x14ac:dyDescent="0.25"/>
    <row r="1836" hidden="1" x14ac:dyDescent="0.25"/>
    <row r="1837" hidden="1" x14ac:dyDescent="0.25"/>
    <row r="1838" hidden="1" x14ac:dyDescent="0.25"/>
    <row r="1839" hidden="1" x14ac:dyDescent="0.25"/>
    <row r="1840" hidden="1" x14ac:dyDescent="0.25"/>
    <row r="1841" hidden="1" x14ac:dyDescent="0.25"/>
    <row r="1842" hidden="1" x14ac:dyDescent="0.25"/>
    <row r="1843" hidden="1" x14ac:dyDescent="0.25"/>
    <row r="1844" hidden="1" x14ac:dyDescent="0.25"/>
    <row r="1845" hidden="1" x14ac:dyDescent="0.25"/>
    <row r="1846" hidden="1" x14ac:dyDescent="0.25"/>
    <row r="1847" hidden="1" x14ac:dyDescent="0.25"/>
    <row r="1848" hidden="1" x14ac:dyDescent="0.25"/>
    <row r="1849" hidden="1" x14ac:dyDescent="0.25"/>
    <row r="1850" hidden="1" x14ac:dyDescent="0.25"/>
    <row r="1851" hidden="1" x14ac:dyDescent="0.25"/>
    <row r="1852" hidden="1" x14ac:dyDescent="0.25"/>
    <row r="1853" hidden="1" x14ac:dyDescent="0.25"/>
    <row r="1854" hidden="1" x14ac:dyDescent="0.25"/>
    <row r="1855" hidden="1" x14ac:dyDescent="0.25"/>
    <row r="1856" hidden="1" x14ac:dyDescent="0.25"/>
    <row r="1857" hidden="1" x14ac:dyDescent="0.25"/>
    <row r="1858" hidden="1" x14ac:dyDescent="0.25"/>
    <row r="1859" hidden="1" x14ac:dyDescent="0.25"/>
    <row r="1860" hidden="1" x14ac:dyDescent="0.25"/>
    <row r="1861" hidden="1" x14ac:dyDescent="0.25"/>
    <row r="1862" hidden="1" x14ac:dyDescent="0.25"/>
    <row r="1863" hidden="1" x14ac:dyDescent="0.25"/>
    <row r="1864" hidden="1" x14ac:dyDescent="0.25"/>
    <row r="1865" hidden="1" x14ac:dyDescent="0.25"/>
    <row r="1866" hidden="1" x14ac:dyDescent="0.25"/>
    <row r="1867" hidden="1" x14ac:dyDescent="0.25"/>
    <row r="1868" hidden="1" x14ac:dyDescent="0.25"/>
    <row r="1869" hidden="1" x14ac:dyDescent="0.25"/>
    <row r="1870" hidden="1" x14ac:dyDescent="0.25"/>
    <row r="1871" hidden="1" x14ac:dyDescent="0.25"/>
    <row r="1872" hidden="1" x14ac:dyDescent="0.25"/>
    <row r="1873" hidden="1" x14ac:dyDescent="0.25"/>
    <row r="1874" hidden="1" x14ac:dyDescent="0.25"/>
    <row r="1875" hidden="1" x14ac:dyDescent="0.25"/>
    <row r="1876" hidden="1" x14ac:dyDescent="0.25"/>
    <row r="1877" hidden="1" x14ac:dyDescent="0.25"/>
    <row r="1878" hidden="1" x14ac:dyDescent="0.25"/>
    <row r="1879" hidden="1" x14ac:dyDescent="0.25"/>
    <row r="1880" hidden="1" x14ac:dyDescent="0.25"/>
    <row r="1881" hidden="1" x14ac:dyDescent="0.25"/>
    <row r="1882" hidden="1" x14ac:dyDescent="0.25"/>
    <row r="1883" hidden="1" x14ac:dyDescent="0.25"/>
    <row r="1884" hidden="1" x14ac:dyDescent="0.25"/>
    <row r="1885" hidden="1" x14ac:dyDescent="0.25"/>
    <row r="1886" hidden="1" x14ac:dyDescent="0.25"/>
    <row r="1887" hidden="1" x14ac:dyDescent="0.25"/>
    <row r="1888" hidden="1" x14ac:dyDescent="0.25"/>
    <row r="1889" hidden="1" x14ac:dyDescent="0.25"/>
    <row r="1890" hidden="1" x14ac:dyDescent="0.25"/>
    <row r="1891" hidden="1" x14ac:dyDescent="0.25"/>
    <row r="1892" hidden="1" x14ac:dyDescent="0.25"/>
    <row r="1893" hidden="1" x14ac:dyDescent="0.25"/>
    <row r="1894" hidden="1" x14ac:dyDescent="0.25"/>
    <row r="1895" hidden="1" x14ac:dyDescent="0.25"/>
    <row r="1896" hidden="1" x14ac:dyDescent="0.25"/>
    <row r="1897" hidden="1" x14ac:dyDescent="0.25"/>
    <row r="1898" hidden="1" x14ac:dyDescent="0.25"/>
    <row r="1899" hidden="1" x14ac:dyDescent="0.25"/>
    <row r="1900" hidden="1" x14ac:dyDescent="0.25"/>
    <row r="1901" hidden="1" x14ac:dyDescent="0.25"/>
    <row r="1902" hidden="1" x14ac:dyDescent="0.25"/>
    <row r="1903" hidden="1" x14ac:dyDescent="0.25"/>
    <row r="1904" hidden="1" x14ac:dyDescent="0.25"/>
    <row r="1905" hidden="1" x14ac:dyDescent="0.25"/>
    <row r="1906" hidden="1" x14ac:dyDescent="0.25"/>
    <row r="1907" hidden="1" x14ac:dyDescent="0.25"/>
    <row r="1908" hidden="1" x14ac:dyDescent="0.25"/>
    <row r="1909" hidden="1" x14ac:dyDescent="0.25"/>
    <row r="1910" hidden="1" x14ac:dyDescent="0.25"/>
    <row r="1911" hidden="1" x14ac:dyDescent="0.25"/>
    <row r="1912" hidden="1" x14ac:dyDescent="0.25"/>
    <row r="1913" hidden="1" x14ac:dyDescent="0.25"/>
    <row r="1914" hidden="1" x14ac:dyDescent="0.25"/>
    <row r="1915" hidden="1" x14ac:dyDescent="0.25"/>
    <row r="1916" hidden="1" x14ac:dyDescent="0.25"/>
    <row r="1917" hidden="1" x14ac:dyDescent="0.25"/>
    <row r="1918" hidden="1" x14ac:dyDescent="0.25"/>
    <row r="1919" hidden="1" x14ac:dyDescent="0.25"/>
    <row r="1920" hidden="1" x14ac:dyDescent="0.25"/>
    <row r="1921" hidden="1" x14ac:dyDescent="0.25"/>
    <row r="1922" hidden="1" x14ac:dyDescent="0.25"/>
    <row r="1923" hidden="1" x14ac:dyDescent="0.25"/>
    <row r="1924" hidden="1" x14ac:dyDescent="0.25"/>
    <row r="1925" hidden="1" x14ac:dyDescent="0.25"/>
    <row r="1926" hidden="1" x14ac:dyDescent="0.25"/>
    <row r="1927" hidden="1" x14ac:dyDescent="0.25"/>
    <row r="1928" hidden="1" x14ac:dyDescent="0.25"/>
    <row r="1929" hidden="1" x14ac:dyDescent="0.25"/>
    <row r="1930" hidden="1" x14ac:dyDescent="0.25"/>
    <row r="1931" hidden="1" x14ac:dyDescent="0.25"/>
    <row r="1932" hidden="1" x14ac:dyDescent="0.25"/>
    <row r="1933" hidden="1" x14ac:dyDescent="0.25"/>
    <row r="1934" hidden="1" x14ac:dyDescent="0.25"/>
    <row r="1935" hidden="1" x14ac:dyDescent="0.25"/>
    <row r="1936" hidden="1" x14ac:dyDescent="0.25"/>
    <row r="1937" hidden="1" x14ac:dyDescent="0.25"/>
    <row r="1938" hidden="1" x14ac:dyDescent="0.25"/>
    <row r="1939" hidden="1" x14ac:dyDescent="0.25"/>
    <row r="1940" hidden="1" x14ac:dyDescent="0.25"/>
    <row r="1941" hidden="1" x14ac:dyDescent="0.25"/>
    <row r="1942" hidden="1" x14ac:dyDescent="0.25"/>
    <row r="1943" hidden="1" x14ac:dyDescent="0.25"/>
    <row r="1944" hidden="1" x14ac:dyDescent="0.25"/>
    <row r="1945" hidden="1" x14ac:dyDescent="0.25"/>
    <row r="1946" hidden="1" x14ac:dyDescent="0.25"/>
    <row r="1947" hidden="1" x14ac:dyDescent="0.25"/>
    <row r="1948" hidden="1" x14ac:dyDescent="0.25"/>
    <row r="1949" hidden="1" x14ac:dyDescent="0.25"/>
    <row r="1950" hidden="1" x14ac:dyDescent="0.25"/>
    <row r="1951" hidden="1" x14ac:dyDescent="0.25"/>
    <row r="1952" hidden="1" x14ac:dyDescent="0.25"/>
    <row r="1953" hidden="1" x14ac:dyDescent="0.25"/>
    <row r="1954" hidden="1" x14ac:dyDescent="0.25"/>
    <row r="1955" hidden="1" x14ac:dyDescent="0.25"/>
    <row r="1956" hidden="1" x14ac:dyDescent="0.25"/>
    <row r="1957" hidden="1" x14ac:dyDescent="0.25"/>
    <row r="1958" hidden="1" x14ac:dyDescent="0.25"/>
    <row r="1959" hidden="1" x14ac:dyDescent="0.25"/>
    <row r="1960" hidden="1" x14ac:dyDescent="0.25"/>
    <row r="1961" hidden="1" x14ac:dyDescent="0.25"/>
    <row r="1962" hidden="1" x14ac:dyDescent="0.25"/>
    <row r="1963" hidden="1" x14ac:dyDescent="0.25"/>
    <row r="1964" hidden="1" x14ac:dyDescent="0.25"/>
    <row r="1965" hidden="1" x14ac:dyDescent="0.25"/>
    <row r="1966" hidden="1" x14ac:dyDescent="0.25"/>
    <row r="1967" hidden="1" x14ac:dyDescent="0.25"/>
    <row r="1968" hidden="1" x14ac:dyDescent="0.25"/>
    <row r="1969" hidden="1" x14ac:dyDescent="0.25"/>
    <row r="1970" hidden="1" x14ac:dyDescent="0.25"/>
    <row r="1971" hidden="1" x14ac:dyDescent="0.25"/>
    <row r="1972" hidden="1" x14ac:dyDescent="0.25"/>
    <row r="1973" hidden="1" x14ac:dyDescent="0.25"/>
    <row r="1974" hidden="1" x14ac:dyDescent="0.25"/>
    <row r="1975" hidden="1" x14ac:dyDescent="0.25"/>
    <row r="1976" hidden="1" x14ac:dyDescent="0.25"/>
    <row r="1977" hidden="1" x14ac:dyDescent="0.25"/>
    <row r="1978" hidden="1" x14ac:dyDescent="0.25"/>
    <row r="1979" hidden="1" x14ac:dyDescent="0.25"/>
    <row r="1980" hidden="1" x14ac:dyDescent="0.25"/>
    <row r="1981" hidden="1" x14ac:dyDescent="0.25"/>
    <row r="1982" hidden="1" x14ac:dyDescent="0.25"/>
    <row r="1983" hidden="1" x14ac:dyDescent="0.25"/>
    <row r="1984" hidden="1" x14ac:dyDescent="0.25"/>
    <row r="1985" hidden="1" x14ac:dyDescent="0.25"/>
    <row r="1986" hidden="1" x14ac:dyDescent="0.25"/>
    <row r="1987" hidden="1" x14ac:dyDescent="0.25"/>
    <row r="1988" hidden="1" x14ac:dyDescent="0.25"/>
    <row r="1989" hidden="1" x14ac:dyDescent="0.25"/>
    <row r="1990" hidden="1" x14ac:dyDescent="0.25"/>
    <row r="1991" hidden="1" x14ac:dyDescent="0.25"/>
    <row r="1992" hidden="1" x14ac:dyDescent="0.25"/>
    <row r="1993" hidden="1" x14ac:dyDescent="0.25"/>
    <row r="1994" hidden="1" x14ac:dyDescent="0.25"/>
    <row r="1995" hidden="1" x14ac:dyDescent="0.25"/>
    <row r="1996" hidden="1" x14ac:dyDescent="0.25"/>
    <row r="1997" hidden="1" x14ac:dyDescent="0.25"/>
    <row r="1998" hidden="1" x14ac:dyDescent="0.25"/>
    <row r="1999" hidden="1" x14ac:dyDescent="0.25"/>
    <row r="2000" hidden="1" x14ac:dyDescent="0.25"/>
    <row r="2001" hidden="1" x14ac:dyDescent="0.25"/>
    <row r="2002" hidden="1" x14ac:dyDescent="0.25"/>
    <row r="2003" hidden="1" x14ac:dyDescent="0.25"/>
    <row r="2004" hidden="1" x14ac:dyDescent="0.25"/>
    <row r="2005" hidden="1" x14ac:dyDescent="0.25"/>
    <row r="2006" hidden="1" x14ac:dyDescent="0.25"/>
    <row r="2007" hidden="1" x14ac:dyDescent="0.25"/>
    <row r="2008" hidden="1" x14ac:dyDescent="0.25"/>
    <row r="2009" hidden="1" x14ac:dyDescent="0.25"/>
    <row r="2010" hidden="1" x14ac:dyDescent="0.25"/>
    <row r="2011" hidden="1" x14ac:dyDescent="0.25"/>
    <row r="2012" hidden="1" x14ac:dyDescent="0.25"/>
    <row r="2013" hidden="1" x14ac:dyDescent="0.25"/>
    <row r="2014" hidden="1" x14ac:dyDescent="0.25"/>
    <row r="2015" hidden="1" x14ac:dyDescent="0.25"/>
    <row r="2016" hidden="1" x14ac:dyDescent="0.25"/>
    <row r="2017" hidden="1" x14ac:dyDescent="0.25"/>
    <row r="2018" hidden="1" x14ac:dyDescent="0.25"/>
    <row r="2019" hidden="1" x14ac:dyDescent="0.25"/>
    <row r="2020" hidden="1" x14ac:dyDescent="0.25"/>
    <row r="2021" hidden="1" x14ac:dyDescent="0.25"/>
    <row r="2022" hidden="1" x14ac:dyDescent="0.25"/>
    <row r="2023" hidden="1" x14ac:dyDescent="0.25"/>
    <row r="2024" hidden="1" x14ac:dyDescent="0.25"/>
    <row r="2025" hidden="1" x14ac:dyDescent="0.25"/>
    <row r="2026" hidden="1" x14ac:dyDescent="0.25"/>
    <row r="2027" hidden="1" x14ac:dyDescent="0.25"/>
    <row r="2028" hidden="1" x14ac:dyDescent="0.25"/>
    <row r="2029" hidden="1" x14ac:dyDescent="0.25"/>
    <row r="2030" hidden="1" x14ac:dyDescent="0.25"/>
    <row r="2031" hidden="1" x14ac:dyDescent="0.25"/>
    <row r="2032" hidden="1" x14ac:dyDescent="0.25"/>
    <row r="2033" hidden="1" x14ac:dyDescent="0.25"/>
    <row r="2034" hidden="1" x14ac:dyDescent="0.25"/>
    <row r="2035" hidden="1" x14ac:dyDescent="0.25"/>
    <row r="2036" hidden="1" x14ac:dyDescent="0.25"/>
    <row r="2037" hidden="1" x14ac:dyDescent="0.25"/>
    <row r="2038" hidden="1" x14ac:dyDescent="0.25"/>
    <row r="2039" hidden="1" x14ac:dyDescent="0.25"/>
    <row r="2040" hidden="1" x14ac:dyDescent="0.25"/>
    <row r="2041" hidden="1" x14ac:dyDescent="0.25"/>
    <row r="2042" hidden="1" x14ac:dyDescent="0.25"/>
    <row r="2043" hidden="1" x14ac:dyDescent="0.25"/>
    <row r="2044" hidden="1" x14ac:dyDescent="0.25"/>
    <row r="2045" hidden="1" x14ac:dyDescent="0.25"/>
    <row r="2046" hidden="1" x14ac:dyDescent="0.25"/>
    <row r="2047" hidden="1" x14ac:dyDescent="0.25"/>
    <row r="2048" hidden="1" x14ac:dyDescent="0.25"/>
    <row r="2049" hidden="1" x14ac:dyDescent="0.25"/>
    <row r="2050" hidden="1" x14ac:dyDescent="0.25"/>
    <row r="2051" hidden="1" x14ac:dyDescent="0.25"/>
    <row r="2052" hidden="1" x14ac:dyDescent="0.25"/>
    <row r="2053" hidden="1" x14ac:dyDescent="0.25"/>
    <row r="2054" hidden="1" x14ac:dyDescent="0.25"/>
    <row r="2055" hidden="1" x14ac:dyDescent="0.25"/>
    <row r="2056" hidden="1" x14ac:dyDescent="0.25"/>
    <row r="2057" hidden="1" x14ac:dyDescent="0.25"/>
    <row r="2058" hidden="1" x14ac:dyDescent="0.25"/>
    <row r="2059" hidden="1" x14ac:dyDescent="0.25"/>
    <row r="2060" hidden="1" x14ac:dyDescent="0.25"/>
    <row r="2061" hidden="1" x14ac:dyDescent="0.25"/>
    <row r="2062" hidden="1" x14ac:dyDescent="0.25"/>
    <row r="2063" hidden="1" x14ac:dyDescent="0.25"/>
    <row r="2064" hidden="1" x14ac:dyDescent="0.25"/>
    <row r="2065" hidden="1" x14ac:dyDescent="0.25"/>
    <row r="2066" hidden="1" x14ac:dyDescent="0.25"/>
    <row r="2067" hidden="1" x14ac:dyDescent="0.25"/>
    <row r="2068" hidden="1" x14ac:dyDescent="0.25"/>
    <row r="2069" hidden="1" x14ac:dyDescent="0.25"/>
    <row r="2070" hidden="1" x14ac:dyDescent="0.25"/>
    <row r="2071" hidden="1" x14ac:dyDescent="0.25"/>
    <row r="2072" hidden="1" x14ac:dyDescent="0.25"/>
    <row r="2073" hidden="1" x14ac:dyDescent="0.25"/>
    <row r="2074" hidden="1" x14ac:dyDescent="0.25"/>
    <row r="2075" hidden="1" x14ac:dyDescent="0.25"/>
    <row r="2076" hidden="1" x14ac:dyDescent="0.25"/>
    <row r="2077" hidden="1" x14ac:dyDescent="0.25"/>
    <row r="2078" hidden="1" x14ac:dyDescent="0.25"/>
    <row r="2079" hidden="1" x14ac:dyDescent="0.25"/>
    <row r="2080" hidden="1" x14ac:dyDescent="0.25"/>
    <row r="2081" hidden="1" x14ac:dyDescent="0.25"/>
    <row r="2082" hidden="1" x14ac:dyDescent="0.25"/>
    <row r="2083" hidden="1" x14ac:dyDescent="0.25"/>
    <row r="2084" hidden="1" x14ac:dyDescent="0.25"/>
    <row r="2085" hidden="1" x14ac:dyDescent="0.25"/>
    <row r="2086" hidden="1" x14ac:dyDescent="0.25"/>
    <row r="2087" hidden="1" x14ac:dyDescent="0.25"/>
    <row r="2088" hidden="1" x14ac:dyDescent="0.25"/>
    <row r="2089" hidden="1" x14ac:dyDescent="0.25"/>
    <row r="2090" hidden="1" x14ac:dyDescent="0.25"/>
    <row r="2091" hidden="1" x14ac:dyDescent="0.25"/>
    <row r="2092" hidden="1" x14ac:dyDescent="0.25"/>
    <row r="2093" hidden="1" x14ac:dyDescent="0.25"/>
    <row r="2094" hidden="1" x14ac:dyDescent="0.25"/>
    <row r="2095" hidden="1" x14ac:dyDescent="0.25"/>
    <row r="2096" hidden="1" x14ac:dyDescent="0.25"/>
    <row r="2097" hidden="1" x14ac:dyDescent="0.25"/>
    <row r="2098" hidden="1" x14ac:dyDescent="0.25"/>
    <row r="2099" hidden="1" x14ac:dyDescent="0.25"/>
    <row r="2100" hidden="1" x14ac:dyDescent="0.25"/>
    <row r="2101" hidden="1" x14ac:dyDescent="0.25"/>
    <row r="2102" hidden="1" x14ac:dyDescent="0.25"/>
    <row r="2103" hidden="1" x14ac:dyDescent="0.25"/>
    <row r="2104" hidden="1" x14ac:dyDescent="0.25"/>
    <row r="2105" hidden="1" x14ac:dyDescent="0.25"/>
    <row r="2106" hidden="1" x14ac:dyDescent="0.25"/>
    <row r="2107" hidden="1" x14ac:dyDescent="0.25"/>
    <row r="2108" hidden="1" x14ac:dyDescent="0.25"/>
    <row r="2109" hidden="1" x14ac:dyDescent="0.25"/>
    <row r="2110" hidden="1" x14ac:dyDescent="0.25"/>
    <row r="2111" hidden="1" x14ac:dyDescent="0.25"/>
    <row r="2112" hidden="1" x14ac:dyDescent="0.25"/>
    <row r="2113" hidden="1" x14ac:dyDescent="0.25"/>
    <row r="2114" hidden="1" x14ac:dyDescent="0.25"/>
    <row r="2115" hidden="1" x14ac:dyDescent="0.25"/>
    <row r="2116" hidden="1" x14ac:dyDescent="0.25"/>
    <row r="2117" hidden="1" x14ac:dyDescent="0.25"/>
    <row r="2118" hidden="1" x14ac:dyDescent="0.25"/>
    <row r="2119" hidden="1" x14ac:dyDescent="0.25"/>
    <row r="2120" hidden="1" x14ac:dyDescent="0.25"/>
    <row r="2121" hidden="1" x14ac:dyDescent="0.25"/>
    <row r="2122" hidden="1" x14ac:dyDescent="0.25"/>
    <row r="2123" hidden="1" x14ac:dyDescent="0.25"/>
    <row r="2124" hidden="1" x14ac:dyDescent="0.25"/>
    <row r="2125" hidden="1" x14ac:dyDescent="0.25"/>
    <row r="2126" hidden="1" x14ac:dyDescent="0.25"/>
    <row r="2127" hidden="1" x14ac:dyDescent="0.25"/>
    <row r="2128" hidden="1" x14ac:dyDescent="0.25"/>
    <row r="2129" hidden="1" x14ac:dyDescent="0.25"/>
    <row r="2130" hidden="1" x14ac:dyDescent="0.25"/>
    <row r="2131" hidden="1" x14ac:dyDescent="0.25"/>
    <row r="2132" hidden="1" x14ac:dyDescent="0.25"/>
    <row r="2133" hidden="1" x14ac:dyDescent="0.25"/>
    <row r="2134" hidden="1" x14ac:dyDescent="0.25"/>
    <row r="2135" hidden="1" x14ac:dyDescent="0.25"/>
    <row r="2136" hidden="1" x14ac:dyDescent="0.25"/>
    <row r="2137" hidden="1" x14ac:dyDescent="0.25"/>
    <row r="2138" hidden="1" x14ac:dyDescent="0.25"/>
    <row r="2139" hidden="1" x14ac:dyDescent="0.25"/>
    <row r="2140" hidden="1" x14ac:dyDescent="0.25"/>
    <row r="2141" hidden="1" x14ac:dyDescent="0.25"/>
    <row r="2142" hidden="1" x14ac:dyDescent="0.25"/>
    <row r="2143" hidden="1" x14ac:dyDescent="0.25"/>
    <row r="2144" hidden="1" x14ac:dyDescent="0.25"/>
    <row r="2145" hidden="1" x14ac:dyDescent="0.25"/>
    <row r="2146" hidden="1" x14ac:dyDescent="0.25"/>
    <row r="2147" hidden="1" x14ac:dyDescent="0.25"/>
    <row r="2148" hidden="1" x14ac:dyDescent="0.25"/>
    <row r="2149" hidden="1" x14ac:dyDescent="0.25"/>
    <row r="2150" hidden="1" x14ac:dyDescent="0.25"/>
    <row r="2151" hidden="1" x14ac:dyDescent="0.25"/>
    <row r="2152" hidden="1" x14ac:dyDescent="0.25"/>
    <row r="2153" hidden="1" x14ac:dyDescent="0.25"/>
    <row r="2154" hidden="1" x14ac:dyDescent="0.25"/>
    <row r="2155" hidden="1" x14ac:dyDescent="0.25"/>
    <row r="2156" hidden="1" x14ac:dyDescent="0.25"/>
    <row r="2157" hidden="1" x14ac:dyDescent="0.25"/>
    <row r="2158" hidden="1" x14ac:dyDescent="0.25"/>
    <row r="2159" hidden="1" x14ac:dyDescent="0.25"/>
    <row r="2160" hidden="1" x14ac:dyDescent="0.25"/>
    <row r="2161" hidden="1" x14ac:dyDescent="0.25"/>
    <row r="2162" hidden="1" x14ac:dyDescent="0.25"/>
    <row r="2163" hidden="1" x14ac:dyDescent="0.25"/>
    <row r="2164" hidden="1" x14ac:dyDescent="0.25"/>
    <row r="2165" hidden="1" x14ac:dyDescent="0.25"/>
    <row r="2166" hidden="1" x14ac:dyDescent="0.25"/>
    <row r="2167" hidden="1" x14ac:dyDescent="0.25"/>
    <row r="2168" hidden="1" x14ac:dyDescent="0.25"/>
    <row r="2169" hidden="1" x14ac:dyDescent="0.25"/>
    <row r="2170" hidden="1" x14ac:dyDescent="0.25"/>
    <row r="2171" hidden="1" x14ac:dyDescent="0.25"/>
    <row r="2172" hidden="1" x14ac:dyDescent="0.25"/>
    <row r="2173" hidden="1" x14ac:dyDescent="0.25"/>
    <row r="2174" hidden="1" x14ac:dyDescent="0.25"/>
    <row r="2175" hidden="1" x14ac:dyDescent="0.25"/>
    <row r="2176" hidden="1" x14ac:dyDescent="0.25"/>
    <row r="2177" hidden="1" x14ac:dyDescent="0.25"/>
    <row r="2178" hidden="1" x14ac:dyDescent="0.25"/>
    <row r="2179" hidden="1" x14ac:dyDescent="0.25"/>
    <row r="2180" hidden="1" x14ac:dyDescent="0.25"/>
    <row r="2181" hidden="1" x14ac:dyDescent="0.25"/>
    <row r="2182" hidden="1" x14ac:dyDescent="0.25"/>
    <row r="2183" hidden="1" x14ac:dyDescent="0.25"/>
    <row r="2184" hidden="1" x14ac:dyDescent="0.25"/>
    <row r="2185" hidden="1" x14ac:dyDescent="0.25"/>
    <row r="2186" hidden="1" x14ac:dyDescent="0.25"/>
    <row r="2187" hidden="1" x14ac:dyDescent="0.25"/>
    <row r="2188" hidden="1" x14ac:dyDescent="0.25"/>
    <row r="2189" hidden="1" x14ac:dyDescent="0.25"/>
    <row r="2190" hidden="1" x14ac:dyDescent="0.25"/>
    <row r="2191" hidden="1" x14ac:dyDescent="0.25"/>
    <row r="2192" hidden="1" x14ac:dyDescent="0.25"/>
    <row r="2193" hidden="1" x14ac:dyDescent="0.25"/>
    <row r="2194" hidden="1" x14ac:dyDescent="0.25"/>
    <row r="2195" hidden="1" x14ac:dyDescent="0.25"/>
    <row r="2196" hidden="1" x14ac:dyDescent="0.25"/>
    <row r="2197" hidden="1" x14ac:dyDescent="0.25"/>
    <row r="2198" hidden="1" x14ac:dyDescent="0.25"/>
    <row r="2199" hidden="1" x14ac:dyDescent="0.25"/>
    <row r="2200" hidden="1" x14ac:dyDescent="0.25"/>
    <row r="2201" hidden="1" x14ac:dyDescent="0.25"/>
    <row r="2202" hidden="1" x14ac:dyDescent="0.25"/>
    <row r="2203" hidden="1" x14ac:dyDescent="0.25"/>
    <row r="2204" hidden="1" x14ac:dyDescent="0.25"/>
    <row r="2205" hidden="1" x14ac:dyDescent="0.25"/>
    <row r="2206" hidden="1" x14ac:dyDescent="0.25"/>
    <row r="2207" hidden="1" x14ac:dyDescent="0.25"/>
    <row r="2208" hidden="1" x14ac:dyDescent="0.25"/>
    <row r="2209" hidden="1" x14ac:dyDescent="0.25"/>
    <row r="2210" hidden="1" x14ac:dyDescent="0.25"/>
    <row r="2211" hidden="1" x14ac:dyDescent="0.25"/>
    <row r="2212" hidden="1" x14ac:dyDescent="0.25"/>
    <row r="2213" hidden="1" x14ac:dyDescent="0.25"/>
    <row r="2214" hidden="1" x14ac:dyDescent="0.25"/>
    <row r="2215" hidden="1" x14ac:dyDescent="0.25"/>
    <row r="2216" hidden="1" x14ac:dyDescent="0.25"/>
    <row r="2217" hidden="1" x14ac:dyDescent="0.25"/>
    <row r="2218" hidden="1" x14ac:dyDescent="0.25"/>
    <row r="2219" hidden="1" x14ac:dyDescent="0.25"/>
    <row r="2220" hidden="1" x14ac:dyDescent="0.25"/>
    <row r="2221" hidden="1" x14ac:dyDescent="0.25"/>
    <row r="2222" hidden="1" x14ac:dyDescent="0.25"/>
    <row r="2223" hidden="1" x14ac:dyDescent="0.25"/>
    <row r="2224" hidden="1" x14ac:dyDescent="0.25"/>
    <row r="2225" hidden="1" x14ac:dyDescent="0.25"/>
    <row r="2226" hidden="1" x14ac:dyDescent="0.25"/>
    <row r="2227" hidden="1" x14ac:dyDescent="0.25"/>
    <row r="2228" hidden="1" x14ac:dyDescent="0.25"/>
    <row r="2229" hidden="1" x14ac:dyDescent="0.25"/>
    <row r="2230" hidden="1" x14ac:dyDescent="0.25"/>
    <row r="2231" hidden="1" x14ac:dyDescent="0.25"/>
    <row r="2232" hidden="1" x14ac:dyDescent="0.25"/>
    <row r="2233" hidden="1" x14ac:dyDescent="0.25"/>
    <row r="2234" hidden="1" x14ac:dyDescent="0.25"/>
    <row r="2235" hidden="1" x14ac:dyDescent="0.25"/>
    <row r="2236" hidden="1" x14ac:dyDescent="0.25"/>
    <row r="2237" hidden="1" x14ac:dyDescent="0.25"/>
    <row r="2238" hidden="1" x14ac:dyDescent="0.25"/>
    <row r="2239" hidden="1" x14ac:dyDescent="0.25"/>
    <row r="2240" hidden="1" x14ac:dyDescent="0.25"/>
    <row r="2241" hidden="1" x14ac:dyDescent="0.25"/>
    <row r="2242" hidden="1" x14ac:dyDescent="0.25"/>
    <row r="2243" hidden="1" x14ac:dyDescent="0.25"/>
    <row r="2244" hidden="1" x14ac:dyDescent="0.25"/>
    <row r="2245" hidden="1" x14ac:dyDescent="0.25"/>
    <row r="2246" hidden="1" x14ac:dyDescent="0.25"/>
    <row r="2247" hidden="1" x14ac:dyDescent="0.25"/>
    <row r="2248" hidden="1" x14ac:dyDescent="0.25"/>
    <row r="2249" hidden="1" x14ac:dyDescent="0.25"/>
    <row r="2250" hidden="1" x14ac:dyDescent="0.25"/>
    <row r="2251" hidden="1" x14ac:dyDescent="0.25"/>
    <row r="2252" hidden="1" x14ac:dyDescent="0.25"/>
    <row r="2253" hidden="1" x14ac:dyDescent="0.25"/>
    <row r="2254" hidden="1" x14ac:dyDescent="0.25"/>
    <row r="2255" hidden="1" x14ac:dyDescent="0.25"/>
    <row r="2256" hidden="1" x14ac:dyDescent="0.25"/>
    <row r="2257" hidden="1" x14ac:dyDescent="0.25"/>
    <row r="2258" hidden="1" x14ac:dyDescent="0.25"/>
    <row r="2259" hidden="1" x14ac:dyDescent="0.25"/>
    <row r="2260" hidden="1" x14ac:dyDescent="0.25"/>
    <row r="2261" hidden="1" x14ac:dyDescent="0.25"/>
    <row r="2262" hidden="1" x14ac:dyDescent="0.25"/>
    <row r="2263" hidden="1" x14ac:dyDescent="0.25"/>
    <row r="2264" hidden="1" x14ac:dyDescent="0.25"/>
    <row r="2265" hidden="1" x14ac:dyDescent="0.25"/>
    <row r="2266" hidden="1" x14ac:dyDescent="0.25"/>
    <row r="2267" hidden="1" x14ac:dyDescent="0.25"/>
    <row r="2268" hidden="1" x14ac:dyDescent="0.25"/>
    <row r="2269" hidden="1" x14ac:dyDescent="0.25"/>
    <row r="2270" hidden="1" x14ac:dyDescent="0.25"/>
    <row r="2271" hidden="1" x14ac:dyDescent="0.25"/>
    <row r="2272" hidden="1" x14ac:dyDescent="0.25"/>
    <row r="2273" hidden="1" x14ac:dyDescent="0.25"/>
    <row r="2274" hidden="1" x14ac:dyDescent="0.25"/>
    <row r="2275" hidden="1" x14ac:dyDescent="0.25"/>
    <row r="2276" hidden="1" x14ac:dyDescent="0.25"/>
    <row r="2277" hidden="1" x14ac:dyDescent="0.25"/>
    <row r="2278" hidden="1" x14ac:dyDescent="0.25"/>
    <row r="2279" hidden="1" x14ac:dyDescent="0.25"/>
    <row r="2280" hidden="1" x14ac:dyDescent="0.25"/>
    <row r="2281" hidden="1" x14ac:dyDescent="0.25"/>
    <row r="2282" hidden="1" x14ac:dyDescent="0.25"/>
    <row r="2283" hidden="1" x14ac:dyDescent="0.25"/>
    <row r="2284" hidden="1" x14ac:dyDescent="0.25"/>
    <row r="2285" hidden="1" x14ac:dyDescent="0.25"/>
    <row r="2286" hidden="1" x14ac:dyDescent="0.25"/>
    <row r="2287" hidden="1" x14ac:dyDescent="0.25"/>
    <row r="2288" hidden="1" x14ac:dyDescent="0.25"/>
    <row r="2289" hidden="1" x14ac:dyDescent="0.25"/>
    <row r="2290" hidden="1" x14ac:dyDescent="0.25"/>
    <row r="2291" hidden="1" x14ac:dyDescent="0.25"/>
    <row r="2292" hidden="1" x14ac:dyDescent="0.25"/>
    <row r="2293" hidden="1" x14ac:dyDescent="0.25"/>
    <row r="2294" hidden="1" x14ac:dyDescent="0.25"/>
    <row r="2295" hidden="1" x14ac:dyDescent="0.25"/>
    <row r="2296" hidden="1" x14ac:dyDescent="0.25"/>
    <row r="2297" hidden="1" x14ac:dyDescent="0.25"/>
    <row r="2298" hidden="1" x14ac:dyDescent="0.25"/>
    <row r="2299" hidden="1" x14ac:dyDescent="0.25"/>
    <row r="2300" hidden="1" x14ac:dyDescent="0.25"/>
    <row r="2301" hidden="1" x14ac:dyDescent="0.25"/>
    <row r="2302" hidden="1" x14ac:dyDescent="0.25"/>
    <row r="2303" hidden="1" x14ac:dyDescent="0.25"/>
    <row r="2304" hidden="1" x14ac:dyDescent="0.25"/>
    <row r="2305" hidden="1" x14ac:dyDescent="0.25"/>
    <row r="2306" hidden="1" x14ac:dyDescent="0.25"/>
    <row r="2307" hidden="1" x14ac:dyDescent="0.25"/>
    <row r="2308" hidden="1" x14ac:dyDescent="0.25"/>
    <row r="2309" hidden="1" x14ac:dyDescent="0.25"/>
    <row r="2310" hidden="1" x14ac:dyDescent="0.25"/>
    <row r="2311" hidden="1" x14ac:dyDescent="0.25"/>
    <row r="2312" hidden="1" x14ac:dyDescent="0.25"/>
    <row r="2313" hidden="1" x14ac:dyDescent="0.25"/>
    <row r="2314" hidden="1" x14ac:dyDescent="0.25"/>
    <row r="2315" hidden="1" x14ac:dyDescent="0.25"/>
    <row r="2316" hidden="1" x14ac:dyDescent="0.25"/>
    <row r="2317" hidden="1" x14ac:dyDescent="0.25"/>
    <row r="2318" hidden="1" x14ac:dyDescent="0.25"/>
    <row r="2319" hidden="1" x14ac:dyDescent="0.25"/>
    <row r="2320" hidden="1" x14ac:dyDescent="0.25"/>
    <row r="2321" hidden="1" x14ac:dyDescent="0.25"/>
    <row r="2322" hidden="1" x14ac:dyDescent="0.25"/>
    <row r="2323" hidden="1" x14ac:dyDescent="0.25"/>
    <row r="2324" hidden="1" x14ac:dyDescent="0.25"/>
    <row r="2325" hidden="1" x14ac:dyDescent="0.25"/>
    <row r="2326" hidden="1" x14ac:dyDescent="0.25"/>
    <row r="2327" hidden="1" x14ac:dyDescent="0.25"/>
    <row r="2328" hidden="1" x14ac:dyDescent="0.25"/>
    <row r="2329" hidden="1" x14ac:dyDescent="0.25"/>
    <row r="2330" hidden="1" x14ac:dyDescent="0.25"/>
    <row r="2331" hidden="1" x14ac:dyDescent="0.25"/>
    <row r="2332" hidden="1" x14ac:dyDescent="0.25"/>
    <row r="2333" hidden="1" x14ac:dyDescent="0.25"/>
    <row r="2334" hidden="1" x14ac:dyDescent="0.25"/>
    <row r="2335" hidden="1" x14ac:dyDescent="0.25"/>
    <row r="2336" hidden="1" x14ac:dyDescent="0.25"/>
    <row r="2337" hidden="1" x14ac:dyDescent="0.25"/>
    <row r="2338" hidden="1" x14ac:dyDescent="0.25"/>
    <row r="2339" hidden="1" x14ac:dyDescent="0.25"/>
    <row r="2340" hidden="1" x14ac:dyDescent="0.25"/>
    <row r="2341" hidden="1" x14ac:dyDescent="0.25"/>
    <row r="2342" hidden="1" x14ac:dyDescent="0.25"/>
    <row r="2343" hidden="1" x14ac:dyDescent="0.25"/>
    <row r="2344" hidden="1" x14ac:dyDescent="0.25"/>
    <row r="2345" hidden="1" x14ac:dyDescent="0.25"/>
    <row r="2346" hidden="1" x14ac:dyDescent="0.25"/>
    <row r="2347" hidden="1" x14ac:dyDescent="0.25"/>
    <row r="2348" hidden="1" x14ac:dyDescent="0.25"/>
    <row r="2349" hidden="1" x14ac:dyDescent="0.25"/>
    <row r="2350" hidden="1" x14ac:dyDescent="0.25"/>
    <row r="2351" hidden="1" x14ac:dyDescent="0.25"/>
    <row r="2352" hidden="1" x14ac:dyDescent="0.25"/>
    <row r="2353" hidden="1" x14ac:dyDescent="0.25"/>
    <row r="2354" hidden="1" x14ac:dyDescent="0.25"/>
    <row r="2355" hidden="1" x14ac:dyDescent="0.25"/>
    <row r="2356" hidden="1" x14ac:dyDescent="0.25"/>
    <row r="2357" hidden="1" x14ac:dyDescent="0.25"/>
    <row r="2358" hidden="1" x14ac:dyDescent="0.25"/>
    <row r="2359" hidden="1" x14ac:dyDescent="0.25"/>
    <row r="2360" hidden="1" x14ac:dyDescent="0.25"/>
    <row r="2361" hidden="1" x14ac:dyDescent="0.25"/>
    <row r="2362" hidden="1" x14ac:dyDescent="0.25"/>
    <row r="2363" hidden="1" x14ac:dyDescent="0.25"/>
    <row r="2364" hidden="1" x14ac:dyDescent="0.25"/>
    <row r="2365" hidden="1" x14ac:dyDescent="0.25"/>
    <row r="2366" hidden="1" x14ac:dyDescent="0.25"/>
    <row r="2367" hidden="1" x14ac:dyDescent="0.25"/>
    <row r="2368" hidden="1" x14ac:dyDescent="0.25"/>
    <row r="2369" hidden="1" x14ac:dyDescent="0.25"/>
    <row r="2370" hidden="1" x14ac:dyDescent="0.25"/>
    <row r="2371" hidden="1" x14ac:dyDescent="0.25"/>
    <row r="2372" hidden="1" x14ac:dyDescent="0.25"/>
    <row r="2373" hidden="1" x14ac:dyDescent="0.25"/>
    <row r="2374" hidden="1" x14ac:dyDescent="0.25"/>
    <row r="2375" hidden="1" x14ac:dyDescent="0.25"/>
    <row r="2376" hidden="1" x14ac:dyDescent="0.25"/>
    <row r="2377" hidden="1" x14ac:dyDescent="0.25"/>
    <row r="2378" hidden="1" x14ac:dyDescent="0.25"/>
    <row r="2379" hidden="1" x14ac:dyDescent="0.25"/>
    <row r="2380" hidden="1" x14ac:dyDescent="0.25"/>
    <row r="2381" hidden="1" x14ac:dyDescent="0.25"/>
    <row r="2382" hidden="1" x14ac:dyDescent="0.25"/>
    <row r="2383" hidden="1" x14ac:dyDescent="0.25"/>
    <row r="2384" hidden="1" x14ac:dyDescent="0.25"/>
    <row r="2385" hidden="1" x14ac:dyDescent="0.25"/>
    <row r="2386" hidden="1" x14ac:dyDescent="0.25"/>
    <row r="2387" hidden="1" x14ac:dyDescent="0.25"/>
    <row r="2388" hidden="1" x14ac:dyDescent="0.25"/>
    <row r="2389" hidden="1" x14ac:dyDescent="0.25"/>
    <row r="2390" hidden="1" x14ac:dyDescent="0.25"/>
    <row r="2391" hidden="1" x14ac:dyDescent="0.25"/>
    <row r="2392" hidden="1" x14ac:dyDescent="0.25"/>
    <row r="2393" hidden="1" x14ac:dyDescent="0.25"/>
    <row r="2394" hidden="1" x14ac:dyDescent="0.25"/>
    <row r="2395" hidden="1" x14ac:dyDescent="0.25"/>
    <row r="2396" hidden="1" x14ac:dyDescent="0.25"/>
    <row r="2397" hidden="1" x14ac:dyDescent="0.25"/>
    <row r="2398" hidden="1" x14ac:dyDescent="0.25"/>
    <row r="2399" hidden="1" x14ac:dyDescent="0.25"/>
    <row r="2400" hidden="1" x14ac:dyDescent="0.25"/>
    <row r="2401" hidden="1" x14ac:dyDescent="0.25"/>
    <row r="2402" hidden="1" x14ac:dyDescent="0.25"/>
    <row r="2403" hidden="1" x14ac:dyDescent="0.25"/>
    <row r="2404" hidden="1" x14ac:dyDescent="0.25"/>
    <row r="2405" hidden="1" x14ac:dyDescent="0.25"/>
    <row r="2406" hidden="1" x14ac:dyDescent="0.25"/>
    <row r="2407" hidden="1" x14ac:dyDescent="0.25"/>
    <row r="2408" hidden="1" x14ac:dyDescent="0.25"/>
    <row r="2409" hidden="1" x14ac:dyDescent="0.25"/>
    <row r="2410" hidden="1" x14ac:dyDescent="0.25"/>
    <row r="2411" hidden="1" x14ac:dyDescent="0.25"/>
    <row r="2412" hidden="1" x14ac:dyDescent="0.25"/>
    <row r="2413" hidden="1" x14ac:dyDescent="0.25"/>
    <row r="2414" hidden="1" x14ac:dyDescent="0.25"/>
    <row r="2415" hidden="1" x14ac:dyDescent="0.25"/>
    <row r="2416" hidden="1" x14ac:dyDescent="0.25"/>
    <row r="2417" hidden="1" x14ac:dyDescent="0.25"/>
    <row r="2418" hidden="1" x14ac:dyDescent="0.25"/>
    <row r="2419" hidden="1" x14ac:dyDescent="0.25"/>
    <row r="2420" hidden="1" x14ac:dyDescent="0.25"/>
    <row r="2421" hidden="1" x14ac:dyDescent="0.25"/>
    <row r="2422" hidden="1" x14ac:dyDescent="0.25"/>
    <row r="2423" hidden="1" x14ac:dyDescent="0.25"/>
    <row r="2424" hidden="1" x14ac:dyDescent="0.25"/>
    <row r="2425" hidden="1" x14ac:dyDescent="0.25"/>
    <row r="2426" hidden="1" x14ac:dyDescent="0.25"/>
    <row r="2427" hidden="1" x14ac:dyDescent="0.25"/>
    <row r="2428" hidden="1" x14ac:dyDescent="0.25"/>
    <row r="2429" hidden="1" x14ac:dyDescent="0.25"/>
    <row r="2430" hidden="1" x14ac:dyDescent="0.25"/>
    <row r="2431" hidden="1" x14ac:dyDescent="0.25"/>
    <row r="2432" hidden="1" x14ac:dyDescent="0.25"/>
    <row r="2433" hidden="1" x14ac:dyDescent="0.25"/>
    <row r="2434" hidden="1" x14ac:dyDescent="0.25"/>
    <row r="2435" hidden="1" x14ac:dyDescent="0.25"/>
    <row r="2436" hidden="1" x14ac:dyDescent="0.25"/>
    <row r="2437" hidden="1" x14ac:dyDescent="0.25"/>
    <row r="2438" hidden="1" x14ac:dyDescent="0.25"/>
    <row r="2439" hidden="1" x14ac:dyDescent="0.25"/>
    <row r="2440" hidden="1" x14ac:dyDescent="0.25"/>
    <row r="2441" hidden="1" x14ac:dyDescent="0.25"/>
    <row r="2442" hidden="1" x14ac:dyDescent="0.25"/>
    <row r="2443" hidden="1" x14ac:dyDescent="0.25"/>
    <row r="2444" hidden="1" x14ac:dyDescent="0.25"/>
    <row r="2445" hidden="1" x14ac:dyDescent="0.25"/>
    <row r="2446" hidden="1" x14ac:dyDescent="0.25"/>
    <row r="2447" hidden="1" x14ac:dyDescent="0.25"/>
    <row r="2448" hidden="1" x14ac:dyDescent="0.25"/>
    <row r="2449" hidden="1" x14ac:dyDescent="0.25"/>
    <row r="2450" hidden="1" x14ac:dyDescent="0.25"/>
    <row r="2451" hidden="1" x14ac:dyDescent="0.25"/>
    <row r="2452" hidden="1" x14ac:dyDescent="0.25"/>
    <row r="2453" hidden="1" x14ac:dyDescent="0.25"/>
    <row r="2454" hidden="1" x14ac:dyDescent="0.25"/>
    <row r="2455" hidden="1" x14ac:dyDescent="0.25"/>
    <row r="2456" hidden="1" x14ac:dyDescent="0.25"/>
    <row r="2457" hidden="1" x14ac:dyDescent="0.25"/>
    <row r="2458" hidden="1" x14ac:dyDescent="0.25"/>
    <row r="2459" hidden="1" x14ac:dyDescent="0.25"/>
    <row r="2460" hidden="1" x14ac:dyDescent="0.25"/>
    <row r="2461" hidden="1" x14ac:dyDescent="0.25"/>
    <row r="2462" hidden="1" x14ac:dyDescent="0.25"/>
    <row r="2463" hidden="1" x14ac:dyDescent="0.25"/>
    <row r="2464" hidden="1" x14ac:dyDescent="0.25"/>
    <row r="2465" hidden="1" x14ac:dyDescent="0.25"/>
    <row r="2466" hidden="1" x14ac:dyDescent="0.25"/>
    <row r="2467" hidden="1" x14ac:dyDescent="0.25"/>
    <row r="2468" hidden="1" x14ac:dyDescent="0.25"/>
    <row r="2469" hidden="1" x14ac:dyDescent="0.25"/>
    <row r="2470" hidden="1" x14ac:dyDescent="0.25"/>
    <row r="2471" hidden="1" x14ac:dyDescent="0.25"/>
    <row r="2472" hidden="1" x14ac:dyDescent="0.25"/>
    <row r="2473" hidden="1" x14ac:dyDescent="0.25"/>
    <row r="2474" hidden="1" x14ac:dyDescent="0.25"/>
    <row r="2475" hidden="1" x14ac:dyDescent="0.25"/>
    <row r="2476" hidden="1" x14ac:dyDescent="0.25"/>
    <row r="2477" hidden="1" x14ac:dyDescent="0.25"/>
    <row r="2478" hidden="1" x14ac:dyDescent="0.25"/>
    <row r="2479" hidden="1" x14ac:dyDescent="0.25"/>
    <row r="2480" hidden="1" x14ac:dyDescent="0.25"/>
    <row r="2481" hidden="1" x14ac:dyDescent="0.25"/>
    <row r="2482" hidden="1" x14ac:dyDescent="0.25"/>
    <row r="2483" hidden="1" x14ac:dyDescent="0.25"/>
    <row r="2484" hidden="1" x14ac:dyDescent="0.25"/>
    <row r="2485" hidden="1" x14ac:dyDescent="0.25"/>
    <row r="2486" hidden="1" x14ac:dyDescent="0.25"/>
    <row r="2487" hidden="1" x14ac:dyDescent="0.25"/>
    <row r="2488" hidden="1" x14ac:dyDescent="0.25"/>
    <row r="2489" hidden="1" x14ac:dyDescent="0.25"/>
    <row r="2490" hidden="1" x14ac:dyDescent="0.25"/>
    <row r="2491" hidden="1" x14ac:dyDescent="0.25"/>
    <row r="2492" hidden="1" x14ac:dyDescent="0.25"/>
    <row r="2493" hidden="1" x14ac:dyDescent="0.25"/>
    <row r="2494" hidden="1" x14ac:dyDescent="0.25"/>
    <row r="2495" hidden="1" x14ac:dyDescent="0.25"/>
    <row r="2496" hidden="1" x14ac:dyDescent="0.25"/>
    <row r="2497" hidden="1" x14ac:dyDescent="0.25"/>
    <row r="2498" hidden="1" x14ac:dyDescent="0.25"/>
    <row r="2499" hidden="1" x14ac:dyDescent="0.25"/>
    <row r="2500" hidden="1" x14ac:dyDescent="0.25"/>
    <row r="2501" hidden="1" x14ac:dyDescent="0.25"/>
    <row r="2502" hidden="1" x14ac:dyDescent="0.25"/>
    <row r="2503" hidden="1" x14ac:dyDescent="0.25"/>
    <row r="2504" hidden="1" x14ac:dyDescent="0.25"/>
    <row r="2505" hidden="1" x14ac:dyDescent="0.25"/>
    <row r="2506" hidden="1" x14ac:dyDescent="0.25"/>
    <row r="2507" hidden="1" x14ac:dyDescent="0.25"/>
    <row r="2508" hidden="1" x14ac:dyDescent="0.25"/>
    <row r="2509" hidden="1" x14ac:dyDescent="0.25"/>
    <row r="2510" hidden="1" x14ac:dyDescent="0.25"/>
    <row r="2511" hidden="1" x14ac:dyDescent="0.25"/>
    <row r="2512" hidden="1" x14ac:dyDescent="0.25"/>
    <row r="2513" hidden="1" x14ac:dyDescent="0.25"/>
    <row r="2514" hidden="1" x14ac:dyDescent="0.25"/>
    <row r="2515" hidden="1" x14ac:dyDescent="0.25"/>
    <row r="2516" hidden="1" x14ac:dyDescent="0.25"/>
    <row r="2517" hidden="1" x14ac:dyDescent="0.25"/>
    <row r="2518" hidden="1" x14ac:dyDescent="0.25"/>
    <row r="2519" hidden="1" x14ac:dyDescent="0.25"/>
    <row r="2520" hidden="1" x14ac:dyDescent="0.25"/>
    <row r="2521" hidden="1" x14ac:dyDescent="0.25"/>
    <row r="2522" hidden="1" x14ac:dyDescent="0.25"/>
    <row r="2523" hidden="1" x14ac:dyDescent="0.25"/>
    <row r="2524" hidden="1" x14ac:dyDescent="0.25"/>
    <row r="2525" hidden="1" x14ac:dyDescent="0.25"/>
    <row r="2526" hidden="1" x14ac:dyDescent="0.25"/>
    <row r="2527" hidden="1" x14ac:dyDescent="0.25"/>
    <row r="2528" hidden="1" x14ac:dyDescent="0.25"/>
    <row r="2529" hidden="1" x14ac:dyDescent="0.25"/>
    <row r="2530" hidden="1" x14ac:dyDescent="0.25"/>
    <row r="2531" hidden="1" x14ac:dyDescent="0.25"/>
    <row r="2532" hidden="1" x14ac:dyDescent="0.25"/>
    <row r="2533" hidden="1" x14ac:dyDescent="0.25"/>
    <row r="2534" hidden="1" x14ac:dyDescent="0.25"/>
    <row r="2535" hidden="1" x14ac:dyDescent="0.25"/>
    <row r="2536" hidden="1" x14ac:dyDescent="0.25"/>
    <row r="2537" hidden="1" x14ac:dyDescent="0.25"/>
    <row r="2538" hidden="1" x14ac:dyDescent="0.25"/>
    <row r="2539" hidden="1" x14ac:dyDescent="0.25"/>
    <row r="2540" hidden="1" x14ac:dyDescent="0.25"/>
    <row r="2541" hidden="1" x14ac:dyDescent="0.25"/>
    <row r="2542" hidden="1" x14ac:dyDescent="0.25"/>
    <row r="2543" hidden="1" x14ac:dyDescent="0.25"/>
    <row r="2544" hidden="1" x14ac:dyDescent="0.25"/>
    <row r="2545" hidden="1" x14ac:dyDescent="0.25"/>
    <row r="2546" hidden="1" x14ac:dyDescent="0.25"/>
    <row r="2547" hidden="1" x14ac:dyDescent="0.25"/>
    <row r="2548" hidden="1" x14ac:dyDescent="0.25"/>
    <row r="2549" hidden="1" x14ac:dyDescent="0.25"/>
    <row r="2550" hidden="1" x14ac:dyDescent="0.25"/>
    <row r="2551" hidden="1" x14ac:dyDescent="0.25"/>
    <row r="2552" hidden="1" x14ac:dyDescent="0.25"/>
    <row r="2553" hidden="1" x14ac:dyDescent="0.25"/>
    <row r="2554" hidden="1" x14ac:dyDescent="0.25"/>
    <row r="2555" hidden="1" x14ac:dyDescent="0.25"/>
    <row r="2556" hidden="1" x14ac:dyDescent="0.25"/>
    <row r="2557" hidden="1" x14ac:dyDescent="0.25"/>
    <row r="2558" hidden="1" x14ac:dyDescent="0.25"/>
    <row r="2559" hidden="1" x14ac:dyDescent="0.25"/>
    <row r="2560" hidden="1" x14ac:dyDescent="0.25"/>
    <row r="2561" hidden="1" x14ac:dyDescent="0.25"/>
    <row r="2562" hidden="1" x14ac:dyDescent="0.25"/>
    <row r="2563" hidden="1" x14ac:dyDescent="0.25"/>
    <row r="2564" hidden="1" x14ac:dyDescent="0.25"/>
    <row r="2565" hidden="1" x14ac:dyDescent="0.25"/>
    <row r="2566" hidden="1" x14ac:dyDescent="0.25"/>
    <row r="2567" hidden="1" x14ac:dyDescent="0.25"/>
    <row r="2568" hidden="1" x14ac:dyDescent="0.25"/>
    <row r="2569" hidden="1" x14ac:dyDescent="0.25"/>
    <row r="2570" hidden="1" x14ac:dyDescent="0.25"/>
    <row r="2571" hidden="1" x14ac:dyDescent="0.25"/>
    <row r="2572" hidden="1" x14ac:dyDescent="0.25"/>
    <row r="2573" hidden="1" x14ac:dyDescent="0.25"/>
    <row r="2574" hidden="1" x14ac:dyDescent="0.25"/>
    <row r="2575" hidden="1" x14ac:dyDescent="0.25"/>
    <row r="2576" hidden="1" x14ac:dyDescent="0.25"/>
    <row r="2577" hidden="1" x14ac:dyDescent="0.25"/>
    <row r="2578" hidden="1" x14ac:dyDescent="0.25"/>
    <row r="2579" hidden="1" x14ac:dyDescent="0.25"/>
    <row r="2580" hidden="1" x14ac:dyDescent="0.25"/>
    <row r="2581" hidden="1" x14ac:dyDescent="0.25"/>
    <row r="2582" hidden="1" x14ac:dyDescent="0.25"/>
    <row r="2583" hidden="1" x14ac:dyDescent="0.25"/>
    <row r="2584" hidden="1" x14ac:dyDescent="0.25"/>
    <row r="2585" hidden="1" x14ac:dyDescent="0.25"/>
    <row r="2586" hidden="1" x14ac:dyDescent="0.25"/>
    <row r="2587" hidden="1" x14ac:dyDescent="0.25"/>
    <row r="2588" hidden="1" x14ac:dyDescent="0.25"/>
    <row r="2589" hidden="1" x14ac:dyDescent="0.25"/>
    <row r="2590" hidden="1" x14ac:dyDescent="0.25"/>
    <row r="2591" hidden="1" x14ac:dyDescent="0.25"/>
    <row r="2592" hidden="1" x14ac:dyDescent="0.25"/>
    <row r="2593" hidden="1" x14ac:dyDescent="0.25"/>
    <row r="2594" hidden="1" x14ac:dyDescent="0.25"/>
    <row r="2595" hidden="1" x14ac:dyDescent="0.25"/>
    <row r="2596" hidden="1" x14ac:dyDescent="0.25"/>
    <row r="2597" hidden="1" x14ac:dyDescent="0.25"/>
    <row r="2598" hidden="1" x14ac:dyDescent="0.25"/>
    <row r="2599" hidden="1" x14ac:dyDescent="0.25"/>
    <row r="2600" hidden="1" x14ac:dyDescent="0.25"/>
    <row r="2601" hidden="1" x14ac:dyDescent="0.25"/>
    <row r="2602" hidden="1" x14ac:dyDescent="0.25"/>
    <row r="2603" hidden="1" x14ac:dyDescent="0.25"/>
    <row r="2604" hidden="1" x14ac:dyDescent="0.25"/>
    <row r="2605" hidden="1" x14ac:dyDescent="0.25"/>
    <row r="2606" hidden="1" x14ac:dyDescent="0.25"/>
    <row r="2607" hidden="1" x14ac:dyDescent="0.25"/>
    <row r="2608" hidden="1" x14ac:dyDescent="0.25"/>
    <row r="2609" hidden="1" x14ac:dyDescent="0.25"/>
    <row r="2610" hidden="1" x14ac:dyDescent="0.25"/>
    <row r="2611" hidden="1" x14ac:dyDescent="0.25"/>
    <row r="2612" hidden="1" x14ac:dyDescent="0.25"/>
    <row r="2613" hidden="1" x14ac:dyDescent="0.25"/>
    <row r="2614" hidden="1" x14ac:dyDescent="0.25"/>
    <row r="2615" hidden="1" x14ac:dyDescent="0.25"/>
    <row r="2616" hidden="1" x14ac:dyDescent="0.25"/>
    <row r="2617" hidden="1" x14ac:dyDescent="0.25"/>
    <row r="2618" hidden="1" x14ac:dyDescent="0.25"/>
    <row r="2619" hidden="1" x14ac:dyDescent="0.25"/>
    <row r="2620" hidden="1" x14ac:dyDescent="0.25"/>
    <row r="2621" hidden="1" x14ac:dyDescent="0.25"/>
    <row r="2622" hidden="1" x14ac:dyDescent="0.25"/>
    <row r="2623" hidden="1" x14ac:dyDescent="0.25"/>
    <row r="2624" hidden="1" x14ac:dyDescent="0.25"/>
    <row r="2625" hidden="1" x14ac:dyDescent="0.25"/>
    <row r="2626" hidden="1" x14ac:dyDescent="0.25"/>
    <row r="2627" hidden="1" x14ac:dyDescent="0.25"/>
    <row r="2628" hidden="1" x14ac:dyDescent="0.25"/>
    <row r="2629" hidden="1" x14ac:dyDescent="0.25"/>
    <row r="2630" hidden="1" x14ac:dyDescent="0.25"/>
    <row r="2631" hidden="1" x14ac:dyDescent="0.25"/>
    <row r="2632" hidden="1" x14ac:dyDescent="0.25"/>
    <row r="2633" hidden="1" x14ac:dyDescent="0.25"/>
    <row r="2634" hidden="1" x14ac:dyDescent="0.25"/>
    <row r="2635" hidden="1" x14ac:dyDescent="0.25"/>
    <row r="2636" hidden="1" x14ac:dyDescent="0.25"/>
    <row r="2637" hidden="1" x14ac:dyDescent="0.25"/>
    <row r="2638" hidden="1" x14ac:dyDescent="0.25"/>
    <row r="2639" hidden="1" x14ac:dyDescent="0.25"/>
    <row r="2640" hidden="1" x14ac:dyDescent="0.25"/>
    <row r="2641" hidden="1" x14ac:dyDescent="0.25"/>
    <row r="2642" hidden="1" x14ac:dyDescent="0.25"/>
    <row r="2643" hidden="1" x14ac:dyDescent="0.25"/>
    <row r="2644" hidden="1" x14ac:dyDescent="0.25"/>
    <row r="2645" hidden="1" x14ac:dyDescent="0.25"/>
    <row r="2646" hidden="1" x14ac:dyDescent="0.25"/>
    <row r="2647" hidden="1" x14ac:dyDescent="0.25"/>
    <row r="2648" hidden="1" x14ac:dyDescent="0.25"/>
    <row r="2649" hidden="1" x14ac:dyDescent="0.25"/>
    <row r="2650" hidden="1" x14ac:dyDescent="0.25"/>
    <row r="2651" hidden="1" x14ac:dyDescent="0.25"/>
    <row r="2652" hidden="1" x14ac:dyDescent="0.25"/>
    <row r="2653" hidden="1" x14ac:dyDescent="0.25"/>
    <row r="2654" hidden="1" x14ac:dyDescent="0.25"/>
    <row r="2655" hidden="1" x14ac:dyDescent="0.25"/>
    <row r="2656" hidden="1" x14ac:dyDescent="0.25"/>
    <row r="2657" hidden="1" x14ac:dyDescent="0.25"/>
    <row r="2658" hidden="1" x14ac:dyDescent="0.25"/>
    <row r="2659" hidden="1" x14ac:dyDescent="0.25"/>
    <row r="2660" hidden="1" x14ac:dyDescent="0.25"/>
    <row r="2661" hidden="1" x14ac:dyDescent="0.25"/>
    <row r="2662" hidden="1" x14ac:dyDescent="0.25"/>
    <row r="2663" hidden="1" x14ac:dyDescent="0.25"/>
    <row r="2664" hidden="1" x14ac:dyDescent="0.25"/>
    <row r="2665" hidden="1" x14ac:dyDescent="0.25"/>
    <row r="2666" hidden="1" x14ac:dyDescent="0.25"/>
    <row r="2667" hidden="1" x14ac:dyDescent="0.25"/>
    <row r="2668" hidden="1" x14ac:dyDescent="0.25"/>
    <row r="2669" hidden="1" x14ac:dyDescent="0.25"/>
    <row r="2670" hidden="1" x14ac:dyDescent="0.25"/>
    <row r="2671" hidden="1" x14ac:dyDescent="0.25"/>
    <row r="2672" hidden="1" x14ac:dyDescent="0.25"/>
    <row r="2673" hidden="1" x14ac:dyDescent="0.25"/>
    <row r="2674" hidden="1" x14ac:dyDescent="0.25"/>
    <row r="2675" hidden="1" x14ac:dyDescent="0.25"/>
    <row r="2676" hidden="1" x14ac:dyDescent="0.25"/>
    <row r="2677" hidden="1" x14ac:dyDescent="0.25"/>
    <row r="2678" hidden="1" x14ac:dyDescent="0.25"/>
    <row r="2679" hidden="1" x14ac:dyDescent="0.25"/>
    <row r="2680" hidden="1" x14ac:dyDescent="0.25"/>
    <row r="2681" hidden="1" x14ac:dyDescent="0.25"/>
    <row r="2682" hidden="1" x14ac:dyDescent="0.25"/>
    <row r="2683" hidden="1" x14ac:dyDescent="0.25"/>
    <row r="2684" hidden="1" x14ac:dyDescent="0.25"/>
    <row r="2685" hidden="1" x14ac:dyDescent="0.25"/>
    <row r="2686" hidden="1" x14ac:dyDescent="0.25"/>
    <row r="2687" hidden="1" x14ac:dyDescent="0.25"/>
    <row r="2688" hidden="1" x14ac:dyDescent="0.25"/>
    <row r="2689" hidden="1" x14ac:dyDescent="0.25"/>
    <row r="2690" hidden="1" x14ac:dyDescent="0.25"/>
    <row r="2691" hidden="1" x14ac:dyDescent="0.25"/>
    <row r="2692" hidden="1" x14ac:dyDescent="0.25"/>
    <row r="2693" hidden="1" x14ac:dyDescent="0.25"/>
    <row r="2694" hidden="1" x14ac:dyDescent="0.25"/>
    <row r="2695" hidden="1" x14ac:dyDescent="0.25"/>
    <row r="2696" hidden="1" x14ac:dyDescent="0.25"/>
    <row r="2697" hidden="1" x14ac:dyDescent="0.25"/>
    <row r="2698" hidden="1" x14ac:dyDescent="0.25"/>
    <row r="2699" hidden="1" x14ac:dyDescent="0.25"/>
    <row r="2700" hidden="1" x14ac:dyDescent="0.25"/>
    <row r="2701" hidden="1" x14ac:dyDescent="0.25"/>
    <row r="2702" hidden="1" x14ac:dyDescent="0.25"/>
    <row r="2703" hidden="1" x14ac:dyDescent="0.25"/>
    <row r="2704" hidden="1" x14ac:dyDescent="0.25"/>
    <row r="2705" hidden="1" x14ac:dyDescent="0.25"/>
    <row r="2706" hidden="1" x14ac:dyDescent="0.25"/>
    <row r="2707" hidden="1" x14ac:dyDescent="0.25"/>
    <row r="2708" hidden="1" x14ac:dyDescent="0.25"/>
    <row r="2709" hidden="1" x14ac:dyDescent="0.25"/>
    <row r="2710" hidden="1" x14ac:dyDescent="0.25"/>
    <row r="2711" hidden="1" x14ac:dyDescent="0.25"/>
    <row r="2712" hidden="1" x14ac:dyDescent="0.25"/>
    <row r="2713" hidden="1" x14ac:dyDescent="0.25"/>
    <row r="2714" hidden="1" x14ac:dyDescent="0.25"/>
    <row r="2715" hidden="1" x14ac:dyDescent="0.25"/>
    <row r="2716" hidden="1" x14ac:dyDescent="0.25"/>
    <row r="2717" hidden="1" x14ac:dyDescent="0.25"/>
    <row r="2718" hidden="1" x14ac:dyDescent="0.25"/>
    <row r="2719" hidden="1" x14ac:dyDescent="0.25"/>
    <row r="2720" hidden="1" x14ac:dyDescent="0.25"/>
    <row r="2721" hidden="1" x14ac:dyDescent="0.25"/>
    <row r="2722" hidden="1" x14ac:dyDescent="0.25"/>
    <row r="2723" hidden="1" x14ac:dyDescent="0.25"/>
    <row r="2724" hidden="1" x14ac:dyDescent="0.25"/>
    <row r="2725" hidden="1" x14ac:dyDescent="0.25"/>
    <row r="2726" hidden="1" x14ac:dyDescent="0.25"/>
    <row r="2727" hidden="1" x14ac:dyDescent="0.25"/>
    <row r="2728" hidden="1" x14ac:dyDescent="0.25"/>
    <row r="2729" hidden="1" x14ac:dyDescent="0.25"/>
    <row r="2730" hidden="1" x14ac:dyDescent="0.25"/>
    <row r="2731" hidden="1" x14ac:dyDescent="0.25"/>
    <row r="2732" hidden="1" x14ac:dyDescent="0.25"/>
    <row r="2733" hidden="1" x14ac:dyDescent="0.25"/>
    <row r="2734" hidden="1" x14ac:dyDescent="0.25"/>
    <row r="2735" hidden="1" x14ac:dyDescent="0.25"/>
    <row r="2736" hidden="1" x14ac:dyDescent="0.25"/>
    <row r="2737" hidden="1" x14ac:dyDescent="0.25"/>
    <row r="2738" hidden="1" x14ac:dyDescent="0.25"/>
    <row r="2739" hidden="1" x14ac:dyDescent="0.25"/>
    <row r="2740" hidden="1" x14ac:dyDescent="0.25"/>
    <row r="2741" hidden="1" x14ac:dyDescent="0.25"/>
    <row r="2742" hidden="1" x14ac:dyDescent="0.25"/>
    <row r="2743" hidden="1" x14ac:dyDescent="0.25"/>
    <row r="2744" hidden="1" x14ac:dyDescent="0.25"/>
    <row r="2745" hidden="1" x14ac:dyDescent="0.25"/>
    <row r="2746" hidden="1" x14ac:dyDescent="0.25"/>
    <row r="2747" hidden="1" x14ac:dyDescent="0.25"/>
    <row r="2748" hidden="1" x14ac:dyDescent="0.25"/>
    <row r="2749" hidden="1" x14ac:dyDescent="0.25"/>
    <row r="2750" hidden="1" x14ac:dyDescent="0.25"/>
    <row r="2751" hidden="1" x14ac:dyDescent="0.25"/>
    <row r="2752" hidden="1" x14ac:dyDescent="0.25"/>
    <row r="2753" hidden="1" x14ac:dyDescent="0.25"/>
    <row r="2754" hidden="1" x14ac:dyDescent="0.25"/>
    <row r="2755" hidden="1" x14ac:dyDescent="0.25"/>
    <row r="2756" hidden="1" x14ac:dyDescent="0.25"/>
    <row r="2757" hidden="1" x14ac:dyDescent="0.25"/>
    <row r="2758" hidden="1" x14ac:dyDescent="0.25"/>
    <row r="2759" hidden="1" x14ac:dyDescent="0.25"/>
    <row r="2760" hidden="1" x14ac:dyDescent="0.25"/>
    <row r="2761" hidden="1" x14ac:dyDescent="0.25"/>
    <row r="2762" hidden="1" x14ac:dyDescent="0.25"/>
    <row r="2763" hidden="1" x14ac:dyDescent="0.25"/>
    <row r="2764" hidden="1" x14ac:dyDescent="0.25"/>
    <row r="2765" hidden="1" x14ac:dyDescent="0.25"/>
    <row r="2766" hidden="1" x14ac:dyDescent="0.25"/>
    <row r="2767" hidden="1" x14ac:dyDescent="0.25"/>
    <row r="2768" hidden="1" x14ac:dyDescent="0.25"/>
    <row r="2769" hidden="1" x14ac:dyDescent="0.25"/>
    <row r="2770" hidden="1" x14ac:dyDescent="0.25"/>
    <row r="2771" hidden="1" x14ac:dyDescent="0.25"/>
    <row r="2772" hidden="1" x14ac:dyDescent="0.25"/>
    <row r="2773" hidden="1" x14ac:dyDescent="0.25"/>
    <row r="2774" hidden="1" x14ac:dyDescent="0.25"/>
    <row r="2775" hidden="1" x14ac:dyDescent="0.25"/>
    <row r="2776" hidden="1" x14ac:dyDescent="0.25"/>
    <row r="2777" hidden="1" x14ac:dyDescent="0.25"/>
    <row r="2778" hidden="1" x14ac:dyDescent="0.25"/>
    <row r="2779" hidden="1" x14ac:dyDescent="0.25"/>
    <row r="2780" hidden="1" x14ac:dyDescent="0.25"/>
    <row r="2781" hidden="1" x14ac:dyDescent="0.25"/>
    <row r="2782" hidden="1" x14ac:dyDescent="0.25"/>
    <row r="2783" hidden="1" x14ac:dyDescent="0.25"/>
    <row r="2784" hidden="1" x14ac:dyDescent="0.25"/>
    <row r="2785" hidden="1" x14ac:dyDescent="0.25"/>
    <row r="2786" hidden="1" x14ac:dyDescent="0.25"/>
    <row r="2787" hidden="1" x14ac:dyDescent="0.25"/>
    <row r="2788" hidden="1" x14ac:dyDescent="0.25"/>
    <row r="2789" hidden="1" x14ac:dyDescent="0.25"/>
    <row r="2790" hidden="1" x14ac:dyDescent="0.25"/>
    <row r="2791" hidden="1" x14ac:dyDescent="0.25"/>
    <row r="2792" hidden="1" x14ac:dyDescent="0.25"/>
    <row r="2793" hidden="1" x14ac:dyDescent="0.25"/>
    <row r="2794" hidden="1" x14ac:dyDescent="0.25"/>
    <row r="2795" hidden="1" x14ac:dyDescent="0.25"/>
    <row r="2796" hidden="1" x14ac:dyDescent="0.25"/>
    <row r="2797" hidden="1" x14ac:dyDescent="0.25"/>
    <row r="2798" hidden="1" x14ac:dyDescent="0.25"/>
    <row r="2799" hidden="1" x14ac:dyDescent="0.25"/>
    <row r="2800" hidden="1" x14ac:dyDescent="0.25"/>
    <row r="2801" hidden="1" x14ac:dyDescent="0.25"/>
    <row r="2802" hidden="1" x14ac:dyDescent="0.25"/>
    <row r="2803" hidden="1" x14ac:dyDescent="0.25"/>
    <row r="2804" hidden="1" x14ac:dyDescent="0.25"/>
    <row r="2805" hidden="1" x14ac:dyDescent="0.25"/>
    <row r="2806" hidden="1" x14ac:dyDescent="0.25"/>
    <row r="2807" hidden="1" x14ac:dyDescent="0.25"/>
    <row r="2808" hidden="1" x14ac:dyDescent="0.25"/>
    <row r="2809" hidden="1" x14ac:dyDescent="0.25"/>
    <row r="2810" hidden="1" x14ac:dyDescent="0.25"/>
    <row r="2811" hidden="1" x14ac:dyDescent="0.25"/>
    <row r="2812" hidden="1" x14ac:dyDescent="0.25"/>
    <row r="2813" hidden="1" x14ac:dyDescent="0.25"/>
    <row r="2814" hidden="1" x14ac:dyDescent="0.25"/>
    <row r="2815" hidden="1" x14ac:dyDescent="0.25"/>
    <row r="2816" hidden="1" x14ac:dyDescent="0.25"/>
    <row r="2817" hidden="1" x14ac:dyDescent="0.25"/>
    <row r="2818" hidden="1" x14ac:dyDescent="0.25"/>
    <row r="2819" hidden="1" x14ac:dyDescent="0.25"/>
    <row r="2820" hidden="1" x14ac:dyDescent="0.25"/>
    <row r="2821" hidden="1" x14ac:dyDescent="0.25"/>
    <row r="2822" hidden="1" x14ac:dyDescent="0.25"/>
    <row r="2823" hidden="1" x14ac:dyDescent="0.25"/>
    <row r="2824" hidden="1" x14ac:dyDescent="0.25"/>
    <row r="2825" hidden="1" x14ac:dyDescent="0.25"/>
    <row r="2826" hidden="1" x14ac:dyDescent="0.25"/>
    <row r="2827" hidden="1" x14ac:dyDescent="0.25"/>
    <row r="2828" hidden="1" x14ac:dyDescent="0.25"/>
    <row r="2829" hidden="1" x14ac:dyDescent="0.25"/>
    <row r="2830" hidden="1" x14ac:dyDescent="0.25"/>
    <row r="2831" hidden="1" x14ac:dyDescent="0.25"/>
    <row r="2832" hidden="1" x14ac:dyDescent="0.25"/>
    <row r="2833" hidden="1" x14ac:dyDescent="0.25"/>
    <row r="2834" hidden="1" x14ac:dyDescent="0.25"/>
    <row r="2835" hidden="1" x14ac:dyDescent="0.25"/>
    <row r="2836" hidden="1" x14ac:dyDescent="0.25"/>
    <row r="2837" hidden="1" x14ac:dyDescent="0.25"/>
    <row r="2838" hidden="1" x14ac:dyDescent="0.25"/>
    <row r="2839" hidden="1" x14ac:dyDescent="0.25"/>
    <row r="2840" hidden="1" x14ac:dyDescent="0.25"/>
    <row r="2841" hidden="1" x14ac:dyDescent="0.25"/>
    <row r="2842" hidden="1" x14ac:dyDescent="0.25"/>
    <row r="2843" hidden="1" x14ac:dyDescent="0.25"/>
    <row r="2844" hidden="1" x14ac:dyDescent="0.25"/>
    <row r="2845" hidden="1" x14ac:dyDescent="0.25"/>
    <row r="2846" hidden="1" x14ac:dyDescent="0.25"/>
    <row r="2847" hidden="1" x14ac:dyDescent="0.25"/>
    <row r="2848" hidden="1" x14ac:dyDescent="0.25"/>
    <row r="2849" hidden="1" x14ac:dyDescent="0.25"/>
    <row r="2850" hidden="1" x14ac:dyDescent="0.25"/>
    <row r="2851" hidden="1" x14ac:dyDescent="0.25"/>
    <row r="2852" hidden="1" x14ac:dyDescent="0.25"/>
    <row r="2853" hidden="1" x14ac:dyDescent="0.25"/>
    <row r="2854" hidden="1" x14ac:dyDescent="0.25"/>
    <row r="2855" hidden="1" x14ac:dyDescent="0.25"/>
    <row r="2856" hidden="1" x14ac:dyDescent="0.25"/>
    <row r="2857" hidden="1" x14ac:dyDescent="0.25"/>
    <row r="2858" hidden="1" x14ac:dyDescent="0.25"/>
    <row r="2859" hidden="1" x14ac:dyDescent="0.25"/>
    <row r="2860" hidden="1" x14ac:dyDescent="0.25"/>
    <row r="2861" hidden="1" x14ac:dyDescent="0.25"/>
    <row r="2862" hidden="1" x14ac:dyDescent="0.25"/>
    <row r="2863" hidden="1" x14ac:dyDescent="0.25"/>
    <row r="2864" hidden="1" x14ac:dyDescent="0.25"/>
    <row r="2865" hidden="1" x14ac:dyDescent="0.25"/>
    <row r="2866" hidden="1" x14ac:dyDescent="0.25"/>
    <row r="2867" hidden="1" x14ac:dyDescent="0.25"/>
    <row r="2868" hidden="1" x14ac:dyDescent="0.25"/>
    <row r="2869" hidden="1" x14ac:dyDescent="0.25"/>
    <row r="2870" hidden="1" x14ac:dyDescent="0.25"/>
    <row r="2871" hidden="1" x14ac:dyDescent="0.25"/>
    <row r="2872" hidden="1" x14ac:dyDescent="0.25"/>
    <row r="2873" hidden="1" x14ac:dyDescent="0.25"/>
    <row r="2874" hidden="1" x14ac:dyDescent="0.25"/>
    <row r="2875" hidden="1" x14ac:dyDescent="0.25"/>
    <row r="2876" hidden="1" x14ac:dyDescent="0.25"/>
    <row r="2877" hidden="1" x14ac:dyDescent="0.25"/>
    <row r="2878" hidden="1" x14ac:dyDescent="0.25"/>
    <row r="2879" hidden="1" x14ac:dyDescent="0.25"/>
    <row r="2880" hidden="1" x14ac:dyDescent="0.25"/>
    <row r="2881" hidden="1" x14ac:dyDescent="0.25"/>
    <row r="2882" hidden="1" x14ac:dyDescent="0.25"/>
    <row r="2883" hidden="1" x14ac:dyDescent="0.25"/>
    <row r="2884" hidden="1" x14ac:dyDescent="0.25"/>
    <row r="2885" hidden="1" x14ac:dyDescent="0.25"/>
    <row r="2886" hidden="1" x14ac:dyDescent="0.25"/>
    <row r="2887" hidden="1" x14ac:dyDescent="0.25"/>
    <row r="2888" hidden="1" x14ac:dyDescent="0.25"/>
    <row r="2889" hidden="1" x14ac:dyDescent="0.25"/>
    <row r="2890" hidden="1" x14ac:dyDescent="0.25"/>
    <row r="2891" hidden="1" x14ac:dyDescent="0.25"/>
    <row r="2892" hidden="1" x14ac:dyDescent="0.25"/>
    <row r="2893" hidden="1" x14ac:dyDescent="0.25"/>
    <row r="2894" hidden="1" x14ac:dyDescent="0.25"/>
    <row r="2895" hidden="1" x14ac:dyDescent="0.25"/>
    <row r="2896" hidden="1" x14ac:dyDescent="0.25"/>
    <row r="2897" hidden="1" x14ac:dyDescent="0.25"/>
    <row r="2898" hidden="1" x14ac:dyDescent="0.25"/>
    <row r="2899" hidden="1" x14ac:dyDescent="0.25"/>
    <row r="2900" hidden="1" x14ac:dyDescent="0.25"/>
    <row r="2901" hidden="1" x14ac:dyDescent="0.25"/>
    <row r="2902" hidden="1" x14ac:dyDescent="0.25"/>
    <row r="2903" hidden="1" x14ac:dyDescent="0.25"/>
    <row r="2904" hidden="1" x14ac:dyDescent="0.25"/>
    <row r="2905" hidden="1" x14ac:dyDescent="0.25"/>
    <row r="2906" hidden="1" x14ac:dyDescent="0.25"/>
    <row r="2907" hidden="1" x14ac:dyDescent="0.25"/>
    <row r="2908" hidden="1" x14ac:dyDescent="0.25"/>
    <row r="2909" hidden="1" x14ac:dyDescent="0.25"/>
    <row r="2910" hidden="1" x14ac:dyDescent="0.25"/>
    <row r="2911" hidden="1" x14ac:dyDescent="0.25"/>
    <row r="2912" hidden="1" x14ac:dyDescent="0.25"/>
    <row r="2913" hidden="1" x14ac:dyDescent="0.25"/>
    <row r="2914" hidden="1" x14ac:dyDescent="0.25"/>
    <row r="2915" hidden="1" x14ac:dyDescent="0.25"/>
    <row r="2916" hidden="1" x14ac:dyDescent="0.25"/>
    <row r="2917" hidden="1" x14ac:dyDescent="0.25"/>
    <row r="2918" hidden="1" x14ac:dyDescent="0.25"/>
    <row r="2919" hidden="1" x14ac:dyDescent="0.25"/>
    <row r="2920" hidden="1" x14ac:dyDescent="0.25"/>
    <row r="2921" hidden="1" x14ac:dyDescent="0.25"/>
    <row r="2922" hidden="1" x14ac:dyDescent="0.25"/>
    <row r="2923" hidden="1" x14ac:dyDescent="0.25"/>
    <row r="2924" hidden="1" x14ac:dyDescent="0.25"/>
    <row r="2925" hidden="1" x14ac:dyDescent="0.25"/>
    <row r="2926" hidden="1" x14ac:dyDescent="0.25"/>
    <row r="2927" hidden="1" x14ac:dyDescent="0.25"/>
    <row r="2928" hidden="1" x14ac:dyDescent="0.25"/>
    <row r="2929" hidden="1" x14ac:dyDescent="0.25"/>
    <row r="2930" hidden="1" x14ac:dyDescent="0.25"/>
    <row r="2931" hidden="1" x14ac:dyDescent="0.25"/>
    <row r="2932" hidden="1" x14ac:dyDescent="0.25"/>
    <row r="2933" hidden="1" x14ac:dyDescent="0.25"/>
    <row r="2934" hidden="1" x14ac:dyDescent="0.25"/>
    <row r="2935" hidden="1" x14ac:dyDescent="0.25"/>
    <row r="2936" hidden="1" x14ac:dyDescent="0.25"/>
    <row r="2937" hidden="1" x14ac:dyDescent="0.25"/>
    <row r="2938" hidden="1" x14ac:dyDescent="0.25"/>
    <row r="2939" hidden="1" x14ac:dyDescent="0.25"/>
    <row r="2940" hidden="1" x14ac:dyDescent="0.25"/>
    <row r="2941" hidden="1" x14ac:dyDescent="0.25"/>
    <row r="2942" hidden="1" x14ac:dyDescent="0.25"/>
    <row r="2943" hidden="1" x14ac:dyDescent="0.25"/>
    <row r="2944" hidden="1" x14ac:dyDescent="0.25"/>
    <row r="2945" hidden="1" x14ac:dyDescent="0.25"/>
    <row r="2946" hidden="1" x14ac:dyDescent="0.25"/>
    <row r="2947" hidden="1" x14ac:dyDescent="0.25"/>
    <row r="2948" hidden="1" x14ac:dyDescent="0.25"/>
    <row r="2949" hidden="1" x14ac:dyDescent="0.25"/>
    <row r="2950" hidden="1" x14ac:dyDescent="0.25"/>
    <row r="2951" hidden="1" x14ac:dyDescent="0.25"/>
    <row r="2952" hidden="1" x14ac:dyDescent="0.25"/>
    <row r="2953" hidden="1" x14ac:dyDescent="0.25"/>
    <row r="2954" hidden="1" x14ac:dyDescent="0.25"/>
    <row r="2955" hidden="1" x14ac:dyDescent="0.25"/>
    <row r="2956" hidden="1" x14ac:dyDescent="0.25"/>
    <row r="2957" hidden="1" x14ac:dyDescent="0.25"/>
    <row r="2958" hidden="1" x14ac:dyDescent="0.25"/>
    <row r="2959" hidden="1" x14ac:dyDescent="0.25"/>
    <row r="2960" hidden="1" x14ac:dyDescent="0.25"/>
    <row r="2961" hidden="1" x14ac:dyDescent="0.25"/>
    <row r="2962" hidden="1" x14ac:dyDescent="0.25"/>
    <row r="2963" hidden="1" x14ac:dyDescent="0.25"/>
    <row r="2964" hidden="1" x14ac:dyDescent="0.25"/>
    <row r="2965" hidden="1" x14ac:dyDescent="0.25"/>
    <row r="2966" hidden="1" x14ac:dyDescent="0.25"/>
    <row r="2967" hidden="1" x14ac:dyDescent="0.25"/>
    <row r="2968" hidden="1" x14ac:dyDescent="0.25"/>
    <row r="2969" hidden="1" x14ac:dyDescent="0.25"/>
    <row r="2970" hidden="1" x14ac:dyDescent="0.25"/>
    <row r="2971" hidden="1" x14ac:dyDescent="0.25"/>
    <row r="2972" hidden="1" x14ac:dyDescent="0.25"/>
    <row r="2973" hidden="1" x14ac:dyDescent="0.25"/>
    <row r="2974" hidden="1" x14ac:dyDescent="0.25"/>
    <row r="2975" hidden="1" x14ac:dyDescent="0.25"/>
    <row r="2976" hidden="1" x14ac:dyDescent="0.25"/>
    <row r="2977" hidden="1" x14ac:dyDescent="0.25"/>
    <row r="2978" hidden="1" x14ac:dyDescent="0.25"/>
    <row r="2979" hidden="1" x14ac:dyDescent="0.25"/>
    <row r="2980" hidden="1" x14ac:dyDescent="0.25"/>
    <row r="2981" hidden="1" x14ac:dyDescent="0.25"/>
    <row r="2982" hidden="1" x14ac:dyDescent="0.25"/>
    <row r="2983" hidden="1" x14ac:dyDescent="0.25"/>
    <row r="2984" hidden="1" x14ac:dyDescent="0.25"/>
    <row r="2985" hidden="1" x14ac:dyDescent="0.25"/>
    <row r="2986" hidden="1" x14ac:dyDescent="0.25"/>
    <row r="2987" hidden="1" x14ac:dyDescent="0.25"/>
    <row r="2988" hidden="1" x14ac:dyDescent="0.25"/>
    <row r="2989" hidden="1" x14ac:dyDescent="0.25"/>
    <row r="2990" hidden="1" x14ac:dyDescent="0.25"/>
    <row r="2991" hidden="1" x14ac:dyDescent="0.25"/>
    <row r="2992" hidden="1" x14ac:dyDescent="0.25"/>
    <row r="2993" hidden="1" x14ac:dyDescent="0.25"/>
    <row r="2994" hidden="1" x14ac:dyDescent="0.25"/>
    <row r="2995" hidden="1" x14ac:dyDescent="0.25"/>
    <row r="2996" hidden="1" x14ac:dyDescent="0.25"/>
    <row r="2997" hidden="1" x14ac:dyDescent="0.25"/>
    <row r="2998" hidden="1" x14ac:dyDescent="0.25"/>
    <row r="2999" hidden="1" x14ac:dyDescent="0.25"/>
    <row r="3000" hidden="1" x14ac:dyDescent="0.25"/>
    <row r="3001" hidden="1" x14ac:dyDescent="0.25"/>
    <row r="3002" hidden="1" x14ac:dyDescent="0.25"/>
    <row r="3003" hidden="1" x14ac:dyDescent="0.25"/>
    <row r="3004" hidden="1" x14ac:dyDescent="0.25"/>
    <row r="3005" hidden="1" x14ac:dyDescent="0.25"/>
    <row r="3006" hidden="1" x14ac:dyDescent="0.25"/>
    <row r="3007" hidden="1" x14ac:dyDescent="0.25"/>
    <row r="3008" hidden="1" x14ac:dyDescent="0.25"/>
    <row r="3009" hidden="1" x14ac:dyDescent="0.25"/>
    <row r="3010" hidden="1" x14ac:dyDescent="0.25"/>
    <row r="3011" hidden="1" x14ac:dyDescent="0.25"/>
    <row r="3012" hidden="1" x14ac:dyDescent="0.25"/>
    <row r="3013" hidden="1" x14ac:dyDescent="0.25"/>
    <row r="3014" hidden="1" x14ac:dyDescent="0.25"/>
    <row r="3015" hidden="1" x14ac:dyDescent="0.25"/>
    <row r="3016" hidden="1" x14ac:dyDescent="0.25"/>
    <row r="3017" hidden="1" x14ac:dyDescent="0.25"/>
    <row r="3018" hidden="1" x14ac:dyDescent="0.25"/>
    <row r="3019" hidden="1" x14ac:dyDescent="0.25"/>
    <row r="3020" hidden="1" x14ac:dyDescent="0.25"/>
    <row r="3021" hidden="1" x14ac:dyDescent="0.25"/>
    <row r="3022" hidden="1" x14ac:dyDescent="0.25"/>
    <row r="3023" hidden="1" x14ac:dyDescent="0.25"/>
    <row r="3024" hidden="1" x14ac:dyDescent="0.25"/>
    <row r="3025" hidden="1" x14ac:dyDescent="0.25"/>
    <row r="3026" hidden="1" x14ac:dyDescent="0.25"/>
    <row r="3027" hidden="1" x14ac:dyDescent="0.25"/>
    <row r="3028" hidden="1" x14ac:dyDescent="0.25"/>
    <row r="3029" hidden="1" x14ac:dyDescent="0.25"/>
    <row r="3030" hidden="1" x14ac:dyDescent="0.25"/>
    <row r="3031" hidden="1" x14ac:dyDescent="0.25"/>
    <row r="3032" hidden="1" x14ac:dyDescent="0.25"/>
    <row r="3033" hidden="1" x14ac:dyDescent="0.25"/>
    <row r="3034" hidden="1" x14ac:dyDescent="0.25"/>
    <row r="3035" hidden="1" x14ac:dyDescent="0.25"/>
    <row r="3036" hidden="1" x14ac:dyDescent="0.25"/>
    <row r="3037" hidden="1" x14ac:dyDescent="0.25"/>
    <row r="3038" hidden="1" x14ac:dyDescent="0.25"/>
    <row r="3039" hidden="1" x14ac:dyDescent="0.25"/>
    <row r="3040" hidden="1" x14ac:dyDescent="0.25"/>
    <row r="3041" hidden="1" x14ac:dyDescent="0.25"/>
    <row r="3042" hidden="1" x14ac:dyDescent="0.25"/>
    <row r="3043" hidden="1" x14ac:dyDescent="0.25"/>
    <row r="3044" hidden="1" x14ac:dyDescent="0.25"/>
    <row r="3045" hidden="1" x14ac:dyDescent="0.25"/>
    <row r="3046" hidden="1" x14ac:dyDescent="0.25"/>
    <row r="3047" hidden="1" x14ac:dyDescent="0.25"/>
    <row r="3048" hidden="1" x14ac:dyDescent="0.25"/>
    <row r="3049" hidden="1" x14ac:dyDescent="0.25"/>
    <row r="3050" hidden="1" x14ac:dyDescent="0.25"/>
    <row r="3051" hidden="1" x14ac:dyDescent="0.25"/>
    <row r="3052" hidden="1" x14ac:dyDescent="0.25"/>
    <row r="3053" hidden="1" x14ac:dyDescent="0.25"/>
    <row r="3054" hidden="1" x14ac:dyDescent="0.25"/>
    <row r="3055" hidden="1" x14ac:dyDescent="0.25"/>
    <row r="3056" hidden="1" x14ac:dyDescent="0.25"/>
    <row r="3057" hidden="1" x14ac:dyDescent="0.25"/>
    <row r="3058" hidden="1" x14ac:dyDescent="0.25"/>
    <row r="3059" hidden="1" x14ac:dyDescent="0.25"/>
    <row r="3060" hidden="1" x14ac:dyDescent="0.25"/>
    <row r="3061" hidden="1" x14ac:dyDescent="0.25"/>
    <row r="3062" hidden="1" x14ac:dyDescent="0.25"/>
    <row r="3063" hidden="1" x14ac:dyDescent="0.25"/>
    <row r="3064" hidden="1" x14ac:dyDescent="0.25"/>
    <row r="3065" hidden="1" x14ac:dyDescent="0.25"/>
    <row r="3066" hidden="1" x14ac:dyDescent="0.25"/>
    <row r="3067" hidden="1" x14ac:dyDescent="0.25"/>
    <row r="3068" hidden="1" x14ac:dyDescent="0.25"/>
    <row r="3069" hidden="1" x14ac:dyDescent="0.25"/>
    <row r="3070" hidden="1" x14ac:dyDescent="0.25"/>
    <row r="3071" hidden="1" x14ac:dyDescent="0.25"/>
    <row r="3072" hidden="1" x14ac:dyDescent="0.25"/>
    <row r="3073" hidden="1" x14ac:dyDescent="0.25"/>
    <row r="3074" hidden="1" x14ac:dyDescent="0.25"/>
    <row r="3075" hidden="1" x14ac:dyDescent="0.25"/>
    <row r="3076" hidden="1" x14ac:dyDescent="0.25"/>
    <row r="3077" hidden="1" x14ac:dyDescent="0.25"/>
    <row r="3078" hidden="1" x14ac:dyDescent="0.25"/>
    <row r="3079" hidden="1" x14ac:dyDescent="0.25"/>
    <row r="3080" hidden="1" x14ac:dyDescent="0.25"/>
    <row r="3081" hidden="1" x14ac:dyDescent="0.25"/>
    <row r="3082" hidden="1" x14ac:dyDescent="0.25"/>
    <row r="3083" hidden="1" x14ac:dyDescent="0.25"/>
    <row r="3084" hidden="1" x14ac:dyDescent="0.25"/>
    <row r="3085" hidden="1" x14ac:dyDescent="0.25"/>
    <row r="3086" hidden="1" x14ac:dyDescent="0.25"/>
    <row r="3087" hidden="1" x14ac:dyDescent="0.25"/>
    <row r="3088" hidden="1" x14ac:dyDescent="0.25"/>
    <row r="3089" hidden="1" x14ac:dyDescent="0.25"/>
    <row r="3090" hidden="1" x14ac:dyDescent="0.25"/>
    <row r="3091" hidden="1" x14ac:dyDescent="0.25"/>
    <row r="3092" hidden="1" x14ac:dyDescent="0.25"/>
    <row r="3093" hidden="1" x14ac:dyDescent="0.25"/>
    <row r="3094" hidden="1" x14ac:dyDescent="0.25"/>
    <row r="3095" hidden="1" x14ac:dyDescent="0.25"/>
    <row r="3096" hidden="1" x14ac:dyDescent="0.25"/>
    <row r="3097" hidden="1" x14ac:dyDescent="0.25"/>
    <row r="3098" hidden="1" x14ac:dyDescent="0.25"/>
    <row r="3099" hidden="1" x14ac:dyDescent="0.25"/>
    <row r="3100" hidden="1" x14ac:dyDescent="0.25"/>
    <row r="3101" hidden="1" x14ac:dyDescent="0.25"/>
    <row r="3102" hidden="1" x14ac:dyDescent="0.25"/>
    <row r="3103" hidden="1" x14ac:dyDescent="0.25"/>
    <row r="3104" hidden="1" x14ac:dyDescent="0.25"/>
    <row r="3105" hidden="1" x14ac:dyDescent="0.25"/>
    <row r="3106" hidden="1" x14ac:dyDescent="0.25"/>
    <row r="3107" hidden="1" x14ac:dyDescent="0.25"/>
    <row r="3108" hidden="1" x14ac:dyDescent="0.25"/>
    <row r="3109" hidden="1" x14ac:dyDescent="0.25"/>
    <row r="3110" hidden="1" x14ac:dyDescent="0.25"/>
    <row r="3111" hidden="1" x14ac:dyDescent="0.25"/>
    <row r="3112" hidden="1" x14ac:dyDescent="0.25"/>
    <row r="3113" hidden="1" x14ac:dyDescent="0.25"/>
    <row r="3114" hidden="1" x14ac:dyDescent="0.25"/>
    <row r="3115" hidden="1" x14ac:dyDescent="0.25"/>
    <row r="3116" hidden="1" x14ac:dyDescent="0.25"/>
    <row r="3117" hidden="1" x14ac:dyDescent="0.25"/>
    <row r="3118" hidden="1" x14ac:dyDescent="0.25"/>
    <row r="3119" hidden="1" x14ac:dyDescent="0.25"/>
    <row r="3120" hidden="1" x14ac:dyDescent="0.25"/>
    <row r="3121" hidden="1" x14ac:dyDescent="0.25"/>
    <row r="3122" hidden="1" x14ac:dyDescent="0.25"/>
    <row r="3123" hidden="1" x14ac:dyDescent="0.25"/>
    <row r="3124" hidden="1" x14ac:dyDescent="0.25"/>
    <row r="3125" hidden="1" x14ac:dyDescent="0.25"/>
    <row r="3126" hidden="1" x14ac:dyDescent="0.25"/>
    <row r="3127" hidden="1" x14ac:dyDescent="0.25"/>
    <row r="3128" hidden="1" x14ac:dyDescent="0.25"/>
    <row r="3129" hidden="1" x14ac:dyDescent="0.25"/>
    <row r="3130" hidden="1" x14ac:dyDescent="0.25"/>
    <row r="3131" hidden="1" x14ac:dyDescent="0.25"/>
    <row r="3132" hidden="1" x14ac:dyDescent="0.25"/>
    <row r="3133" hidden="1" x14ac:dyDescent="0.25"/>
    <row r="3134" hidden="1" x14ac:dyDescent="0.25"/>
    <row r="3135" hidden="1" x14ac:dyDescent="0.25"/>
    <row r="3136" hidden="1" x14ac:dyDescent="0.25"/>
    <row r="3137" hidden="1" x14ac:dyDescent="0.25"/>
    <row r="3138" hidden="1" x14ac:dyDescent="0.25"/>
    <row r="3139" hidden="1" x14ac:dyDescent="0.25"/>
    <row r="3140" hidden="1" x14ac:dyDescent="0.25"/>
    <row r="3141" hidden="1" x14ac:dyDescent="0.25"/>
    <row r="3142" hidden="1" x14ac:dyDescent="0.25"/>
    <row r="3143" hidden="1" x14ac:dyDescent="0.25"/>
    <row r="3144" hidden="1" x14ac:dyDescent="0.25"/>
    <row r="3145" hidden="1" x14ac:dyDescent="0.25"/>
    <row r="3146" hidden="1" x14ac:dyDescent="0.25"/>
    <row r="3147" hidden="1" x14ac:dyDescent="0.25"/>
    <row r="3148" hidden="1" x14ac:dyDescent="0.25"/>
    <row r="3149" hidden="1" x14ac:dyDescent="0.25"/>
    <row r="3150" hidden="1" x14ac:dyDescent="0.25"/>
    <row r="3151" hidden="1" x14ac:dyDescent="0.25"/>
    <row r="3152" hidden="1" x14ac:dyDescent="0.25"/>
    <row r="3153" hidden="1" x14ac:dyDescent="0.25"/>
    <row r="3154" hidden="1" x14ac:dyDescent="0.25"/>
    <row r="3155" hidden="1" x14ac:dyDescent="0.25"/>
    <row r="3156" hidden="1" x14ac:dyDescent="0.25"/>
    <row r="3157" hidden="1" x14ac:dyDescent="0.25"/>
    <row r="3158" hidden="1" x14ac:dyDescent="0.25"/>
    <row r="3159" hidden="1" x14ac:dyDescent="0.25"/>
    <row r="3160" hidden="1" x14ac:dyDescent="0.25"/>
    <row r="3161" hidden="1" x14ac:dyDescent="0.25"/>
    <row r="3162" hidden="1" x14ac:dyDescent="0.25"/>
    <row r="3163" hidden="1" x14ac:dyDescent="0.25"/>
    <row r="3164" hidden="1" x14ac:dyDescent="0.25"/>
    <row r="3165" hidden="1" x14ac:dyDescent="0.25"/>
    <row r="3166" hidden="1" x14ac:dyDescent="0.25"/>
    <row r="3167" hidden="1" x14ac:dyDescent="0.25"/>
    <row r="3168" hidden="1" x14ac:dyDescent="0.25"/>
    <row r="3169" hidden="1" x14ac:dyDescent="0.25"/>
    <row r="3170" hidden="1" x14ac:dyDescent="0.25"/>
    <row r="3171" hidden="1" x14ac:dyDescent="0.25"/>
    <row r="3172" hidden="1" x14ac:dyDescent="0.25"/>
    <row r="3173" hidden="1" x14ac:dyDescent="0.25"/>
    <row r="3174" hidden="1" x14ac:dyDescent="0.25"/>
    <row r="3175" hidden="1" x14ac:dyDescent="0.25"/>
    <row r="3176" hidden="1" x14ac:dyDescent="0.25"/>
    <row r="3177" hidden="1" x14ac:dyDescent="0.25"/>
    <row r="3178" hidden="1" x14ac:dyDescent="0.25"/>
    <row r="3179" hidden="1" x14ac:dyDescent="0.25"/>
    <row r="3180" hidden="1" x14ac:dyDescent="0.25"/>
    <row r="3181" hidden="1" x14ac:dyDescent="0.25"/>
    <row r="3182" hidden="1" x14ac:dyDescent="0.25"/>
    <row r="3183" hidden="1" x14ac:dyDescent="0.25"/>
    <row r="3184" hidden="1" x14ac:dyDescent="0.25"/>
    <row r="3185" hidden="1" x14ac:dyDescent="0.25"/>
    <row r="3186" hidden="1" x14ac:dyDescent="0.25"/>
    <row r="3187" hidden="1" x14ac:dyDescent="0.25"/>
    <row r="3188" hidden="1" x14ac:dyDescent="0.25"/>
    <row r="3189" hidden="1" x14ac:dyDescent="0.25"/>
    <row r="3190" hidden="1" x14ac:dyDescent="0.25"/>
    <row r="3191" hidden="1" x14ac:dyDescent="0.25"/>
    <row r="3192" hidden="1" x14ac:dyDescent="0.25"/>
    <row r="3193" hidden="1" x14ac:dyDescent="0.25"/>
    <row r="3194" hidden="1" x14ac:dyDescent="0.25"/>
    <row r="3195" hidden="1" x14ac:dyDescent="0.25"/>
    <row r="3196" hidden="1" x14ac:dyDescent="0.25"/>
    <row r="3197" hidden="1" x14ac:dyDescent="0.25"/>
    <row r="3198" hidden="1" x14ac:dyDescent="0.25"/>
    <row r="3199" hidden="1" x14ac:dyDescent="0.25"/>
    <row r="3200" hidden="1" x14ac:dyDescent="0.25"/>
    <row r="3201" hidden="1" x14ac:dyDescent="0.25"/>
    <row r="3202" hidden="1" x14ac:dyDescent="0.25"/>
    <row r="3203" hidden="1" x14ac:dyDescent="0.25"/>
    <row r="3204" hidden="1" x14ac:dyDescent="0.25"/>
    <row r="3205" hidden="1" x14ac:dyDescent="0.25"/>
    <row r="3206" hidden="1" x14ac:dyDescent="0.25"/>
    <row r="3207" hidden="1" x14ac:dyDescent="0.25"/>
    <row r="3208" hidden="1" x14ac:dyDescent="0.25"/>
    <row r="3209" hidden="1" x14ac:dyDescent="0.25"/>
    <row r="3210" hidden="1" x14ac:dyDescent="0.25"/>
    <row r="3211" hidden="1" x14ac:dyDescent="0.25"/>
    <row r="3212" hidden="1" x14ac:dyDescent="0.25"/>
    <row r="3213" hidden="1" x14ac:dyDescent="0.25"/>
    <row r="3214" hidden="1" x14ac:dyDescent="0.25"/>
    <row r="3215" hidden="1" x14ac:dyDescent="0.25"/>
    <row r="3216" hidden="1" x14ac:dyDescent="0.25"/>
    <row r="3217" hidden="1" x14ac:dyDescent="0.25"/>
    <row r="3218" hidden="1" x14ac:dyDescent="0.25"/>
    <row r="3219" hidden="1" x14ac:dyDescent="0.25"/>
    <row r="3220" hidden="1" x14ac:dyDescent="0.25"/>
    <row r="3221" hidden="1" x14ac:dyDescent="0.25"/>
    <row r="3222" hidden="1" x14ac:dyDescent="0.25"/>
    <row r="3223" hidden="1" x14ac:dyDescent="0.25"/>
    <row r="3224" hidden="1" x14ac:dyDescent="0.25"/>
    <row r="3225" hidden="1" x14ac:dyDescent="0.25"/>
    <row r="3226" hidden="1" x14ac:dyDescent="0.25"/>
    <row r="3227" hidden="1" x14ac:dyDescent="0.25"/>
    <row r="3228" hidden="1" x14ac:dyDescent="0.25"/>
    <row r="3229" hidden="1" x14ac:dyDescent="0.25"/>
    <row r="3230" hidden="1" x14ac:dyDescent="0.25"/>
    <row r="3231" hidden="1" x14ac:dyDescent="0.25"/>
    <row r="3232" hidden="1" x14ac:dyDescent="0.25"/>
    <row r="3233" hidden="1" x14ac:dyDescent="0.25"/>
    <row r="3234" hidden="1" x14ac:dyDescent="0.25"/>
    <row r="3235" hidden="1" x14ac:dyDescent="0.25"/>
    <row r="3236" hidden="1" x14ac:dyDescent="0.25"/>
    <row r="3237" hidden="1" x14ac:dyDescent="0.25"/>
    <row r="3238" hidden="1" x14ac:dyDescent="0.25"/>
    <row r="3239" hidden="1" x14ac:dyDescent="0.25"/>
    <row r="3240" hidden="1" x14ac:dyDescent="0.25"/>
    <row r="3241" hidden="1" x14ac:dyDescent="0.25"/>
    <row r="3242" hidden="1" x14ac:dyDescent="0.25"/>
    <row r="3243" hidden="1" x14ac:dyDescent="0.25"/>
    <row r="3244" hidden="1" x14ac:dyDescent="0.25"/>
    <row r="3245" hidden="1" x14ac:dyDescent="0.25"/>
    <row r="3246" hidden="1" x14ac:dyDescent="0.25"/>
    <row r="3247" hidden="1" x14ac:dyDescent="0.25"/>
    <row r="3248" hidden="1" x14ac:dyDescent="0.25"/>
    <row r="3249" hidden="1" x14ac:dyDescent="0.25"/>
    <row r="3250" hidden="1" x14ac:dyDescent="0.25"/>
    <row r="3251" hidden="1" x14ac:dyDescent="0.25"/>
    <row r="3252" hidden="1" x14ac:dyDescent="0.25"/>
    <row r="3253" hidden="1" x14ac:dyDescent="0.25"/>
    <row r="3254" hidden="1" x14ac:dyDescent="0.25"/>
    <row r="3255" hidden="1" x14ac:dyDescent="0.25"/>
    <row r="3256" hidden="1" x14ac:dyDescent="0.25"/>
    <row r="3257" hidden="1" x14ac:dyDescent="0.25"/>
    <row r="3258" hidden="1" x14ac:dyDescent="0.25"/>
    <row r="3259" hidden="1" x14ac:dyDescent="0.25"/>
    <row r="3260" hidden="1" x14ac:dyDescent="0.25"/>
    <row r="3261" hidden="1" x14ac:dyDescent="0.25"/>
    <row r="3262" hidden="1" x14ac:dyDescent="0.25"/>
    <row r="3263" hidden="1" x14ac:dyDescent="0.25"/>
    <row r="3264" hidden="1" x14ac:dyDescent="0.25"/>
    <row r="3265" hidden="1" x14ac:dyDescent="0.25"/>
    <row r="3266" hidden="1" x14ac:dyDescent="0.25"/>
    <row r="3267" hidden="1" x14ac:dyDescent="0.25"/>
    <row r="3268" hidden="1" x14ac:dyDescent="0.25"/>
    <row r="3269" hidden="1" x14ac:dyDescent="0.25"/>
    <row r="3270" hidden="1" x14ac:dyDescent="0.25"/>
    <row r="3271" hidden="1" x14ac:dyDescent="0.25"/>
    <row r="3272" hidden="1" x14ac:dyDescent="0.25"/>
    <row r="3273" hidden="1" x14ac:dyDescent="0.25"/>
    <row r="3274" hidden="1" x14ac:dyDescent="0.25"/>
    <row r="3275" hidden="1" x14ac:dyDescent="0.25"/>
    <row r="3276" hidden="1" x14ac:dyDescent="0.25"/>
    <row r="3277" hidden="1" x14ac:dyDescent="0.25"/>
    <row r="3278" hidden="1" x14ac:dyDescent="0.25"/>
    <row r="3279" hidden="1" x14ac:dyDescent="0.25"/>
    <row r="3280" hidden="1" x14ac:dyDescent="0.25"/>
    <row r="3281" hidden="1" x14ac:dyDescent="0.25"/>
    <row r="3282" hidden="1" x14ac:dyDescent="0.25"/>
    <row r="3283" hidden="1" x14ac:dyDescent="0.25"/>
    <row r="3284" hidden="1" x14ac:dyDescent="0.25"/>
    <row r="3285" hidden="1" x14ac:dyDescent="0.25"/>
    <row r="3286" hidden="1" x14ac:dyDescent="0.25"/>
    <row r="3287" hidden="1" x14ac:dyDescent="0.25"/>
    <row r="3288" hidden="1" x14ac:dyDescent="0.25"/>
    <row r="3289" hidden="1" x14ac:dyDescent="0.25"/>
    <row r="3290" hidden="1" x14ac:dyDescent="0.25"/>
    <row r="3291" hidden="1" x14ac:dyDescent="0.25"/>
    <row r="3292" hidden="1" x14ac:dyDescent="0.25"/>
    <row r="3293" hidden="1" x14ac:dyDescent="0.25"/>
    <row r="3294" hidden="1" x14ac:dyDescent="0.25"/>
    <row r="3295" hidden="1" x14ac:dyDescent="0.25"/>
    <row r="3296" hidden="1" x14ac:dyDescent="0.25"/>
    <row r="3297" hidden="1" x14ac:dyDescent="0.25"/>
    <row r="3298" hidden="1" x14ac:dyDescent="0.25"/>
    <row r="3299" hidden="1" x14ac:dyDescent="0.25"/>
    <row r="3300" hidden="1" x14ac:dyDescent="0.25"/>
    <row r="3301" hidden="1" x14ac:dyDescent="0.25"/>
    <row r="3302" hidden="1" x14ac:dyDescent="0.25"/>
    <row r="3303" hidden="1" x14ac:dyDescent="0.25"/>
    <row r="3304" hidden="1" x14ac:dyDescent="0.25"/>
    <row r="3305" hidden="1" x14ac:dyDescent="0.25"/>
    <row r="3306" hidden="1" x14ac:dyDescent="0.25"/>
    <row r="3307" hidden="1" x14ac:dyDescent="0.25"/>
    <row r="3308" hidden="1" x14ac:dyDescent="0.25"/>
    <row r="3309" hidden="1" x14ac:dyDescent="0.25"/>
    <row r="3310" hidden="1" x14ac:dyDescent="0.25"/>
    <row r="3311" hidden="1" x14ac:dyDescent="0.25"/>
    <row r="3312" hidden="1" x14ac:dyDescent="0.25"/>
    <row r="3313" hidden="1" x14ac:dyDescent="0.25"/>
    <row r="3314" hidden="1" x14ac:dyDescent="0.25"/>
    <row r="3315" hidden="1" x14ac:dyDescent="0.25"/>
    <row r="3316" hidden="1" x14ac:dyDescent="0.25"/>
    <row r="3317" hidden="1" x14ac:dyDescent="0.25"/>
    <row r="3318" hidden="1" x14ac:dyDescent="0.25"/>
    <row r="3319" hidden="1" x14ac:dyDescent="0.25"/>
    <row r="3320" hidden="1" x14ac:dyDescent="0.25"/>
    <row r="3321" hidden="1" x14ac:dyDescent="0.25"/>
    <row r="3322" hidden="1" x14ac:dyDescent="0.25"/>
    <row r="3323" hidden="1" x14ac:dyDescent="0.25"/>
    <row r="3324" hidden="1" x14ac:dyDescent="0.25"/>
    <row r="3325" hidden="1" x14ac:dyDescent="0.25"/>
    <row r="3326" hidden="1" x14ac:dyDescent="0.25"/>
    <row r="3327" hidden="1" x14ac:dyDescent="0.25"/>
    <row r="3328" hidden="1" x14ac:dyDescent="0.25"/>
    <row r="3329" hidden="1" x14ac:dyDescent="0.25"/>
    <row r="3330" hidden="1" x14ac:dyDescent="0.25"/>
    <row r="3331" hidden="1" x14ac:dyDescent="0.25"/>
    <row r="3332" hidden="1" x14ac:dyDescent="0.25"/>
    <row r="3333" hidden="1" x14ac:dyDescent="0.25"/>
    <row r="3334" hidden="1" x14ac:dyDescent="0.25"/>
    <row r="3335" hidden="1" x14ac:dyDescent="0.25"/>
    <row r="3336" hidden="1" x14ac:dyDescent="0.25"/>
    <row r="3337" hidden="1" x14ac:dyDescent="0.25"/>
    <row r="3338" hidden="1" x14ac:dyDescent="0.25"/>
    <row r="3339" hidden="1" x14ac:dyDescent="0.25"/>
    <row r="3340" hidden="1" x14ac:dyDescent="0.25"/>
    <row r="3341" hidden="1" x14ac:dyDescent="0.25"/>
    <row r="3342" hidden="1" x14ac:dyDescent="0.25"/>
    <row r="3343" hidden="1" x14ac:dyDescent="0.25"/>
    <row r="3344" hidden="1" x14ac:dyDescent="0.25"/>
    <row r="3345" hidden="1" x14ac:dyDescent="0.25"/>
    <row r="3346" hidden="1" x14ac:dyDescent="0.25"/>
    <row r="3347" hidden="1" x14ac:dyDescent="0.25"/>
    <row r="3348" hidden="1" x14ac:dyDescent="0.25"/>
    <row r="3349" hidden="1" x14ac:dyDescent="0.25"/>
    <row r="3350" hidden="1" x14ac:dyDescent="0.25"/>
    <row r="3351" hidden="1" x14ac:dyDescent="0.25"/>
    <row r="3352" hidden="1" x14ac:dyDescent="0.25"/>
    <row r="3353" hidden="1" x14ac:dyDescent="0.25"/>
    <row r="3354" hidden="1" x14ac:dyDescent="0.25"/>
    <row r="3355" hidden="1" x14ac:dyDescent="0.25"/>
    <row r="3356" hidden="1" x14ac:dyDescent="0.25"/>
    <row r="3357" hidden="1" x14ac:dyDescent="0.25"/>
    <row r="3358" hidden="1" x14ac:dyDescent="0.25"/>
    <row r="3359" hidden="1" x14ac:dyDescent="0.25"/>
    <row r="3360" hidden="1" x14ac:dyDescent="0.25"/>
    <row r="3361" hidden="1" x14ac:dyDescent="0.25"/>
    <row r="3362" hidden="1" x14ac:dyDescent="0.25"/>
    <row r="3363" hidden="1" x14ac:dyDescent="0.25"/>
    <row r="3364" hidden="1" x14ac:dyDescent="0.25"/>
    <row r="3365" hidden="1" x14ac:dyDescent="0.25"/>
    <row r="3366" hidden="1" x14ac:dyDescent="0.25"/>
    <row r="3367" hidden="1" x14ac:dyDescent="0.25"/>
    <row r="3368" hidden="1" x14ac:dyDescent="0.25"/>
    <row r="3369" hidden="1" x14ac:dyDescent="0.25"/>
    <row r="3370" hidden="1" x14ac:dyDescent="0.25"/>
    <row r="3371" hidden="1" x14ac:dyDescent="0.25"/>
    <row r="3372" hidden="1" x14ac:dyDescent="0.25"/>
    <row r="3373" hidden="1" x14ac:dyDescent="0.25"/>
    <row r="3374" hidden="1" x14ac:dyDescent="0.25"/>
    <row r="3375" hidden="1" x14ac:dyDescent="0.25"/>
    <row r="3376" hidden="1" x14ac:dyDescent="0.25"/>
    <row r="3377" hidden="1" x14ac:dyDescent="0.25"/>
    <row r="3378" hidden="1" x14ac:dyDescent="0.25"/>
    <row r="3379" hidden="1" x14ac:dyDescent="0.25"/>
    <row r="3380" hidden="1" x14ac:dyDescent="0.25"/>
    <row r="3381" hidden="1" x14ac:dyDescent="0.25"/>
    <row r="3382" hidden="1" x14ac:dyDescent="0.25"/>
    <row r="3383" hidden="1" x14ac:dyDescent="0.25"/>
    <row r="3384" hidden="1" x14ac:dyDescent="0.25"/>
    <row r="3385" hidden="1" x14ac:dyDescent="0.25"/>
    <row r="3386" hidden="1" x14ac:dyDescent="0.25"/>
    <row r="3387" hidden="1" x14ac:dyDescent="0.25"/>
    <row r="3388" hidden="1" x14ac:dyDescent="0.25"/>
    <row r="3389" hidden="1" x14ac:dyDescent="0.25"/>
    <row r="3390" hidden="1" x14ac:dyDescent="0.25"/>
    <row r="3391" hidden="1" x14ac:dyDescent="0.25"/>
    <row r="3392" hidden="1" x14ac:dyDescent="0.25"/>
    <row r="3393" hidden="1" x14ac:dyDescent="0.25"/>
    <row r="3394" hidden="1" x14ac:dyDescent="0.25"/>
    <row r="3395" hidden="1" x14ac:dyDescent="0.25"/>
    <row r="3396" hidden="1" x14ac:dyDescent="0.25"/>
    <row r="3397" hidden="1" x14ac:dyDescent="0.25"/>
    <row r="3398" hidden="1" x14ac:dyDescent="0.25"/>
    <row r="3399" hidden="1" x14ac:dyDescent="0.25"/>
    <row r="3400" hidden="1" x14ac:dyDescent="0.25"/>
    <row r="3401" hidden="1" x14ac:dyDescent="0.25"/>
    <row r="3402" hidden="1" x14ac:dyDescent="0.25"/>
    <row r="3403" hidden="1" x14ac:dyDescent="0.25"/>
    <row r="3404" hidden="1" x14ac:dyDescent="0.25"/>
    <row r="3405" hidden="1" x14ac:dyDescent="0.25"/>
    <row r="3406" hidden="1" x14ac:dyDescent="0.25"/>
    <row r="3407" hidden="1" x14ac:dyDescent="0.25"/>
    <row r="3408" hidden="1" x14ac:dyDescent="0.25"/>
    <row r="3409" hidden="1" x14ac:dyDescent="0.25"/>
    <row r="3410" hidden="1" x14ac:dyDescent="0.25"/>
    <row r="3411" hidden="1" x14ac:dyDescent="0.25"/>
    <row r="3412" hidden="1" x14ac:dyDescent="0.25"/>
    <row r="3413" hidden="1" x14ac:dyDescent="0.25"/>
    <row r="3414" hidden="1" x14ac:dyDescent="0.25"/>
    <row r="3415" hidden="1" x14ac:dyDescent="0.25"/>
    <row r="3416" hidden="1" x14ac:dyDescent="0.25"/>
    <row r="3417" hidden="1" x14ac:dyDescent="0.25"/>
    <row r="3418" hidden="1" x14ac:dyDescent="0.25"/>
    <row r="3419" hidden="1" x14ac:dyDescent="0.25"/>
    <row r="3420" hidden="1" x14ac:dyDescent="0.25"/>
    <row r="3421" hidden="1" x14ac:dyDescent="0.25"/>
    <row r="3422" hidden="1" x14ac:dyDescent="0.25"/>
    <row r="3423" hidden="1" x14ac:dyDescent="0.25"/>
    <row r="3424" hidden="1" x14ac:dyDescent="0.25"/>
    <row r="3425" hidden="1" x14ac:dyDescent="0.25"/>
    <row r="3426" hidden="1" x14ac:dyDescent="0.25"/>
    <row r="3427" hidden="1" x14ac:dyDescent="0.25"/>
    <row r="3428" hidden="1" x14ac:dyDescent="0.25"/>
    <row r="3429" hidden="1" x14ac:dyDescent="0.25"/>
    <row r="3430" hidden="1" x14ac:dyDescent="0.25"/>
    <row r="3431" hidden="1" x14ac:dyDescent="0.25"/>
    <row r="3432" hidden="1" x14ac:dyDescent="0.25"/>
    <row r="3433" hidden="1" x14ac:dyDescent="0.25"/>
    <row r="3434" hidden="1" x14ac:dyDescent="0.25"/>
    <row r="3435" hidden="1" x14ac:dyDescent="0.25"/>
    <row r="3436" hidden="1" x14ac:dyDescent="0.25"/>
    <row r="3437" hidden="1" x14ac:dyDescent="0.25"/>
    <row r="3438" hidden="1" x14ac:dyDescent="0.25"/>
    <row r="3439" hidden="1" x14ac:dyDescent="0.25"/>
    <row r="3440" hidden="1" x14ac:dyDescent="0.25"/>
    <row r="3441" hidden="1" x14ac:dyDescent="0.25"/>
    <row r="3442" hidden="1" x14ac:dyDescent="0.25"/>
    <row r="3443" hidden="1" x14ac:dyDescent="0.25"/>
    <row r="3444" hidden="1" x14ac:dyDescent="0.25"/>
    <row r="3445" hidden="1" x14ac:dyDescent="0.25"/>
    <row r="3446" hidden="1" x14ac:dyDescent="0.25"/>
    <row r="3447" hidden="1" x14ac:dyDescent="0.25"/>
    <row r="3448" hidden="1" x14ac:dyDescent="0.25"/>
    <row r="3449" hidden="1" x14ac:dyDescent="0.25"/>
    <row r="3450" hidden="1" x14ac:dyDescent="0.25"/>
    <row r="3451" hidden="1" x14ac:dyDescent="0.25"/>
    <row r="3452" hidden="1" x14ac:dyDescent="0.25"/>
    <row r="3453" hidden="1" x14ac:dyDescent="0.25"/>
    <row r="3454" hidden="1" x14ac:dyDescent="0.25"/>
    <row r="3455" hidden="1" x14ac:dyDescent="0.25"/>
    <row r="3456" hidden="1" x14ac:dyDescent="0.25"/>
    <row r="3457" hidden="1" x14ac:dyDescent="0.25"/>
    <row r="3458" hidden="1" x14ac:dyDescent="0.25"/>
    <row r="3459" hidden="1" x14ac:dyDescent="0.25"/>
    <row r="3460" hidden="1" x14ac:dyDescent="0.25"/>
    <row r="3461" hidden="1" x14ac:dyDescent="0.25"/>
    <row r="3462" hidden="1" x14ac:dyDescent="0.25"/>
    <row r="3463" hidden="1" x14ac:dyDescent="0.25"/>
    <row r="3464" hidden="1" x14ac:dyDescent="0.25"/>
    <row r="3465" hidden="1" x14ac:dyDescent="0.25"/>
    <row r="3466" hidden="1" x14ac:dyDescent="0.25"/>
    <row r="3467" hidden="1" x14ac:dyDescent="0.25"/>
    <row r="3468" hidden="1" x14ac:dyDescent="0.25"/>
    <row r="3469" hidden="1" x14ac:dyDescent="0.25"/>
    <row r="3470" hidden="1" x14ac:dyDescent="0.25"/>
    <row r="3471" hidden="1" x14ac:dyDescent="0.25"/>
    <row r="3472" hidden="1" x14ac:dyDescent="0.25"/>
    <row r="3473" hidden="1" x14ac:dyDescent="0.25"/>
    <row r="3474" hidden="1" x14ac:dyDescent="0.25"/>
    <row r="3475" hidden="1" x14ac:dyDescent="0.25"/>
    <row r="3476" hidden="1" x14ac:dyDescent="0.25"/>
    <row r="3477" hidden="1" x14ac:dyDescent="0.25"/>
    <row r="3478" hidden="1" x14ac:dyDescent="0.25"/>
    <row r="3479" hidden="1" x14ac:dyDescent="0.25"/>
    <row r="3480" hidden="1" x14ac:dyDescent="0.25"/>
    <row r="3481" hidden="1" x14ac:dyDescent="0.25"/>
    <row r="3482" hidden="1" x14ac:dyDescent="0.25"/>
    <row r="3483" hidden="1" x14ac:dyDescent="0.25"/>
    <row r="3484" hidden="1" x14ac:dyDescent="0.25"/>
    <row r="3485" hidden="1" x14ac:dyDescent="0.25"/>
    <row r="3486" hidden="1" x14ac:dyDescent="0.25"/>
    <row r="3487" hidden="1" x14ac:dyDescent="0.25"/>
    <row r="3488" hidden="1" x14ac:dyDescent="0.25"/>
    <row r="3489" hidden="1" x14ac:dyDescent="0.25"/>
    <row r="3490" hidden="1" x14ac:dyDescent="0.25"/>
    <row r="3491" hidden="1" x14ac:dyDescent="0.25"/>
    <row r="3492" hidden="1" x14ac:dyDescent="0.25"/>
    <row r="3493" hidden="1" x14ac:dyDescent="0.25"/>
    <row r="3494" hidden="1" x14ac:dyDescent="0.25"/>
    <row r="3495" hidden="1" x14ac:dyDescent="0.25"/>
    <row r="3496" hidden="1" x14ac:dyDescent="0.25"/>
    <row r="3497" hidden="1" x14ac:dyDescent="0.25"/>
    <row r="3498" hidden="1" x14ac:dyDescent="0.25"/>
    <row r="3499" hidden="1" x14ac:dyDescent="0.25"/>
    <row r="3500" hidden="1" x14ac:dyDescent="0.25"/>
    <row r="3501" hidden="1" x14ac:dyDescent="0.25"/>
    <row r="3502" hidden="1" x14ac:dyDescent="0.25"/>
    <row r="3503" hidden="1" x14ac:dyDescent="0.25"/>
    <row r="3504" hidden="1" x14ac:dyDescent="0.25"/>
    <row r="3505" hidden="1" x14ac:dyDescent="0.25"/>
    <row r="3506" hidden="1" x14ac:dyDescent="0.25"/>
    <row r="3507" hidden="1" x14ac:dyDescent="0.25"/>
    <row r="3508" hidden="1" x14ac:dyDescent="0.25"/>
    <row r="3509" hidden="1" x14ac:dyDescent="0.25"/>
    <row r="3510" hidden="1" x14ac:dyDescent="0.25"/>
    <row r="3511" hidden="1" x14ac:dyDescent="0.25"/>
    <row r="3512" hidden="1" x14ac:dyDescent="0.25"/>
    <row r="3513" hidden="1" x14ac:dyDescent="0.25"/>
    <row r="3514" hidden="1" x14ac:dyDescent="0.25"/>
    <row r="3515" hidden="1" x14ac:dyDescent="0.25"/>
    <row r="3516" hidden="1" x14ac:dyDescent="0.25"/>
    <row r="3517" hidden="1" x14ac:dyDescent="0.25"/>
    <row r="3518" hidden="1" x14ac:dyDescent="0.25"/>
    <row r="3519" hidden="1" x14ac:dyDescent="0.25"/>
    <row r="3520" hidden="1" x14ac:dyDescent="0.25"/>
    <row r="3521" hidden="1" x14ac:dyDescent="0.25"/>
    <row r="3522" hidden="1" x14ac:dyDescent="0.25"/>
    <row r="3523" hidden="1" x14ac:dyDescent="0.25"/>
    <row r="3524" hidden="1" x14ac:dyDescent="0.25"/>
    <row r="3525" hidden="1" x14ac:dyDescent="0.25"/>
    <row r="3526" hidden="1" x14ac:dyDescent="0.25"/>
    <row r="3527" hidden="1" x14ac:dyDescent="0.25"/>
    <row r="3528" hidden="1" x14ac:dyDescent="0.25"/>
    <row r="3529" hidden="1" x14ac:dyDescent="0.25"/>
    <row r="3530" hidden="1" x14ac:dyDescent="0.25"/>
    <row r="3531" hidden="1" x14ac:dyDescent="0.25"/>
    <row r="3532" hidden="1" x14ac:dyDescent="0.25"/>
    <row r="3533" hidden="1" x14ac:dyDescent="0.25"/>
    <row r="3534" hidden="1" x14ac:dyDescent="0.25"/>
    <row r="3535" hidden="1" x14ac:dyDescent="0.25"/>
    <row r="3536" hidden="1" x14ac:dyDescent="0.25"/>
    <row r="3537" hidden="1" x14ac:dyDescent="0.25"/>
    <row r="3538" hidden="1" x14ac:dyDescent="0.25"/>
    <row r="3539" hidden="1" x14ac:dyDescent="0.25"/>
    <row r="3540" hidden="1" x14ac:dyDescent="0.25"/>
    <row r="3541" hidden="1" x14ac:dyDescent="0.25"/>
    <row r="3542" hidden="1" x14ac:dyDescent="0.25"/>
    <row r="3543" hidden="1" x14ac:dyDescent="0.25"/>
    <row r="3544" hidden="1" x14ac:dyDescent="0.25"/>
    <row r="3545" hidden="1" x14ac:dyDescent="0.25"/>
    <row r="3546" hidden="1" x14ac:dyDescent="0.25"/>
    <row r="3547" hidden="1" x14ac:dyDescent="0.25"/>
    <row r="3548" hidden="1" x14ac:dyDescent="0.25"/>
    <row r="3549" hidden="1" x14ac:dyDescent="0.25"/>
    <row r="3550" hidden="1" x14ac:dyDescent="0.25"/>
    <row r="3551" hidden="1" x14ac:dyDescent="0.25"/>
    <row r="3552" hidden="1" x14ac:dyDescent="0.25"/>
    <row r="3553" hidden="1" x14ac:dyDescent="0.25"/>
    <row r="3554" hidden="1" x14ac:dyDescent="0.25"/>
    <row r="3555" hidden="1" x14ac:dyDescent="0.25"/>
    <row r="3556" hidden="1" x14ac:dyDescent="0.25"/>
    <row r="3557" hidden="1" x14ac:dyDescent="0.25"/>
    <row r="3558" hidden="1" x14ac:dyDescent="0.25"/>
    <row r="3559" hidden="1" x14ac:dyDescent="0.25"/>
    <row r="3560" hidden="1" x14ac:dyDescent="0.25"/>
    <row r="3561" hidden="1" x14ac:dyDescent="0.25"/>
    <row r="3562" hidden="1" x14ac:dyDescent="0.25"/>
    <row r="3563" hidden="1" x14ac:dyDescent="0.25"/>
    <row r="3564" hidden="1" x14ac:dyDescent="0.25"/>
    <row r="3565" hidden="1" x14ac:dyDescent="0.25"/>
    <row r="3566" hidden="1" x14ac:dyDescent="0.25"/>
    <row r="3567" hidden="1" x14ac:dyDescent="0.25"/>
    <row r="3568" hidden="1" x14ac:dyDescent="0.25"/>
    <row r="3569" hidden="1" x14ac:dyDescent="0.25"/>
    <row r="3570" hidden="1" x14ac:dyDescent="0.25"/>
    <row r="3571" hidden="1" x14ac:dyDescent="0.25"/>
    <row r="3572" hidden="1" x14ac:dyDescent="0.25"/>
    <row r="3573" hidden="1" x14ac:dyDescent="0.25"/>
    <row r="3574" hidden="1" x14ac:dyDescent="0.25"/>
    <row r="3575" hidden="1" x14ac:dyDescent="0.25"/>
    <row r="3576" hidden="1" x14ac:dyDescent="0.25"/>
    <row r="3577" hidden="1" x14ac:dyDescent="0.25"/>
    <row r="3578" hidden="1" x14ac:dyDescent="0.25"/>
    <row r="3579" hidden="1" x14ac:dyDescent="0.25"/>
    <row r="3580" hidden="1" x14ac:dyDescent="0.25"/>
    <row r="3581" hidden="1" x14ac:dyDescent="0.25"/>
    <row r="3582" hidden="1" x14ac:dyDescent="0.25"/>
    <row r="3583" hidden="1" x14ac:dyDescent="0.25"/>
    <row r="3584" hidden="1" x14ac:dyDescent="0.25"/>
    <row r="3585" hidden="1" x14ac:dyDescent="0.25"/>
    <row r="3586" hidden="1" x14ac:dyDescent="0.25"/>
    <row r="3587" hidden="1" x14ac:dyDescent="0.25"/>
    <row r="3588" hidden="1" x14ac:dyDescent="0.25"/>
    <row r="3589" hidden="1" x14ac:dyDescent="0.25"/>
    <row r="3590" hidden="1" x14ac:dyDescent="0.25"/>
    <row r="3591" hidden="1" x14ac:dyDescent="0.25"/>
    <row r="3592" hidden="1" x14ac:dyDescent="0.25"/>
    <row r="3593" hidden="1" x14ac:dyDescent="0.25"/>
    <row r="3594" hidden="1" x14ac:dyDescent="0.25"/>
    <row r="3595" hidden="1" x14ac:dyDescent="0.25"/>
    <row r="3596" hidden="1" x14ac:dyDescent="0.25"/>
    <row r="3597" hidden="1" x14ac:dyDescent="0.25"/>
    <row r="3598" hidden="1" x14ac:dyDescent="0.25"/>
    <row r="3599" hidden="1" x14ac:dyDescent="0.25"/>
    <row r="3600" hidden="1" x14ac:dyDescent="0.25"/>
    <row r="3601" hidden="1" x14ac:dyDescent="0.25"/>
    <row r="3602" hidden="1" x14ac:dyDescent="0.25"/>
    <row r="3603" hidden="1" x14ac:dyDescent="0.25"/>
    <row r="3604" hidden="1" x14ac:dyDescent="0.25"/>
    <row r="3605" hidden="1" x14ac:dyDescent="0.25"/>
    <row r="3606" hidden="1" x14ac:dyDescent="0.25"/>
    <row r="3607" hidden="1" x14ac:dyDescent="0.25"/>
    <row r="3608" hidden="1" x14ac:dyDescent="0.25"/>
    <row r="3609" hidden="1" x14ac:dyDescent="0.25"/>
    <row r="3610" hidden="1" x14ac:dyDescent="0.25"/>
    <row r="3611" hidden="1" x14ac:dyDescent="0.25"/>
    <row r="3612" hidden="1" x14ac:dyDescent="0.25"/>
    <row r="3613" hidden="1" x14ac:dyDescent="0.25"/>
    <row r="3614" hidden="1" x14ac:dyDescent="0.25"/>
    <row r="3615" hidden="1" x14ac:dyDescent="0.25"/>
    <row r="3616" hidden="1" x14ac:dyDescent="0.25"/>
    <row r="3617" hidden="1" x14ac:dyDescent="0.25"/>
    <row r="3618" hidden="1" x14ac:dyDescent="0.25"/>
    <row r="3619" hidden="1" x14ac:dyDescent="0.25"/>
    <row r="3620" hidden="1" x14ac:dyDescent="0.25"/>
    <row r="3621" hidden="1" x14ac:dyDescent="0.25"/>
    <row r="3622" hidden="1" x14ac:dyDescent="0.25"/>
    <row r="3623" hidden="1" x14ac:dyDescent="0.25"/>
    <row r="3624" hidden="1" x14ac:dyDescent="0.25"/>
    <row r="3625" hidden="1" x14ac:dyDescent="0.25"/>
    <row r="3626" hidden="1" x14ac:dyDescent="0.25"/>
    <row r="3627" hidden="1" x14ac:dyDescent="0.25"/>
    <row r="3628" hidden="1" x14ac:dyDescent="0.25"/>
    <row r="3629" hidden="1" x14ac:dyDescent="0.25"/>
    <row r="3630" hidden="1" x14ac:dyDescent="0.25"/>
    <row r="3631" hidden="1" x14ac:dyDescent="0.25"/>
    <row r="3632" hidden="1" x14ac:dyDescent="0.25"/>
    <row r="3633" hidden="1" x14ac:dyDescent="0.25"/>
    <row r="3634" hidden="1" x14ac:dyDescent="0.25"/>
    <row r="3635" hidden="1" x14ac:dyDescent="0.25"/>
    <row r="3636" hidden="1" x14ac:dyDescent="0.25"/>
    <row r="3637" hidden="1" x14ac:dyDescent="0.25"/>
    <row r="3638" hidden="1" x14ac:dyDescent="0.25"/>
    <row r="3639" hidden="1" x14ac:dyDescent="0.25"/>
    <row r="3640" hidden="1" x14ac:dyDescent="0.25"/>
    <row r="3641" hidden="1" x14ac:dyDescent="0.25"/>
    <row r="3642" hidden="1" x14ac:dyDescent="0.25"/>
    <row r="3643" hidden="1" x14ac:dyDescent="0.25"/>
    <row r="3644" hidden="1" x14ac:dyDescent="0.25"/>
    <row r="3645" hidden="1" x14ac:dyDescent="0.25"/>
    <row r="3646" hidden="1" x14ac:dyDescent="0.25"/>
    <row r="3647" hidden="1" x14ac:dyDescent="0.25"/>
    <row r="3648" hidden="1" x14ac:dyDescent="0.25"/>
    <row r="3649" hidden="1" x14ac:dyDescent="0.25"/>
    <row r="3650" hidden="1" x14ac:dyDescent="0.25"/>
    <row r="3651" hidden="1" x14ac:dyDescent="0.25"/>
    <row r="3652" hidden="1" x14ac:dyDescent="0.25"/>
    <row r="3653" hidden="1" x14ac:dyDescent="0.25"/>
    <row r="3654" hidden="1" x14ac:dyDescent="0.25"/>
    <row r="3655" hidden="1" x14ac:dyDescent="0.25"/>
    <row r="3656" hidden="1" x14ac:dyDescent="0.25"/>
    <row r="3657" hidden="1" x14ac:dyDescent="0.25"/>
    <row r="3658" hidden="1" x14ac:dyDescent="0.25"/>
    <row r="3659" hidden="1" x14ac:dyDescent="0.25"/>
    <row r="3660" hidden="1" x14ac:dyDescent="0.25"/>
    <row r="3661" hidden="1" x14ac:dyDescent="0.25"/>
    <row r="3662" hidden="1" x14ac:dyDescent="0.25"/>
    <row r="3663" hidden="1" x14ac:dyDescent="0.25"/>
    <row r="3664" hidden="1" x14ac:dyDescent="0.25"/>
    <row r="3665" hidden="1" x14ac:dyDescent="0.25"/>
    <row r="3666" hidden="1" x14ac:dyDescent="0.25"/>
    <row r="3667" hidden="1" x14ac:dyDescent="0.25"/>
    <row r="3668" hidden="1" x14ac:dyDescent="0.25"/>
    <row r="3669" hidden="1" x14ac:dyDescent="0.25"/>
    <row r="3670" hidden="1" x14ac:dyDescent="0.25"/>
    <row r="3671" hidden="1" x14ac:dyDescent="0.25"/>
    <row r="3672" hidden="1" x14ac:dyDescent="0.25"/>
    <row r="3673" hidden="1" x14ac:dyDescent="0.25"/>
    <row r="3674" hidden="1" x14ac:dyDescent="0.25"/>
    <row r="3675" hidden="1" x14ac:dyDescent="0.25"/>
    <row r="3676" hidden="1" x14ac:dyDescent="0.25"/>
    <row r="3677" hidden="1" x14ac:dyDescent="0.25"/>
    <row r="3678" hidden="1" x14ac:dyDescent="0.25"/>
    <row r="3679" hidden="1" x14ac:dyDescent="0.25"/>
    <row r="3680" hidden="1" x14ac:dyDescent="0.25"/>
    <row r="3681" hidden="1" x14ac:dyDescent="0.25"/>
    <row r="3682" hidden="1" x14ac:dyDescent="0.25"/>
    <row r="3683" hidden="1" x14ac:dyDescent="0.25"/>
    <row r="3684" hidden="1" x14ac:dyDescent="0.25"/>
    <row r="3685" hidden="1" x14ac:dyDescent="0.25"/>
    <row r="3686" hidden="1" x14ac:dyDescent="0.25"/>
    <row r="3687" hidden="1" x14ac:dyDescent="0.25"/>
    <row r="3688" hidden="1" x14ac:dyDescent="0.25"/>
    <row r="3689" hidden="1" x14ac:dyDescent="0.25"/>
    <row r="3690" hidden="1" x14ac:dyDescent="0.25"/>
    <row r="3691" hidden="1" x14ac:dyDescent="0.25"/>
    <row r="3692" hidden="1" x14ac:dyDescent="0.25"/>
    <row r="3693" hidden="1" x14ac:dyDescent="0.25"/>
    <row r="3694" hidden="1" x14ac:dyDescent="0.25"/>
    <row r="3695" hidden="1" x14ac:dyDescent="0.25"/>
    <row r="3696" hidden="1" x14ac:dyDescent="0.25"/>
    <row r="3697" hidden="1" x14ac:dyDescent="0.25"/>
    <row r="3698" hidden="1" x14ac:dyDescent="0.25"/>
    <row r="3699" hidden="1" x14ac:dyDescent="0.25"/>
    <row r="3700" hidden="1" x14ac:dyDescent="0.25"/>
    <row r="3701" hidden="1" x14ac:dyDescent="0.25"/>
    <row r="3702" hidden="1" x14ac:dyDescent="0.25"/>
    <row r="3703" hidden="1" x14ac:dyDescent="0.25"/>
    <row r="3704" hidden="1" x14ac:dyDescent="0.25"/>
    <row r="3705" hidden="1" x14ac:dyDescent="0.25"/>
    <row r="3706" hidden="1" x14ac:dyDescent="0.25"/>
    <row r="3707" hidden="1" x14ac:dyDescent="0.25"/>
    <row r="3708" hidden="1" x14ac:dyDescent="0.25"/>
    <row r="3709" hidden="1" x14ac:dyDescent="0.25"/>
    <row r="3710" hidden="1" x14ac:dyDescent="0.25"/>
    <row r="3711" hidden="1" x14ac:dyDescent="0.25"/>
    <row r="3712" hidden="1" x14ac:dyDescent="0.25"/>
    <row r="3713" hidden="1" x14ac:dyDescent="0.25"/>
    <row r="3714" hidden="1" x14ac:dyDescent="0.25"/>
    <row r="3715" hidden="1" x14ac:dyDescent="0.25"/>
    <row r="3716" hidden="1" x14ac:dyDescent="0.25"/>
    <row r="3717" hidden="1" x14ac:dyDescent="0.25"/>
    <row r="3718" hidden="1" x14ac:dyDescent="0.25"/>
    <row r="3719" hidden="1" x14ac:dyDescent="0.25"/>
    <row r="3720" hidden="1" x14ac:dyDescent="0.25"/>
    <row r="3721" hidden="1" x14ac:dyDescent="0.25"/>
    <row r="3722" hidden="1" x14ac:dyDescent="0.25"/>
    <row r="3723" hidden="1" x14ac:dyDescent="0.25"/>
    <row r="3724" hidden="1" x14ac:dyDescent="0.25"/>
    <row r="3725" hidden="1" x14ac:dyDescent="0.25"/>
    <row r="3726" hidden="1" x14ac:dyDescent="0.25"/>
    <row r="3727" hidden="1" x14ac:dyDescent="0.25"/>
    <row r="3728" hidden="1" x14ac:dyDescent="0.25"/>
    <row r="3729" hidden="1" x14ac:dyDescent="0.25"/>
    <row r="3730" hidden="1" x14ac:dyDescent="0.25"/>
    <row r="3731" hidden="1" x14ac:dyDescent="0.25"/>
    <row r="3732" hidden="1" x14ac:dyDescent="0.25"/>
    <row r="3733" hidden="1" x14ac:dyDescent="0.25"/>
    <row r="3734" hidden="1" x14ac:dyDescent="0.25"/>
    <row r="3735" hidden="1" x14ac:dyDescent="0.25"/>
    <row r="3736" hidden="1" x14ac:dyDescent="0.25"/>
    <row r="3737" hidden="1" x14ac:dyDescent="0.25"/>
    <row r="3738" hidden="1" x14ac:dyDescent="0.25"/>
    <row r="3739" hidden="1" x14ac:dyDescent="0.25"/>
    <row r="3740" hidden="1" x14ac:dyDescent="0.25"/>
    <row r="3741" hidden="1" x14ac:dyDescent="0.25"/>
    <row r="3742" hidden="1" x14ac:dyDescent="0.25"/>
    <row r="3743" hidden="1" x14ac:dyDescent="0.25"/>
    <row r="3744" hidden="1" x14ac:dyDescent="0.25"/>
    <row r="3745" hidden="1" x14ac:dyDescent="0.25"/>
    <row r="3746" hidden="1" x14ac:dyDescent="0.25"/>
    <row r="3747" hidden="1" x14ac:dyDescent="0.25"/>
    <row r="3748" hidden="1" x14ac:dyDescent="0.25"/>
    <row r="3749" hidden="1" x14ac:dyDescent="0.25"/>
    <row r="3750" hidden="1" x14ac:dyDescent="0.25"/>
    <row r="3751" hidden="1" x14ac:dyDescent="0.25"/>
    <row r="3752" hidden="1" x14ac:dyDescent="0.25"/>
    <row r="3753" hidden="1" x14ac:dyDescent="0.25"/>
    <row r="3754" hidden="1" x14ac:dyDescent="0.25"/>
    <row r="3755" hidden="1" x14ac:dyDescent="0.25"/>
    <row r="3756" hidden="1" x14ac:dyDescent="0.25"/>
    <row r="3757" hidden="1" x14ac:dyDescent="0.25"/>
    <row r="3758" hidden="1" x14ac:dyDescent="0.25"/>
    <row r="3759" hidden="1" x14ac:dyDescent="0.25"/>
    <row r="3760" hidden="1" x14ac:dyDescent="0.25"/>
    <row r="3761" hidden="1" x14ac:dyDescent="0.25"/>
    <row r="3762" hidden="1" x14ac:dyDescent="0.25"/>
    <row r="3763" hidden="1" x14ac:dyDescent="0.25"/>
    <row r="3764" hidden="1" x14ac:dyDescent="0.25"/>
    <row r="3765" hidden="1" x14ac:dyDescent="0.25"/>
    <row r="3766" hidden="1" x14ac:dyDescent="0.25"/>
    <row r="3767" hidden="1" x14ac:dyDescent="0.25"/>
    <row r="3768" hidden="1" x14ac:dyDescent="0.25"/>
    <row r="3769" hidden="1" x14ac:dyDescent="0.25"/>
    <row r="3770" hidden="1" x14ac:dyDescent="0.25"/>
    <row r="3771" hidden="1" x14ac:dyDescent="0.25"/>
    <row r="3772" hidden="1" x14ac:dyDescent="0.25"/>
    <row r="3773" hidden="1" x14ac:dyDescent="0.25"/>
    <row r="3774" hidden="1" x14ac:dyDescent="0.25"/>
    <row r="3775" hidden="1" x14ac:dyDescent="0.25"/>
    <row r="3776" hidden="1" x14ac:dyDescent="0.25"/>
    <row r="3777" hidden="1" x14ac:dyDescent="0.25"/>
    <row r="3778" hidden="1" x14ac:dyDescent="0.25"/>
    <row r="3779" hidden="1" x14ac:dyDescent="0.25"/>
    <row r="3780" hidden="1" x14ac:dyDescent="0.25"/>
    <row r="3781" hidden="1" x14ac:dyDescent="0.25"/>
    <row r="3782" hidden="1" x14ac:dyDescent="0.25"/>
    <row r="3783" hidden="1" x14ac:dyDescent="0.25"/>
    <row r="3784" hidden="1" x14ac:dyDescent="0.25"/>
    <row r="3785" hidden="1" x14ac:dyDescent="0.25"/>
    <row r="3786" hidden="1" x14ac:dyDescent="0.25"/>
    <row r="3787" hidden="1" x14ac:dyDescent="0.25"/>
    <row r="3788" hidden="1" x14ac:dyDescent="0.25"/>
    <row r="3789" hidden="1" x14ac:dyDescent="0.25"/>
    <row r="3790" hidden="1" x14ac:dyDescent="0.25"/>
    <row r="3791" hidden="1" x14ac:dyDescent="0.25"/>
    <row r="3792" hidden="1" x14ac:dyDescent="0.25"/>
    <row r="3793" hidden="1" x14ac:dyDescent="0.25"/>
    <row r="3794" hidden="1" x14ac:dyDescent="0.25"/>
    <row r="3795" hidden="1" x14ac:dyDescent="0.25"/>
    <row r="3796" hidden="1" x14ac:dyDescent="0.25"/>
    <row r="3797" hidden="1" x14ac:dyDescent="0.25"/>
    <row r="3798" hidden="1" x14ac:dyDescent="0.25"/>
    <row r="3799" hidden="1" x14ac:dyDescent="0.25"/>
    <row r="3800" hidden="1" x14ac:dyDescent="0.25"/>
    <row r="3801" hidden="1" x14ac:dyDescent="0.25"/>
    <row r="3802" hidden="1" x14ac:dyDescent="0.25"/>
    <row r="3803" hidden="1" x14ac:dyDescent="0.25"/>
    <row r="3804" hidden="1" x14ac:dyDescent="0.25"/>
    <row r="3805" hidden="1" x14ac:dyDescent="0.25"/>
    <row r="3806" hidden="1" x14ac:dyDescent="0.25"/>
    <row r="3807" hidden="1" x14ac:dyDescent="0.25"/>
    <row r="3808" hidden="1" x14ac:dyDescent="0.25"/>
    <row r="3809" hidden="1" x14ac:dyDescent="0.25"/>
    <row r="3810" hidden="1" x14ac:dyDescent="0.25"/>
    <row r="3811" hidden="1" x14ac:dyDescent="0.25"/>
    <row r="3812" hidden="1" x14ac:dyDescent="0.25"/>
    <row r="3813" hidden="1" x14ac:dyDescent="0.25"/>
    <row r="3814" hidden="1" x14ac:dyDescent="0.25"/>
    <row r="3815" hidden="1" x14ac:dyDescent="0.25"/>
    <row r="3816" hidden="1" x14ac:dyDescent="0.25"/>
    <row r="3817" hidden="1" x14ac:dyDescent="0.25"/>
    <row r="3818" hidden="1" x14ac:dyDescent="0.25"/>
    <row r="3819" hidden="1" x14ac:dyDescent="0.25"/>
    <row r="3820" hidden="1" x14ac:dyDescent="0.25"/>
    <row r="3821" hidden="1" x14ac:dyDescent="0.25"/>
    <row r="3822" hidden="1" x14ac:dyDescent="0.25"/>
    <row r="3823" hidden="1" x14ac:dyDescent="0.25"/>
    <row r="3824" hidden="1" x14ac:dyDescent="0.25"/>
    <row r="3825" hidden="1" x14ac:dyDescent="0.25"/>
    <row r="3826" hidden="1" x14ac:dyDescent="0.25"/>
    <row r="3827" hidden="1" x14ac:dyDescent="0.25"/>
    <row r="3828" hidden="1" x14ac:dyDescent="0.25"/>
    <row r="3829" hidden="1" x14ac:dyDescent="0.25"/>
    <row r="3830" hidden="1" x14ac:dyDescent="0.25"/>
    <row r="3831" hidden="1" x14ac:dyDescent="0.25"/>
    <row r="3832" hidden="1" x14ac:dyDescent="0.25"/>
    <row r="3833" hidden="1" x14ac:dyDescent="0.25"/>
    <row r="3834" hidden="1" x14ac:dyDescent="0.25"/>
    <row r="3835" hidden="1" x14ac:dyDescent="0.25"/>
    <row r="3836" hidden="1" x14ac:dyDescent="0.25"/>
    <row r="3837" hidden="1" x14ac:dyDescent="0.25"/>
    <row r="3838" hidden="1" x14ac:dyDescent="0.25"/>
    <row r="3839" hidden="1" x14ac:dyDescent="0.25"/>
    <row r="3840" hidden="1" x14ac:dyDescent="0.25"/>
    <row r="3841" hidden="1" x14ac:dyDescent="0.25"/>
    <row r="3842" hidden="1" x14ac:dyDescent="0.25"/>
  </sheetData>
  <autoFilter ref="A1:U3842" xr:uid="{00000000-0009-0000-0000-000002000000}">
    <filterColumn colId="6">
      <filters>
        <filter val="06.315.338/0177-80"/>
      </filters>
    </filterColumn>
  </autoFilter>
  <phoneticPr fontId="17" type="noConversion"/>
  <pageMargins left="0.511811024" right="0.511811024" top="0.78740157499999996" bottom="0.78740157499999996" header="0.31496062000000002" footer="0.31496062000000002"/>
  <pageSetup orientation="portrait" r:id="rId1"/>
  <headerFooter>
    <oddFooter>&amp;C&amp;1#&amp;"Arial"&amp;7&amp;K000000Sensitivity: Internal &amp; Restricted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M192"/>
  <sheetViews>
    <sheetView topLeftCell="B1" zoomScale="85" zoomScaleNormal="85" workbookViewId="0">
      <selection activeCell="L6" sqref="L6"/>
    </sheetView>
  </sheetViews>
  <sheetFormatPr defaultRowHeight="15" x14ac:dyDescent="0.25"/>
  <cols>
    <col min="1" max="1" width="43.85546875" style="1" customWidth="1"/>
    <col min="2" max="2" width="21.85546875" customWidth="1"/>
    <col min="3" max="3" width="15.5703125" customWidth="1"/>
    <col min="4" max="4" width="11" customWidth="1"/>
    <col min="5" max="5" width="32.5703125" customWidth="1"/>
    <col min="6" max="6" width="11" customWidth="1"/>
    <col min="8" max="8" width="7.140625" customWidth="1"/>
    <col min="9" max="9" width="8.85546875" customWidth="1"/>
    <col min="11" max="11" width="21.28515625" customWidth="1"/>
    <col min="12" max="12" width="18.140625" bestFit="1" customWidth="1"/>
    <col min="13" max="13" width="5.85546875" bestFit="1" customWidth="1"/>
    <col min="14" max="14" width="5.85546875" customWidth="1"/>
  </cols>
  <sheetData>
    <row r="1" spans="1:13" ht="15.75" x14ac:dyDescent="0.25">
      <c r="A1" s="52" t="s">
        <v>36</v>
      </c>
      <c r="B1" s="53" t="s">
        <v>51</v>
      </c>
      <c r="C1" s="53" t="s">
        <v>52</v>
      </c>
      <c r="D1" s="54" t="s">
        <v>53</v>
      </c>
      <c r="E1" s="53" t="s">
        <v>0</v>
      </c>
      <c r="F1" s="54" t="s">
        <v>53</v>
      </c>
    </row>
    <row r="2" spans="1:13" ht="15.75" x14ac:dyDescent="0.25">
      <c r="A2" s="43" t="s">
        <v>54</v>
      </c>
      <c r="B2" s="44" t="s">
        <v>55</v>
      </c>
      <c r="C2" s="45">
        <v>101</v>
      </c>
      <c r="D2" s="43">
        <v>2</v>
      </c>
      <c r="E2" s="55" t="s">
        <v>103</v>
      </c>
      <c r="F2" s="43">
        <v>2</v>
      </c>
      <c r="H2" s="4"/>
      <c r="L2" s="9"/>
      <c r="M2" s="9"/>
    </row>
    <row r="3" spans="1:13" ht="15.75" x14ac:dyDescent="0.25">
      <c r="A3" s="46" t="s">
        <v>56</v>
      </c>
      <c r="B3" s="47" t="s">
        <v>57</v>
      </c>
      <c r="C3" s="48">
        <v>103</v>
      </c>
      <c r="D3" s="46">
        <v>1</v>
      </c>
      <c r="E3" s="56" t="s">
        <v>104</v>
      </c>
      <c r="F3" s="46">
        <v>1</v>
      </c>
      <c r="H3" s="4"/>
      <c r="L3" s="9"/>
      <c r="M3" s="9"/>
    </row>
    <row r="4" spans="1:13" ht="15.75" x14ac:dyDescent="0.25">
      <c r="A4" s="43" t="s">
        <v>58</v>
      </c>
      <c r="B4" s="44" t="s">
        <v>59</v>
      </c>
      <c r="C4" s="45">
        <v>108</v>
      </c>
      <c r="D4" s="43">
        <v>1</v>
      </c>
      <c r="E4" s="55" t="s">
        <v>105</v>
      </c>
      <c r="F4" s="43">
        <v>1</v>
      </c>
      <c r="H4" s="4"/>
      <c r="I4" s="5"/>
      <c r="K4" s="49"/>
      <c r="L4" s="49" t="s">
        <v>2</v>
      </c>
      <c r="M4" s="49"/>
    </row>
    <row r="5" spans="1:13" ht="15.75" x14ac:dyDescent="0.25">
      <c r="A5" s="46" t="s">
        <v>60</v>
      </c>
      <c r="B5" s="47" t="s">
        <v>57</v>
      </c>
      <c r="C5" s="48">
        <v>110</v>
      </c>
      <c r="D5" s="46">
        <v>1</v>
      </c>
      <c r="E5" s="56" t="s">
        <v>106</v>
      </c>
      <c r="F5" s="46">
        <v>1</v>
      </c>
      <c r="H5" s="6"/>
      <c r="I5" s="1"/>
      <c r="K5" s="49" t="s">
        <v>162</v>
      </c>
      <c r="L5" s="49" t="s">
        <v>10</v>
      </c>
      <c r="M5" s="49" t="s">
        <v>4</v>
      </c>
    </row>
    <row r="6" spans="1:13" ht="15.75" x14ac:dyDescent="0.25">
      <c r="A6" s="43" t="s">
        <v>61</v>
      </c>
      <c r="B6" s="44" t="s">
        <v>62</v>
      </c>
      <c r="C6" s="45">
        <v>116</v>
      </c>
      <c r="D6" s="43">
        <v>6</v>
      </c>
      <c r="E6" s="55" t="s">
        <v>107</v>
      </c>
      <c r="F6" s="43">
        <v>6</v>
      </c>
      <c r="H6" s="6"/>
      <c r="I6" s="7"/>
      <c r="K6" s="51" t="str">
        <f>SUBSTITUTE(SUBSTITUTE(SUBSTITUTE(K5,".",""),"-",""),"/","")</f>
        <v>06315338017780</v>
      </c>
      <c r="L6" s="66" t="s">
        <v>162</v>
      </c>
      <c r="M6" s="50">
        <v>2</v>
      </c>
    </row>
    <row r="7" spans="1:13" ht="15.75" x14ac:dyDescent="0.25">
      <c r="A7" s="46" t="s">
        <v>63</v>
      </c>
      <c r="B7" s="47" t="s">
        <v>64</v>
      </c>
      <c r="C7" s="48">
        <v>131</v>
      </c>
      <c r="D7" s="46">
        <v>2</v>
      </c>
      <c r="E7" s="56" t="s">
        <v>109</v>
      </c>
      <c r="F7" s="46">
        <v>2</v>
      </c>
      <c r="H7" s="4"/>
      <c r="K7" s="49">
        <f>IFERROR(VLOOKUP(K6,E2:F99,2,0),1)</f>
        <v>1</v>
      </c>
    </row>
    <row r="8" spans="1:13" ht="15.75" x14ac:dyDescent="0.25">
      <c r="A8" s="43" t="s">
        <v>65</v>
      </c>
      <c r="B8" s="44" t="s">
        <v>66</v>
      </c>
      <c r="C8" s="45">
        <v>135</v>
      </c>
      <c r="D8" s="43">
        <v>1</v>
      </c>
      <c r="E8" s="55" t="s">
        <v>108</v>
      </c>
      <c r="F8" s="43">
        <v>1</v>
      </c>
      <c r="K8" s="49"/>
    </row>
    <row r="9" spans="1:13" ht="15.75" x14ac:dyDescent="0.25">
      <c r="A9" s="46" t="s">
        <v>67</v>
      </c>
      <c r="B9" s="47" t="s">
        <v>57</v>
      </c>
      <c r="C9" s="48">
        <v>137</v>
      </c>
      <c r="D9" s="46">
        <v>1</v>
      </c>
      <c r="E9" s="56" t="s">
        <v>110</v>
      </c>
      <c r="F9" s="46">
        <v>1</v>
      </c>
      <c r="K9" s="49"/>
    </row>
    <row r="10" spans="1:13" ht="15.75" x14ac:dyDescent="0.25">
      <c r="A10" s="43" t="s">
        <v>68</v>
      </c>
      <c r="B10" s="44" t="s">
        <v>66</v>
      </c>
      <c r="C10" s="45">
        <v>139</v>
      </c>
      <c r="D10" s="43">
        <v>1</v>
      </c>
      <c r="E10" s="55" t="s">
        <v>111</v>
      </c>
      <c r="F10" s="43">
        <v>1</v>
      </c>
      <c r="K10" s="49"/>
    </row>
    <row r="11" spans="1:13" ht="15.75" x14ac:dyDescent="0.25">
      <c r="A11" s="46" t="s">
        <v>69</v>
      </c>
      <c r="B11" s="47" t="s">
        <v>66</v>
      </c>
      <c r="C11" s="48">
        <v>144</v>
      </c>
      <c r="D11" s="46">
        <v>1</v>
      </c>
      <c r="E11" s="56" t="s">
        <v>112</v>
      </c>
      <c r="F11" s="46">
        <v>1</v>
      </c>
      <c r="K11" s="49"/>
    </row>
    <row r="12" spans="1:13" ht="15.75" x14ac:dyDescent="0.25">
      <c r="A12" s="43" t="s">
        <v>70</v>
      </c>
      <c r="B12" s="44" t="s">
        <v>66</v>
      </c>
      <c r="C12" s="45">
        <v>148</v>
      </c>
      <c r="D12" s="43">
        <v>1</v>
      </c>
      <c r="E12" s="55" t="s">
        <v>113</v>
      </c>
      <c r="F12" s="43">
        <v>1</v>
      </c>
      <c r="K12" s="49"/>
    </row>
    <row r="13" spans="1:13" ht="15.75" x14ac:dyDescent="0.25">
      <c r="A13" s="46" t="s">
        <v>71</v>
      </c>
      <c r="B13" s="47" t="s">
        <v>66</v>
      </c>
      <c r="C13" s="48">
        <v>179</v>
      </c>
      <c r="D13" s="46">
        <v>1</v>
      </c>
      <c r="E13" s="56" t="s">
        <v>114</v>
      </c>
      <c r="F13" s="46">
        <v>1</v>
      </c>
      <c r="K13" s="49"/>
    </row>
    <row r="14" spans="1:13" ht="15.75" x14ac:dyDescent="0.25">
      <c r="A14" s="43" t="s">
        <v>72</v>
      </c>
      <c r="B14" s="44" t="s">
        <v>73</v>
      </c>
      <c r="C14" s="45">
        <v>182</v>
      </c>
      <c r="D14" s="43">
        <v>1</v>
      </c>
      <c r="E14" s="55" t="s">
        <v>115</v>
      </c>
      <c r="F14" s="43">
        <v>1</v>
      </c>
      <c r="K14" s="49"/>
    </row>
    <row r="15" spans="1:13" ht="15.75" x14ac:dyDescent="0.25">
      <c r="A15" s="46" t="s">
        <v>74</v>
      </c>
      <c r="B15" s="47" t="s">
        <v>66</v>
      </c>
      <c r="C15" s="48">
        <v>190</v>
      </c>
      <c r="D15" s="46">
        <v>1</v>
      </c>
      <c r="E15" s="56" t="s">
        <v>116</v>
      </c>
      <c r="F15" s="46">
        <v>1</v>
      </c>
      <c r="K15" s="49"/>
    </row>
    <row r="16" spans="1:13" ht="15.75" x14ac:dyDescent="0.25">
      <c r="A16" s="43" t="s">
        <v>75</v>
      </c>
      <c r="B16" s="44" t="s">
        <v>66</v>
      </c>
      <c r="C16" s="45">
        <v>192</v>
      </c>
      <c r="D16" s="43">
        <v>1</v>
      </c>
      <c r="E16" s="55" t="s">
        <v>117</v>
      </c>
      <c r="F16" s="43">
        <v>1</v>
      </c>
    </row>
    <row r="17" spans="1:6" ht="15.75" x14ac:dyDescent="0.25">
      <c r="A17" s="46" t="s">
        <v>76</v>
      </c>
      <c r="B17" s="47" t="s">
        <v>66</v>
      </c>
      <c r="C17" s="48">
        <v>193</v>
      </c>
      <c r="D17" s="46">
        <v>1</v>
      </c>
      <c r="E17" s="56" t="s">
        <v>118</v>
      </c>
      <c r="F17" s="46">
        <v>1</v>
      </c>
    </row>
    <row r="18" spans="1:6" ht="15.75" x14ac:dyDescent="0.25">
      <c r="A18" s="43" t="s">
        <v>77</v>
      </c>
      <c r="B18" s="44" t="s">
        <v>66</v>
      </c>
      <c r="C18" s="45">
        <v>194</v>
      </c>
      <c r="D18" s="43">
        <v>1</v>
      </c>
      <c r="E18" s="55" t="s">
        <v>119</v>
      </c>
      <c r="F18" s="43">
        <v>1</v>
      </c>
    </row>
    <row r="19" spans="1:6" ht="15.75" x14ac:dyDescent="0.25">
      <c r="A19" s="46" t="s">
        <v>78</v>
      </c>
      <c r="B19" s="47" t="s">
        <v>66</v>
      </c>
      <c r="C19" s="48">
        <v>195</v>
      </c>
      <c r="D19" s="46">
        <v>1</v>
      </c>
      <c r="E19" s="56" t="s">
        <v>120</v>
      </c>
      <c r="F19" s="46">
        <v>1</v>
      </c>
    </row>
    <row r="20" spans="1:6" ht="15.75" x14ac:dyDescent="0.25">
      <c r="A20" s="43" t="s">
        <v>79</v>
      </c>
      <c r="B20" s="44" t="s">
        <v>66</v>
      </c>
      <c r="C20" s="45">
        <v>196</v>
      </c>
      <c r="D20" s="43">
        <v>1</v>
      </c>
      <c r="E20" s="55" t="s">
        <v>121</v>
      </c>
      <c r="F20" s="43">
        <v>1</v>
      </c>
    </row>
    <row r="21" spans="1:6" ht="15.75" x14ac:dyDescent="0.25">
      <c r="A21" s="46" t="s">
        <v>80</v>
      </c>
      <c r="B21" s="47" t="s">
        <v>66</v>
      </c>
      <c r="C21" s="48">
        <v>197</v>
      </c>
      <c r="D21" s="46">
        <v>1</v>
      </c>
      <c r="E21" s="56" t="s">
        <v>122</v>
      </c>
      <c r="F21" s="46">
        <v>1</v>
      </c>
    </row>
    <row r="22" spans="1:6" ht="15.75" x14ac:dyDescent="0.25">
      <c r="A22" s="43" t="s">
        <v>81</v>
      </c>
      <c r="B22" s="44" t="s">
        <v>66</v>
      </c>
      <c r="C22" s="45">
        <v>198</v>
      </c>
      <c r="D22" s="43">
        <v>1</v>
      </c>
      <c r="E22" s="55" t="s">
        <v>123</v>
      </c>
      <c r="F22" s="43">
        <v>1</v>
      </c>
    </row>
    <row r="23" spans="1:6" ht="15.75" x14ac:dyDescent="0.25">
      <c r="A23" s="46" t="s">
        <v>82</v>
      </c>
      <c r="B23" s="47" t="s">
        <v>57</v>
      </c>
      <c r="C23" s="48">
        <v>201</v>
      </c>
      <c r="D23" s="46">
        <v>1</v>
      </c>
      <c r="E23" s="56" t="s">
        <v>124</v>
      </c>
      <c r="F23" s="46">
        <v>1</v>
      </c>
    </row>
    <row r="24" spans="1:6" ht="15.75" x14ac:dyDescent="0.25">
      <c r="A24" s="43" t="s">
        <v>83</v>
      </c>
      <c r="B24" s="44" t="s">
        <v>59</v>
      </c>
      <c r="C24" s="45">
        <v>203</v>
      </c>
      <c r="D24" s="43">
        <v>1</v>
      </c>
      <c r="E24" s="55" t="s">
        <v>125</v>
      </c>
      <c r="F24" s="43">
        <v>1</v>
      </c>
    </row>
    <row r="25" spans="1:6" ht="15.75" x14ac:dyDescent="0.25">
      <c r="A25" s="46" t="s">
        <v>84</v>
      </c>
      <c r="B25" s="47" t="s">
        <v>59</v>
      </c>
      <c r="C25" s="48">
        <v>204</v>
      </c>
      <c r="D25" s="46">
        <v>1</v>
      </c>
      <c r="E25" s="56" t="s">
        <v>126</v>
      </c>
      <c r="F25" s="46">
        <v>1</v>
      </c>
    </row>
    <row r="26" spans="1:6" ht="15.75" x14ac:dyDescent="0.25">
      <c r="A26" s="43" t="s">
        <v>85</v>
      </c>
      <c r="B26" s="44" t="s">
        <v>86</v>
      </c>
      <c r="C26" s="45">
        <v>206</v>
      </c>
      <c r="D26" s="43">
        <v>1</v>
      </c>
      <c r="E26" s="55" t="s">
        <v>127</v>
      </c>
      <c r="F26" s="43">
        <v>1</v>
      </c>
    </row>
    <row r="27" spans="1:6" ht="15.75" x14ac:dyDescent="0.25">
      <c r="A27" s="46" t="s">
        <v>87</v>
      </c>
      <c r="B27" s="47" t="s">
        <v>86</v>
      </c>
      <c r="C27" s="48">
        <v>207</v>
      </c>
      <c r="D27" s="46">
        <v>1</v>
      </c>
      <c r="E27" s="56" t="s">
        <v>128</v>
      </c>
      <c r="F27" s="46">
        <v>1</v>
      </c>
    </row>
    <row r="28" spans="1:6" ht="15.75" x14ac:dyDescent="0.25">
      <c r="A28" s="43" t="s">
        <v>88</v>
      </c>
      <c r="B28" s="44" t="s">
        <v>66</v>
      </c>
      <c r="C28" s="45">
        <v>210</v>
      </c>
      <c r="D28" s="43">
        <v>1</v>
      </c>
      <c r="E28" s="55" t="s">
        <v>129</v>
      </c>
      <c r="F28" s="43">
        <v>1</v>
      </c>
    </row>
    <row r="29" spans="1:6" ht="15.75" x14ac:dyDescent="0.25">
      <c r="A29" s="46" t="s">
        <v>89</v>
      </c>
      <c r="B29" s="47" t="s">
        <v>90</v>
      </c>
      <c r="C29" s="48">
        <v>216</v>
      </c>
      <c r="D29" s="46">
        <v>1</v>
      </c>
      <c r="E29" s="56" t="s">
        <v>130</v>
      </c>
      <c r="F29" s="46">
        <v>1</v>
      </c>
    </row>
    <row r="30" spans="1:6" ht="15.75" x14ac:dyDescent="0.25">
      <c r="A30" s="43" t="s">
        <v>91</v>
      </c>
      <c r="B30" s="44" t="s">
        <v>92</v>
      </c>
      <c r="C30" s="45">
        <v>218</v>
      </c>
      <c r="D30" s="43">
        <v>1</v>
      </c>
      <c r="E30" s="55" t="s">
        <v>131</v>
      </c>
      <c r="F30" s="43">
        <v>1</v>
      </c>
    </row>
    <row r="31" spans="1:6" ht="15.75" x14ac:dyDescent="0.25">
      <c r="A31" s="46" t="s">
        <v>93</v>
      </c>
      <c r="B31" s="47" t="s">
        <v>55</v>
      </c>
      <c r="C31" s="48">
        <v>222</v>
      </c>
      <c r="D31" s="46">
        <v>1</v>
      </c>
      <c r="E31" s="56" t="s">
        <v>132</v>
      </c>
      <c r="F31" s="46">
        <v>1</v>
      </c>
    </row>
    <row r="32" spans="1:6" ht="15.75" x14ac:dyDescent="0.25">
      <c r="A32" s="43" t="s">
        <v>94</v>
      </c>
      <c r="B32" s="44" t="s">
        <v>66</v>
      </c>
      <c r="C32" s="45">
        <v>906</v>
      </c>
      <c r="D32" s="43">
        <v>1</v>
      </c>
      <c r="E32" s="55" t="s">
        <v>133</v>
      </c>
      <c r="F32" s="43">
        <v>1</v>
      </c>
    </row>
    <row r="33" spans="1:6" ht="15.75" x14ac:dyDescent="0.25">
      <c r="A33" s="46" t="s">
        <v>95</v>
      </c>
      <c r="B33" s="47" t="s">
        <v>59</v>
      </c>
      <c r="C33" s="48">
        <v>908</v>
      </c>
      <c r="D33" s="46">
        <v>1</v>
      </c>
      <c r="E33" s="56" t="s">
        <v>134</v>
      </c>
      <c r="F33" s="46">
        <v>1</v>
      </c>
    </row>
    <row r="34" spans="1:6" ht="15.75" x14ac:dyDescent="0.25">
      <c r="A34" s="43" t="s">
        <v>96</v>
      </c>
      <c r="B34" s="44" t="s">
        <v>66</v>
      </c>
      <c r="C34" s="45">
        <v>911</v>
      </c>
      <c r="D34" s="43">
        <v>1</v>
      </c>
      <c r="E34" s="55" t="s">
        <v>135</v>
      </c>
      <c r="F34" s="43">
        <v>1</v>
      </c>
    </row>
    <row r="35" spans="1:6" ht="15.75" x14ac:dyDescent="0.25">
      <c r="A35" s="46" t="s">
        <v>97</v>
      </c>
      <c r="B35" s="47" t="s">
        <v>66</v>
      </c>
      <c r="C35" s="48">
        <v>914</v>
      </c>
      <c r="D35" s="46">
        <v>1</v>
      </c>
      <c r="E35" s="56" t="s">
        <v>136</v>
      </c>
      <c r="F35" s="46">
        <v>1</v>
      </c>
    </row>
    <row r="36" spans="1:6" ht="15.75" x14ac:dyDescent="0.25">
      <c r="A36" s="43" t="s">
        <v>74</v>
      </c>
      <c r="B36" s="44" t="s">
        <v>66</v>
      </c>
      <c r="C36" s="45">
        <v>915</v>
      </c>
      <c r="D36" s="43">
        <v>1</v>
      </c>
      <c r="E36" s="55" t="s">
        <v>137</v>
      </c>
      <c r="F36" s="43">
        <v>1</v>
      </c>
    </row>
    <row r="37" spans="1:6" ht="15.75" x14ac:dyDescent="0.25">
      <c r="A37" s="46" t="s">
        <v>94</v>
      </c>
      <c r="B37" s="47" t="s">
        <v>66</v>
      </c>
      <c r="C37" s="48">
        <v>930</v>
      </c>
      <c r="D37" s="46">
        <v>10</v>
      </c>
      <c r="E37" s="56" t="s">
        <v>138</v>
      </c>
      <c r="F37" s="46">
        <v>10</v>
      </c>
    </row>
    <row r="38" spans="1:6" ht="15.75" x14ac:dyDescent="0.25">
      <c r="A38" s="43" t="s">
        <v>98</v>
      </c>
      <c r="B38" s="44" t="s">
        <v>66</v>
      </c>
      <c r="C38" s="45">
        <v>932</v>
      </c>
      <c r="D38" s="43">
        <v>1</v>
      </c>
      <c r="E38" s="55" t="s">
        <v>139</v>
      </c>
      <c r="F38" s="43">
        <v>1</v>
      </c>
    </row>
    <row r="39" spans="1:6" ht="15.75" x14ac:dyDescent="0.25">
      <c r="A39" s="46" t="s">
        <v>99</v>
      </c>
      <c r="B39" s="47" t="s">
        <v>66</v>
      </c>
      <c r="C39" s="48">
        <v>934</v>
      </c>
      <c r="D39" s="46">
        <v>1</v>
      </c>
      <c r="E39" s="56" t="s">
        <v>140</v>
      </c>
      <c r="F39" s="46">
        <v>1</v>
      </c>
    </row>
    <row r="40" spans="1:6" ht="15.75" x14ac:dyDescent="0.25">
      <c r="A40" s="43" t="s">
        <v>100</v>
      </c>
      <c r="B40" s="44" t="s">
        <v>66</v>
      </c>
      <c r="C40" s="45">
        <v>949</v>
      </c>
      <c r="D40" s="43">
        <v>1</v>
      </c>
      <c r="E40" s="55" t="s">
        <v>141</v>
      </c>
      <c r="F40" s="43">
        <v>1</v>
      </c>
    </row>
    <row r="41" spans="1:6" ht="15.75" x14ac:dyDescent="0.25">
      <c r="A41" s="46" t="s">
        <v>101</v>
      </c>
      <c r="B41" s="47" t="s">
        <v>66</v>
      </c>
      <c r="C41" s="48">
        <v>984</v>
      </c>
      <c r="D41" s="46">
        <v>1</v>
      </c>
      <c r="E41" s="56" t="s">
        <v>142</v>
      </c>
      <c r="F41" s="46">
        <v>1</v>
      </c>
    </row>
    <row r="42" spans="1:6" ht="15.75" x14ac:dyDescent="0.25">
      <c r="A42" s="43" t="s">
        <v>102</v>
      </c>
      <c r="B42" s="44" t="s">
        <v>66</v>
      </c>
      <c r="C42" s="45">
        <v>985</v>
      </c>
      <c r="D42" s="43">
        <v>1</v>
      </c>
      <c r="E42" s="55" t="s">
        <v>143</v>
      </c>
      <c r="F42" s="43">
        <v>1</v>
      </c>
    </row>
    <row r="43" spans="1:6" x14ac:dyDescent="0.25">
      <c r="A43"/>
    </row>
    <row r="44" spans="1:6" x14ac:dyDescent="0.25">
      <c r="A44"/>
    </row>
    <row r="45" spans="1:6" x14ac:dyDescent="0.25">
      <c r="A45"/>
    </row>
    <row r="46" spans="1:6" x14ac:dyDescent="0.25">
      <c r="A46"/>
    </row>
    <row r="47" spans="1:6" x14ac:dyDescent="0.25">
      <c r="A47"/>
    </row>
    <row r="48" spans="1:6" x14ac:dyDescent="0.25">
      <c r="A48"/>
    </row>
    <row r="49" spans="1:1" x14ac:dyDescent="0.25">
      <c r="A49"/>
    </row>
    <row r="50" spans="1:1" x14ac:dyDescent="0.25">
      <c r="A50" s="1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6" x14ac:dyDescent="0.25">
      <c r="A65"/>
    </row>
    <row r="66" spans="1:6" x14ac:dyDescent="0.25">
      <c r="A66"/>
    </row>
    <row r="67" spans="1:6" x14ac:dyDescent="0.25">
      <c r="A67"/>
    </row>
    <row r="68" spans="1:6" x14ac:dyDescent="0.25">
      <c r="A68"/>
    </row>
    <row r="69" spans="1:6" x14ac:dyDescent="0.25">
      <c r="A69"/>
    </row>
    <row r="70" spans="1:6" x14ac:dyDescent="0.25">
      <c r="A70"/>
    </row>
    <row r="71" spans="1:6" x14ac:dyDescent="0.25">
      <c r="A71"/>
    </row>
    <row r="72" spans="1:6" x14ac:dyDescent="0.25">
      <c r="A72"/>
    </row>
    <row r="73" spans="1:6" x14ac:dyDescent="0.25">
      <c r="A73"/>
    </row>
    <row r="74" spans="1:6" x14ac:dyDescent="0.25">
      <c r="A74"/>
    </row>
    <row r="75" spans="1:6" x14ac:dyDescent="0.25">
      <c r="A75"/>
    </row>
    <row r="76" spans="1:6" x14ac:dyDescent="0.25">
      <c r="A76"/>
    </row>
    <row r="77" spans="1:6" x14ac:dyDescent="0.25">
      <c r="A77"/>
    </row>
    <row r="78" spans="1:6" x14ac:dyDescent="0.25">
      <c r="A78"/>
      <c r="D78" s="10"/>
      <c r="F78" s="10"/>
    </row>
    <row r="79" spans="1:6" x14ac:dyDescent="0.25">
      <c r="A79"/>
    </row>
    <row r="80" spans="1:6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8" x14ac:dyDescent="0.25">
      <c r="A97"/>
    </row>
    <row r="98" spans="1:8" x14ac:dyDescent="0.25">
      <c r="A98"/>
    </row>
    <row r="99" spans="1:8" x14ac:dyDescent="0.25">
      <c r="A99"/>
    </row>
    <row r="100" spans="1:8" x14ac:dyDescent="0.25">
      <c r="A100"/>
    </row>
    <row r="107" spans="1:8" x14ac:dyDescent="0.25">
      <c r="D107" t="e">
        <f>IF([1]BASE!D108="","",[1]BASE!D108)</f>
        <v>#REF!</v>
      </c>
      <c r="E107" t="e">
        <f>IF([1]BASE!E108="","",[1]BASE!E108)</f>
        <v>#REF!</v>
      </c>
      <c r="F107" t="e">
        <f>IF([1]BASE!F108="","",[1]BASE!F108)</f>
        <v>#REF!</v>
      </c>
      <c r="G107" t="e">
        <f>IF([1]BASE!G108="","",[1]BASE!G108)</f>
        <v>#REF!</v>
      </c>
      <c r="H107" t="e">
        <f>IF([1]BASE!H108="","",[1]BASE!H108)</f>
        <v>#REF!</v>
      </c>
    </row>
    <row r="108" spans="1:8" x14ac:dyDescent="0.25">
      <c r="D108" t="e">
        <f>IF([1]BASE!D109="","",[1]BASE!D109)</f>
        <v>#REF!</v>
      </c>
      <c r="E108" t="e">
        <f>IF([1]BASE!E109="","",[1]BASE!E109)</f>
        <v>#REF!</v>
      </c>
      <c r="F108" t="e">
        <f>IF([1]BASE!F109="","",[1]BASE!F109)</f>
        <v>#REF!</v>
      </c>
      <c r="G108" t="e">
        <f>IF([1]BASE!G109="","",[1]BASE!G109)</f>
        <v>#REF!</v>
      </c>
      <c r="H108" t="e">
        <f>IF([1]BASE!H109="","",[1]BASE!H109)</f>
        <v>#REF!</v>
      </c>
    </row>
    <row r="109" spans="1:8" x14ac:dyDescent="0.25">
      <c r="D109" t="e">
        <f>IF([1]BASE!D110="","",[1]BASE!D110)</f>
        <v>#REF!</v>
      </c>
      <c r="E109" t="e">
        <f>IF([1]BASE!E110="","",[1]BASE!E110)</f>
        <v>#REF!</v>
      </c>
      <c r="F109" t="e">
        <f>IF([1]BASE!F110="","",[1]BASE!F110)</f>
        <v>#REF!</v>
      </c>
      <c r="G109" t="e">
        <f>IF([1]BASE!G110="","",[1]BASE!G110)</f>
        <v>#REF!</v>
      </c>
      <c r="H109" t="e">
        <f>IF([1]BASE!H110="","",[1]BASE!H110)</f>
        <v>#REF!</v>
      </c>
    </row>
    <row r="110" spans="1:8" x14ac:dyDescent="0.25">
      <c r="D110" t="e">
        <f>IF([1]BASE!D111="","",[1]BASE!D111)</f>
        <v>#REF!</v>
      </c>
      <c r="E110" t="e">
        <f>IF([1]BASE!E111="","",[1]BASE!E111)</f>
        <v>#REF!</v>
      </c>
      <c r="F110" t="e">
        <f>IF([1]BASE!F111="","",[1]BASE!F111)</f>
        <v>#REF!</v>
      </c>
      <c r="G110" t="e">
        <f>IF([1]BASE!G111="","",[1]BASE!G111)</f>
        <v>#REF!</v>
      </c>
      <c r="H110" t="e">
        <f>IF([1]BASE!H111="","",[1]BASE!H111)</f>
        <v>#REF!</v>
      </c>
    </row>
    <row r="111" spans="1:8" x14ac:dyDescent="0.25">
      <c r="D111" t="e">
        <f>IF([1]BASE!D112="","",[1]BASE!D112)</f>
        <v>#REF!</v>
      </c>
      <c r="E111" t="e">
        <f>IF([1]BASE!E112="","",[1]BASE!E112)</f>
        <v>#REF!</v>
      </c>
      <c r="F111" t="e">
        <f>IF([1]BASE!F112="","",[1]BASE!F112)</f>
        <v>#REF!</v>
      </c>
      <c r="G111" t="e">
        <f>IF([1]BASE!G112="","",[1]BASE!G112)</f>
        <v>#REF!</v>
      </c>
      <c r="H111" t="e">
        <f>IF([1]BASE!H112="","",[1]BASE!H112)</f>
        <v>#REF!</v>
      </c>
    </row>
    <row r="112" spans="1:8" x14ac:dyDescent="0.25">
      <c r="D112" t="e">
        <f>IF([1]BASE!D113="","",[1]BASE!D113)</f>
        <v>#REF!</v>
      </c>
      <c r="E112" t="e">
        <f>IF([1]BASE!E113="","",[1]BASE!E113)</f>
        <v>#REF!</v>
      </c>
      <c r="F112" t="e">
        <f>IF([1]BASE!F113="","",[1]BASE!F113)</f>
        <v>#REF!</v>
      </c>
      <c r="G112" t="e">
        <f>IF([1]BASE!G113="","",[1]BASE!G113)</f>
        <v>#REF!</v>
      </c>
      <c r="H112" t="e">
        <f>IF([1]BASE!H113="","",[1]BASE!H113)</f>
        <v>#REF!</v>
      </c>
    </row>
    <row r="113" spans="4:8" x14ac:dyDescent="0.25">
      <c r="D113" t="e">
        <f>IF([1]BASE!D114="","",[1]BASE!D114)</f>
        <v>#REF!</v>
      </c>
      <c r="E113" t="e">
        <f>IF([1]BASE!E114="","",[1]BASE!E114)</f>
        <v>#REF!</v>
      </c>
      <c r="F113" t="e">
        <f>IF([1]BASE!F114="","",[1]BASE!F114)</f>
        <v>#REF!</v>
      </c>
      <c r="G113" t="e">
        <f>IF([1]BASE!G114="","",[1]BASE!G114)</f>
        <v>#REF!</v>
      </c>
      <c r="H113" t="e">
        <f>IF([1]BASE!H114="","",[1]BASE!H114)</f>
        <v>#REF!</v>
      </c>
    </row>
    <row r="114" spans="4:8" x14ac:dyDescent="0.25">
      <c r="D114" t="e">
        <f>IF([1]BASE!D115="","",[1]BASE!D115)</f>
        <v>#REF!</v>
      </c>
      <c r="E114" t="e">
        <f>IF([1]BASE!E115="","",[1]BASE!E115)</f>
        <v>#REF!</v>
      </c>
      <c r="F114" t="e">
        <f>IF([1]BASE!F115="","",[1]BASE!F115)</f>
        <v>#REF!</v>
      </c>
      <c r="G114" t="e">
        <f>IF([1]BASE!G115="","",[1]BASE!G115)</f>
        <v>#REF!</v>
      </c>
      <c r="H114" t="e">
        <f>IF([1]BASE!H115="","",[1]BASE!H115)</f>
        <v>#REF!</v>
      </c>
    </row>
    <row r="115" spans="4:8" x14ac:dyDescent="0.25">
      <c r="D115" t="e">
        <f>IF([1]BASE!D116="","",[1]BASE!D116)</f>
        <v>#REF!</v>
      </c>
      <c r="E115" t="e">
        <f>IF([1]BASE!E116="","",[1]BASE!E116)</f>
        <v>#REF!</v>
      </c>
      <c r="F115" t="e">
        <f>IF([1]BASE!F116="","",[1]BASE!F116)</f>
        <v>#REF!</v>
      </c>
      <c r="G115" t="e">
        <f>IF([1]BASE!G116="","",[1]BASE!G116)</f>
        <v>#REF!</v>
      </c>
      <c r="H115" t="e">
        <f>IF([1]BASE!H116="","",[1]BASE!H116)</f>
        <v>#REF!</v>
      </c>
    </row>
    <row r="116" spans="4:8" x14ac:dyDescent="0.25">
      <c r="D116" t="e">
        <f>IF([1]BASE!D117="","",[1]BASE!D117)</f>
        <v>#REF!</v>
      </c>
      <c r="E116" t="e">
        <f>IF([1]BASE!E117="","",[1]BASE!E117)</f>
        <v>#REF!</v>
      </c>
      <c r="F116" t="e">
        <f>IF([1]BASE!F117="","",[1]BASE!F117)</f>
        <v>#REF!</v>
      </c>
      <c r="G116" t="e">
        <f>IF([1]BASE!G117="","",[1]BASE!G117)</f>
        <v>#REF!</v>
      </c>
      <c r="H116" t="e">
        <f>IF([1]BASE!H117="","",[1]BASE!H117)</f>
        <v>#REF!</v>
      </c>
    </row>
    <row r="117" spans="4:8" x14ac:dyDescent="0.25">
      <c r="D117" t="e">
        <f>IF([1]BASE!D118="","",[1]BASE!D118)</f>
        <v>#REF!</v>
      </c>
      <c r="E117" t="e">
        <f>IF([1]BASE!E118="","",[1]BASE!E118)</f>
        <v>#REF!</v>
      </c>
      <c r="F117" t="e">
        <f>IF([1]BASE!F118="","",[1]BASE!F118)</f>
        <v>#REF!</v>
      </c>
      <c r="G117" t="e">
        <f>IF([1]BASE!G118="","",[1]BASE!G118)</f>
        <v>#REF!</v>
      </c>
      <c r="H117" t="e">
        <f>IF([1]BASE!H118="","",[1]BASE!H118)</f>
        <v>#REF!</v>
      </c>
    </row>
    <row r="118" spans="4:8" x14ac:dyDescent="0.25">
      <c r="D118" t="e">
        <f>IF([1]BASE!D119="","",[1]BASE!D119)</f>
        <v>#REF!</v>
      </c>
      <c r="E118" t="e">
        <f>IF([1]BASE!E119="","",[1]BASE!E119)</f>
        <v>#REF!</v>
      </c>
      <c r="F118" t="e">
        <f>IF([1]BASE!F119="","",[1]BASE!F119)</f>
        <v>#REF!</v>
      </c>
      <c r="G118" t="e">
        <f>IF([1]BASE!G119="","",[1]BASE!G119)</f>
        <v>#REF!</v>
      </c>
      <c r="H118" t="e">
        <f>IF([1]BASE!H119="","",[1]BASE!H119)</f>
        <v>#REF!</v>
      </c>
    </row>
    <row r="119" spans="4:8" x14ac:dyDescent="0.25">
      <c r="D119" t="e">
        <f>IF([1]BASE!D120="","",[1]BASE!D120)</f>
        <v>#REF!</v>
      </c>
      <c r="E119" t="e">
        <f>IF([1]BASE!E120="","",[1]BASE!E120)</f>
        <v>#REF!</v>
      </c>
      <c r="F119" t="e">
        <f>IF([1]BASE!F120="","",[1]BASE!F120)</f>
        <v>#REF!</v>
      </c>
      <c r="G119" t="e">
        <f>IF([1]BASE!G120="","",[1]BASE!G120)</f>
        <v>#REF!</v>
      </c>
      <c r="H119" t="e">
        <f>IF([1]BASE!H120="","",[1]BASE!H120)</f>
        <v>#REF!</v>
      </c>
    </row>
    <row r="120" spans="4:8" x14ac:dyDescent="0.25">
      <c r="D120" t="e">
        <f>IF([1]BASE!D121="","",[1]BASE!D121)</f>
        <v>#REF!</v>
      </c>
      <c r="E120" t="e">
        <f>IF([1]BASE!E121="","",[1]BASE!E121)</f>
        <v>#REF!</v>
      </c>
      <c r="F120" t="e">
        <f>IF([1]BASE!F121="","",[1]BASE!F121)</f>
        <v>#REF!</v>
      </c>
      <c r="G120" t="e">
        <f>IF([1]BASE!G121="","",[1]BASE!G121)</f>
        <v>#REF!</v>
      </c>
      <c r="H120" t="e">
        <f>IF([1]BASE!H121="","",[1]BASE!H121)</f>
        <v>#REF!</v>
      </c>
    </row>
    <row r="121" spans="4:8" x14ac:dyDescent="0.25">
      <c r="D121" t="e">
        <f>IF([1]BASE!D122="","",[1]BASE!D122)</f>
        <v>#REF!</v>
      </c>
      <c r="E121" t="e">
        <f>IF([1]BASE!E122="","",[1]BASE!E122)</f>
        <v>#REF!</v>
      </c>
      <c r="F121" t="e">
        <f>IF([1]BASE!F122="","",[1]BASE!F122)</f>
        <v>#REF!</v>
      </c>
      <c r="G121" t="e">
        <f>IF([1]BASE!G122="","",[1]BASE!G122)</f>
        <v>#REF!</v>
      </c>
      <c r="H121" t="e">
        <f>IF([1]BASE!H122="","",[1]BASE!H122)</f>
        <v>#REF!</v>
      </c>
    </row>
    <row r="122" spans="4:8" x14ac:dyDescent="0.25">
      <c r="D122" t="e">
        <f>IF([1]BASE!D123="","",[1]BASE!D123)</f>
        <v>#REF!</v>
      </c>
      <c r="E122" t="e">
        <f>IF([1]BASE!E123="","",[1]BASE!E123)</f>
        <v>#REF!</v>
      </c>
      <c r="F122" t="e">
        <f>IF([1]BASE!F123="","",[1]BASE!F123)</f>
        <v>#REF!</v>
      </c>
      <c r="G122" t="e">
        <f>IF([1]BASE!G123="","",[1]BASE!G123)</f>
        <v>#REF!</v>
      </c>
      <c r="H122" t="e">
        <f>IF([1]BASE!H123="","",[1]BASE!H123)</f>
        <v>#REF!</v>
      </c>
    </row>
    <row r="123" spans="4:8" x14ac:dyDescent="0.25">
      <c r="D123" t="e">
        <f>IF([1]BASE!D124="","",[1]BASE!D124)</f>
        <v>#REF!</v>
      </c>
      <c r="E123" t="e">
        <f>IF([1]BASE!E124="","",[1]BASE!E124)</f>
        <v>#REF!</v>
      </c>
      <c r="F123" t="e">
        <f>IF([1]BASE!F124="","",[1]BASE!F124)</f>
        <v>#REF!</v>
      </c>
      <c r="G123" t="e">
        <f>IF([1]BASE!G124="","",[1]BASE!G124)</f>
        <v>#REF!</v>
      </c>
      <c r="H123" t="e">
        <f>IF([1]BASE!H124="","",[1]BASE!H124)</f>
        <v>#REF!</v>
      </c>
    </row>
    <row r="124" spans="4:8" x14ac:dyDescent="0.25">
      <c r="D124" t="e">
        <f>IF([1]BASE!D125="","",[1]BASE!D125)</f>
        <v>#REF!</v>
      </c>
      <c r="E124" t="e">
        <f>IF([1]BASE!E125="","",[1]BASE!E125)</f>
        <v>#REF!</v>
      </c>
      <c r="F124" t="e">
        <f>IF([1]BASE!F125="","",[1]BASE!F125)</f>
        <v>#REF!</v>
      </c>
      <c r="G124" t="e">
        <f>IF([1]BASE!G125="","",[1]BASE!G125)</f>
        <v>#REF!</v>
      </c>
      <c r="H124" t="e">
        <f>IF([1]BASE!H125="","",[1]BASE!H125)</f>
        <v>#REF!</v>
      </c>
    </row>
    <row r="125" spans="4:8" x14ac:dyDescent="0.25">
      <c r="D125" t="e">
        <f>IF([1]BASE!D126="","",[1]BASE!D126)</f>
        <v>#REF!</v>
      </c>
      <c r="E125" t="e">
        <f>IF([1]BASE!E126="","",[1]BASE!E126)</f>
        <v>#REF!</v>
      </c>
      <c r="F125" t="e">
        <f>IF([1]BASE!F126="","",[1]BASE!F126)</f>
        <v>#REF!</v>
      </c>
      <c r="G125" t="e">
        <f>IF([1]BASE!G126="","",[1]BASE!G126)</f>
        <v>#REF!</v>
      </c>
      <c r="H125" t="e">
        <f>IF([1]BASE!H126="","",[1]BASE!H126)</f>
        <v>#REF!</v>
      </c>
    </row>
    <row r="126" spans="4:8" x14ac:dyDescent="0.25">
      <c r="D126" t="e">
        <f>IF([1]BASE!D127="","",[1]BASE!D127)</f>
        <v>#REF!</v>
      </c>
      <c r="E126" t="e">
        <f>IF([1]BASE!E127="","",[1]BASE!E127)</f>
        <v>#REF!</v>
      </c>
      <c r="F126" t="e">
        <f>IF([1]BASE!F127="","",[1]BASE!F127)</f>
        <v>#REF!</v>
      </c>
      <c r="G126" t="e">
        <f>IF([1]BASE!G127="","",[1]BASE!G127)</f>
        <v>#REF!</v>
      </c>
      <c r="H126" t="e">
        <f>IF([1]BASE!H127="","",[1]BASE!H127)</f>
        <v>#REF!</v>
      </c>
    </row>
    <row r="127" spans="4:8" x14ac:dyDescent="0.25">
      <c r="D127" t="e">
        <f>IF([1]BASE!D128="","",[1]BASE!D128)</f>
        <v>#REF!</v>
      </c>
      <c r="E127" t="e">
        <f>IF([1]BASE!E128="","",[1]BASE!E128)</f>
        <v>#REF!</v>
      </c>
      <c r="F127" t="e">
        <f>IF([1]BASE!F128="","",[1]BASE!F128)</f>
        <v>#REF!</v>
      </c>
      <c r="G127" t="e">
        <f>IF([1]BASE!G128="","",[1]BASE!G128)</f>
        <v>#REF!</v>
      </c>
      <c r="H127" t="e">
        <f>IF([1]BASE!H128="","",[1]BASE!H128)</f>
        <v>#REF!</v>
      </c>
    </row>
    <row r="128" spans="4:8" x14ac:dyDescent="0.25">
      <c r="D128" t="e">
        <f>IF([1]BASE!D129="","",[1]BASE!D129)</f>
        <v>#REF!</v>
      </c>
      <c r="E128" t="e">
        <f>IF([1]BASE!E129="","",[1]BASE!E129)</f>
        <v>#REF!</v>
      </c>
      <c r="F128" t="e">
        <f>IF([1]BASE!F129="","",[1]BASE!F129)</f>
        <v>#REF!</v>
      </c>
      <c r="G128" t="e">
        <f>IF([1]BASE!G129="","",[1]BASE!G129)</f>
        <v>#REF!</v>
      </c>
      <c r="H128" t="e">
        <f>IF([1]BASE!H129="","",[1]BASE!H129)</f>
        <v>#REF!</v>
      </c>
    </row>
    <row r="129" spans="4:8" x14ac:dyDescent="0.25">
      <c r="D129" t="e">
        <f>IF([1]BASE!D130="","",[1]BASE!D130)</f>
        <v>#REF!</v>
      </c>
      <c r="E129" t="e">
        <f>IF([1]BASE!E130="","",[1]BASE!E130)</f>
        <v>#REF!</v>
      </c>
      <c r="F129" t="e">
        <f>IF([1]BASE!F130="","",[1]BASE!F130)</f>
        <v>#REF!</v>
      </c>
      <c r="G129" t="e">
        <f>IF([1]BASE!G130="","",[1]BASE!G130)</f>
        <v>#REF!</v>
      </c>
      <c r="H129" t="e">
        <f>IF([1]BASE!H130="","",[1]BASE!H130)</f>
        <v>#REF!</v>
      </c>
    </row>
    <row r="130" spans="4:8" x14ac:dyDescent="0.25">
      <c r="D130" t="e">
        <f>IF([1]BASE!D131="","",[1]BASE!D131)</f>
        <v>#REF!</v>
      </c>
      <c r="E130" t="e">
        <f>IF([1]BASE!E131="","",[1]BASE!E131)</f>
        <v>#REF!</v>
      </c>
      <c r="F130" t="e">
        <f>IF([1]BASE!F131="","",[1]BASE!F131)</f>
        <v>#REF!</v>
      </c>
      <c r="G130" t="e">
        <f>IF([1]BASE!G131="","",[1]BASE!G131)</f>
        <v>#REF!</v>
      </c>
      <c r="H130" t="e">
        <f>IF([1]BASE!H131="","",[1]BASE!H131)</f>
        <v>#REF!</v>
      </c>
    </row>
    <row r="131" spans="4:8" x14ac:dyDescent="0.25">
      <c r="D131" t="e">
        <f>IF([1]BASE!D132="","",[1]BASE!D132)</f>
        <v>#REF!</v>
      </c>
      <c r="E131" t="e">
        <f>IF([1]BASE!E132="","",[1]BASE!E132)</f>
        <v>#REF!</v>
      </c>
      <c r="F131" t="e">
        <f>IF([1]BASE!F132="","",[1]BASE!F132)</f>
        <v>#REF!</v>
      </c>
      <c r="G131" t="e">
        <f>IF([1]BASE!G132="","",[1]BASE!G132)</f>
        <v>#REF!</v>
      </c>
      <c r="H131" t="e">
        <f>IF([1]BASE!H132="","",[1]BASE!H132)</f>
        <v>#REF!</v>
      </c>
    </row>
    <row r="132" spans="4:8" x14ac:dyDescent="0.25">
      <c r="D132" t="e">
        <f>IF([1]BASE!D133="","",[1]BASE!D133)</f>
        <v>#REF!</v>
      </c>
      <c r="E132" t="e">
        <f>IF([1]BASE!E133="","",[1]BASE!E133)</f>
        <v>#REF!</v>
      </c>
      <c r="F132" t="e">
        <f>IF([1]BASE!F133="","",[1]BASE!F133)</f>
        <v>#REF!</v>
      </c>
      <c r="G132" t="e">
        <f>IF([1]BASE!G133="","",[1]BASE!G133)</f>
        <v>#REF!</v>
      </c>
      <c r="H132" t="e">
        <f>IF([1]BASE!H133="","",[1]BASE!H133)</f>
        <v>#REF!</v>
      </c>
    </row>
    <row r="133" spans="4:8" x14ac:dyDescent="0.25">
      <c r="D133" t="e">
        <f>IF([1]BASE!D134="","",[1]BASE!D134)</f>
        <v>#REF!</v>
      </c>
      <c r="E133" t="e">
        <f>IF([1]BASE!E134="","",[1]BASE!E134)</f>
        <v>#REF!</v>
      </c>
      <c r="F133" t="e">
        <f>IF([1]BASE!F134="","",[1]BASE!F134)</f>
        <v>#REF!</v>
      </c>
      <c r="G133" t="e">
        <f>IF([1]BASE!G134="","",[1]BASE!G134)</f>
        <v>#REF!</v>
      </c>
      <c r="H133" t="e">
        <f>IF([1]BASE!H134="","",[1]BASE!H134)</f>
        <v>#REF!</v>
      </c>
    </row>
    <row r="134" spans="4:8" x14ac:dyDescent="0.25">
      <c r="D134" t="e">
        <f>IF([1]BASE!D135="","",[1]BASE!D135)</f>
        <v>#REF!</v>
      </c>
      <c r="E134" t="e">
        <f>IF([1]BASE!E135="","",[1]BASE!E135)</f>
        <v>#REF!</v>
      </c>
      <c r="F134" t="e">
        <f>IF([1]BASE!F135="","",[1]BASE!F135)</f>
        <v>#REF!</v>
      </c>
      <c r="G134" t="e">
        <f>IF([1]BASE!G135="","",[1]BASE!G135)</f>
        <v>#REF!</v>
      </c>
      <c r="H134" t="e">
        <f>IF([1]BASE!H135="","",[1]BASE!H135)</f>
        <v>#REF!</v>
      </c>
    </row>
    <row r="135" spans="4:8" x14ac:dyDescent="0.25">
      <c r="D135" t="e">
        <f>IF([1]BASE!D136="","",[1]BASE!D136)</f>
        <v>#REF!</v>
      </c>
      <c r="E135" t="e">
        <f>IF([1]BASE!E136="","",[1]BASE!E136)</f>
        <v>#REF!</v>
      </c>
      <c r="F135" t="e">
        <f>IF([1]BASE!F136="","",[1]BASE!F136)</f>
        <v>#REF!</v>
      </c>
      <c r="G135" t="e">
        <f>IF([1]BASE!G136="","",[1]BASE!G136)</f>
        <v>#REF!</v>
      </c>
      <c r="H135" t="e">
        <f>IF([1]BASE!H136="","",[1]BASE!H136)</f>
        <v>#REF!</v>
      </c>
    </row>
    <row r="136" spans="4:8" x14ac:dyDescent="0.25">
      <c r="D136" t="e">
        <f>IF([1]BASE!D137="","",[1]BASE!D137)</f>
        <v>#REF!</v>
      </c>
      <c r="E136" t="e">
        <f>IF([1]BASE!E137="","",[1]BASE!E137)</f>
        <v>#REF!</v>
      </c>
      <c r="F136" t="e">
        <f>IF([1]BASE!F137="","",[1]BASE!F137)</f>
        <v>#REF!</v>
      </c>
      <c r="G136" t="e">
        <f>IF([1]BASE!G137="","",[1]BASE!G137)</f>
        <v>#REF!</v>
      </c>
      <c r="H136" t="e">
        <f>IF([1]BASE!H137="","",[1]BASE!H137)</f>
        <v>#REF!</v>
      </c>
    </row>
    <row r="137" spans="4:8" x14ac:dyDescent="0.25">
      <c r="D137" t="e">
        <f>IF([1]BASE!D138="","",[1]BASE!D138)</f>
        <v>#REF!</v>
      </c>
      <c r="E137" t="e">
        <f>IF([1]BASE!E138="","",[1]BASE!E138)</f>
        <v>#REF!</v>
      </c>
      <c r="F137" t="e">
        <f>IF([1]BASE!F138="","",[1]BASE!F138)</f>
        <v>#REF!</v>
      </c>
      <c r="G137" t="e">
        <f>IF([1]BASE!G138="","",[1]BASE!G138)</f>
        <v>#REF!</v>
      </c>
      <c r="H137" t="e">
        <f>IF([1]BASE!H138="","",[1]BASE!H138)</f>
        <v>#REF!</v>
      </c>
    </row>
    <row r="138" spans="4:8" x14ac:dyDescent="0.25">
      <c r="D138" t="e">
        <f>IF([1]BASE!D139="","",[1]BASE!D139)</f>
        <v>#REF!</v>
      </c>
      <c r="E138" t="e">
        <f>IF([1]BASE!E139="","",[1]BASE!E139)</f>
        <v>#REF!</v>
      </c>
      <c r="F138" t="e">
        <f>IF([1]BASE!F139="","",[1]BASE!F139)</f>
        <v>#REF!</v>
      </c>
      <c r="G138" t="e">
        <f>IF([1]BASE!G139="","",[1]BASE!G139)</f>
        <v>#REF!</v>
      </c>
      <c r="H138" t="e">
        <f>IF([1]BASE!H139="","",[1]BASE!H139)</f>
        <v>#REF!</v>
      </c>
    </row>
    <row r="139" spans="4:8" x14ac:dyDescent="0.25">
      <c r="D139" t="e">
        <f>IF([1]BASE!D140="","",[1]BASE!D140)</f>
        <v>#REF!</v>
      </c>
      <c r="E139" t="e">
        <f>IF([1]BASE!E140="","",[1]BASE!E140)</f>
        <v>#REF!</v>
      </c>
      <c r="F139" t="e">
        <f>IF([1]BASE!F140="","",[1]BASE!F140)</f>
        <v>#REF!</v>
      </c>
      <c r="G139" t="e">
        <f>IF([1]BASE!G140="","",[1]BASE!G140)</f>
        <v>#REF!</v>
      </c>
      <c r="H139" t="e">
        <f>IF([1]BASE!H140="","",[1]BASE!H140)</f>
        <v>#REF!</v>
      </c>
    </row>
    <row r="140" spans="4:8" x14ac:dyDescent="0.25">
      <c r="D140" t="e">
        <f>IF([1]BASE!D141="","",[1]BASE!D141)</f>
        <v>#REF!</v>
      </c>
      <c r="E140" t="e">
        <f>IF([1]BASE!E141="","",[1]BASE!E141)</f>
        <v>#REF!</v>
      </c>
      <c r="F140" t="e">
        <f>IF([1]BASE!F141="","",[1]BASE!F141)</f>
        <v>#REF!</v>
      </c>
      <c r="G140" t="e">
        <f>IF([1]BASE!G141="","",[1]BASE!G141)</f>
        <v>#REF!</v>
      </c>
      <c r="H140" t="e">
        <f>IF([1]BASE!H141="","",[1]BASE!H141)</f>
        <v>#REF!</v>
      </c>
    </row>
    <row r="141" spans="4:8" x14ac:dyDescent="0.25">
      <c r="D141" t="e">
        <f>IF([1]BASE!D142="","",[1]BASE!D142)</f>
        <v>#REF!</v>
      </c>
      <c r="E141" t="e">
        <f>IF([1]BASE!E142="","",[1]BASE!E142)</f>
        <v>#REF!</v>
      </c>
      <c r="F141" t="e">
        <f>IF([1]BASE!F142="","",[1]BASE!F142)</f>
        <v>#REF!</v>
      </c>
      <c r="G141" t="e">
        <f>IF([1]BASE!G142="","",[1]BASE!G142)</f>
        <v>#REF!</v>
      </c>
      <c r="H141" t="e">
        <f>IF([1]BASE!H142="","",[1]BASE!H142)</f>
        <v>#REF!</v>
      </c>
    </row>
    <row r="142" spans="4:8" x14ac:dyDescent="0.25">
      <c r="D142" t="e">
        <f>IF([1]BASE!D143="","",[1]BASE!D143)</f>
        <v>#REF!</v>
      </c>
      <c r="E142" t="e">
        <f>IF([1]BASE!E143="","",[1]BASE!E143)</f>
        <v>#REF!</v>
      </c>
      <c r="F142" t="e">
        <f>IF([1]BASE!F143="","",[1]BASE!F143)</f>
        <v>#REF!</v>
      </c>
      <c r="G142" t="e">
        <f>IF([1]BASE!G143="","",[1]BASE!G143)</f>
        <v>#REF!</v>
      </c>
      <c r="H142" t="e">
        <f>IF([1]BASE!H143="","",[1]BASE!H143)</f>
        <v>#REF!</v>
      </c>
    </row>
    <row r="143" spans="4:8" x14ac:dyDescent="0.25">
      <c r="D143" t="e">
        <f>IF([1]BASE!D144="","",[1]BASE!D144)</f>
        <v>#REF!</v>
      </c>
      <c r="E143" t="e">
        <f>IF([1]BASE!E144="","",[1]BASE!E144)</f>
        <v>#REF!</v>
      </c>
      <c r="F143" t="e">
        <f>IF([1]BASE!F144="","",[1]BASE!F144)</f>
        <v>#REF!</v>
      </c>
      <c r="G143" t="e">
        <f>IF([1]BASE!G144="","",[1]BASE!G144)</f>
        <v>#REF!</v>
      </c>
      <c r="H143" t="e">
        <f>IF([1]BASE!H144="","",[1]BASE!H144)</f>
        <v>#REF!</v>
      </c>
    </row>
    <row r="144" spans="4:8" x14ac:dyDescent="0.25">
      <c r="D144" t="e">
        <f>IF([1]BASE!D145="","",[1]BASE!D145)</f>
        <v>#REF!</v>
      </c>
      <c r="E144" t="e">
        <f>IF([1]BASE!E145="","",[1]BASE!E145)</f>
        <v>#REF!</v>
      </c>
      <c r="F144" t="e">
        <f>IF([1]BASE!F145="","",[1]BASE!F145)</f>
        <v>#REF!</v>
      </c>
      <c r="G144" t="e">
        <f>IF([1]BASE!G145="","",[1]BASE!G145)</f>
        <v>#REF!</v>
      </c>
      <c r="H144" t="e">
        <f>IF([1]BASE!H145="","",[1]BASE!H145)</f>
        <v>#REF!</v>
      </c>
    </row>
    <row r="145" spans="4:8" x14ac:dyDescent="0.25">
      <c r="D145" t="e">
        <f>IF([1]BASE!D146="","",[1]BASE!D146)</f>
        <v>#REF!</v>
      </c>
      <c r="E145" t="e">
        <f>IF([1]BASE!E146="","",[1]BASE!E146)</f>
        <v>#REF!</v>
      </c>
      <c r="F145" t="e">
        <f>IF([1]BASE!F146="","",[1]BASE!F146)</f>
        <v>#REF!</v>
      </c>
      <c r="G145" t="e">
        <f>IF([1]BASE!G146="","",[1]BASE!G146)</f>
        <v>#REF!</v>
      </c>
      <c r="H145" t="e">
        <f>IF([1]BASE!H146="","",[1]BASE!H146)</f>
        <v>#REF!</v>
      </c>
    </row>
    <row r="146" spans="4:8" x14ac:dyDescent="0.25">
      <c r="D146" t="e">
        <f>IF([1]BASE!D147="","",[1]BASE!D147)</f>
        <v>#REF!</v>
      </c>
      <c r="E146" t="e">
        <f>IF([1]BASE!E147="","",[1]BASE!E147)</f>
        <v>#REF!</v>
      </c>
      <c r="F146" t="e">
        <f>IF([1]BASE!F147="","",[1]BASE!F147)</f>
        <v>#REF!</v>
      </c>
      <c r="G146" t="e">
        <f>IF([1]BASE!G147="","",[1]BASE!G147)</f>
        <v>#REF!</v>
      </c>
      <c r="H146" t="e">
        <f>IF([1]BASE!H147="","",[1]BASE!H147)</f>
        <v>#REF!</v>
      </c>
    </row>
    <row r="147" spans="4:8" x14ac:dyDescent="0.25">
      <c r="D147" t="e">
        <f>IF([1]BASE!D148="","",[1]BASE!D148)</f>
        <v>#REF!</v>
      </c>
      <c r="E147" t="e">
        <f>IF([1]BASE!E148="","",[1]BASE!E148)</f>
        <v>#REF!</v>
      </c>
      <c r="F147" t="e">
        <f>IF([1]BASE!F148="","",[1]BASE!F148)</f>
        <v>#REF!</v>
      </c>
      <c r="G147" t="e">
        <f>IF([1]BASE!G148="","",[1]BASE!G148)</f>
        <v>#REF!</v>
      </c>
      <c r="H147" t="e">
        <f>IF([1]BASE!H148="","",[1]BASE!H148)</f>
        <v>#REF!</v>
      </c>
    </row>
    <row r="148" spans="4:8" x14ac:dyDescent="0.25">
      <c r="D148" t="e">
        <f>IF([1]BASE!D149="","",[1]BASE!D149)</f>
        <v>#REF!</v>
      </c>
      <c r="E148" t="e">
        <f>IF([1]BASE!E149="","",[1]BASE!E149)</f>
        <v>#REF!</v>
      </c>
      <c r="F148" t="e">
        <f>IF([1]BASE!F149="","",[1]BASE!F149)</f>
        <v>#REF!</v>
      </c>
      <c r="G148" t="e">
        <f>IF([1]BASE!G149="","",[1]BASE!G149)</f>
        <v>#REF!</v>
      </c>
      <c r="H148" t="e">
        <f>IF([1]BASE!H149="","",[1]BASE!H149)</f>
        <v>#REF!</v>
      </c>
    </row>
    <row r="149" spans="4:8" x14ac:dyDescent="0.25">
      <c r="D149" t="e">
        <f>IF([1]BASE!D150="","",[1]BASE!D150)</f>
        <v>#REF!</v>
      </c>
      <c r="E149" t="e">
        <f>IF([1]BASE!E150="","",[1]BASE!E150)</f>
        <v>#REF!</v>
      </c>
      <c r="F149" t="e">
        <f>IF([1]BASE!F150="","",[1]BASE!F150)</f>
        <v>#REF!</v>
      </c>
      <c r="G149" t="e">
        <f>IF([1]BASE!G150="","",[1]BASE!G150)</f>
        <v>#REF!</v>
      </c>
      <c r="H149" t="e">
        <f>IF([1]BASE!H150="","",[1]BASE!H150)</f>
        <v>#REF!</v>
      </c>
    </row>
    <row r="150" spans="4:8" x14ac:dyDescent="0.25">
      <c r="D150" t="e">
        <f>IF([1]BASE!D151="","",[1]BASE!D151)</f>
        <v>#REF!</v>
      </c>
      <c r="E150" t="e">
        <f>IF([1]BASE!E151="","",[1]BASE!E151)</f>
        <v>#REF!</v>
      </c>
      <c r="F150" t="e">
        <f>IF([1]BASE!F151="","",[1]BASE!F151)</f>
        <v>#REF!</v>
      </c>
      <c r="G150" t="e">
        <f>IF([1]BASE!G151="","",[1]BASE!G151)</f>
        <v>#REF!</v>
      </c>
      <c r="H150" t="e">
        <f>IF([1]BASE!H151="","",[1]BASE!H151)</f>
        <v>#REF!</v>
      </c>
    </row>
    <row r="151" spans="4:8" x14ac:dyDescent="0.25">
      <c r="D151" t="e">
        <f>IF([1]BASE!D152="","",[1]BASE!D152)</f>
        <v>#REF!</v>
      </c>
      <c r="E151" t="e">
        <f>IF([1]BASE!E152="","",[1]BASE!E152)</f>
        <v>#REF!</v>
      </c>
      <c r="F151" t="e">
        <f>IF([1]BASE!F152="","",[1]BASE!F152)</f>
        <v>#REF!</v>
      </c>
      <c r="G151" t="e">
        <f>IF([1]BASE!G152="","",[1]BASE!G152)</f>
        <v>#REF!</v>
      </c>
      <c r="H151" t="e">
        <f>IF([1]BASE!H152="","",[1]BASE!H152)</f>
        <v>#REF!</v>
      </c>
    </row>
    <row r="152" spans="4:8" x14ac:dyDescent="0.25">
      <c r="D152" t="e">
        <f>IF([1]BASE!D153="","",[1]BASE!D153)</f>
        <v>#REF!</v>
      </c>
      <c r="E152" t="e">
        <f>IF([1]BASE!E153="","",[1]BASE!E153)</f>
        <v>#REF!</v>
      </c>
      <c r="F152" t="e">
        <f>IF([1]BASE!F153="","",[1]BASE!F153)</f>
        <v>#REF!</v>
      </c>
      <c r="G152" t="e">
        <f>IF([1]BASE!G153="","",[1]BASE!G153)</f>
        <v>#REF!</v>
      </c>
      <c r="H152" t="e">
        <f>IF([1]BASE!H153="","",[1]BASE!H153)</f>
        <v>#REF!</v>
      </c>
    </row>
    <row r="153" spans="4:8" x14ac:dyDescent="0.25">
      <c r="D153" t="e">
        <f>IF([1]BASE!D154="","",[1]BASE!D154)</f>
        <v>#REF!</v>
      </c>
      <c r="E153" t="e">
        <f>IF([1]BASE!E154="","",[1]BASE!E154)</f>
        <v>#REF!</v>
      </c>
      <c r="F153" t="e">
        <f>IF([1]BASE!F154="","",[1]BASE!F154)</f>
        <v>#REF!</v>
      </c>
      <c r="G153" t="e">
        <f>IF([1]BASE!G154="","",[1]BASE!G154)</f>
        <v>#REF!</v>
      </c>
      <c r="H153" t="e">
        <f>IF([1]BASE!H154="","",[1]BASE!H154)</f>
        <v>#REF!</v>
      </c>
    </row>
    <row r="154" spans="4:8" x14ac:dyDescent="0.25">
      <c r="D154" t="e">
        <f>IF([1]BASE!D155="","",[1]BASE!D155)</f>
        <v>#REF!</v>
      </c>
      <c r="E154" t="e">
        <f>IF([1]BASE!E155="","",[1]BASE!E155)</f>
        <v>#REF!</v>
      </c>
      <c r="F154" t="e">
        <f>IF([1]BASE!F155="","",[1]BASE!F155)</f>
        <v>#REF!</v>
      </c>
      <c r="G154" t="e">
        <f>IF([1]BASE!G155="","",[1]BASE!G155)</f>
        <v>#REF!</v>
      </c>
      <c r="H154" t="e">
        <f>IF([1]BASE!H155="","",[1]BASE!H155)</f>
        <v>#REF!</v>
      </c>
    </row>
    <row r="155" spans="4:8" x14ac:dyDescent="0.25">
      <c r="D155" t="e">
        <f>IF([1]BASE!D156="","",[1]BASE!D156)</f>
        <v>#REF!</v>
      </c>
      <c r="E155" t="e">
        <f>IF([1]BASE!E156="","",[1]BASE!E156)</f>
        <v>#REF!</v>
      </c>
      <c r="F155" t="e">
        <f>IF([1]BASE!F156="","",[1]BASE!F156)</f>
        <v>#REF!</v>
      </c>
      <c r="G155" t="e">
        <f>IF([1]BASE!G156="","",[1]BASE!G156)</f>
        <v>#REF!</v>
      </c>
      <c r="H155" t="e">
        <f>IF([1]BASE!H156="","",[1]BASE!H156)</f>
        <v>#REF!</v>
      </c>
    </row>
    <row r="156" spans="4:8" x14ac:dyDescent="0.25">
      <c r="D156" t="e">
        <f>IF([1]BASE!D157="","",[1]BASE!D157)</f>
        <v>#REF!</v>
      </c>
      <c r="E156" t="e">
        <f>IF([1]BASE!E157="","",[1]BASE!E157)</f>
        <v>#REF!</v>
      </c>
      <c r="F156" t="e">
        <f>IF([1]BASE!F157="","",[1]BASE!F157)</f>
        <v>#REF!</v>
      </c>
      <c r="G156" t="e">
        <f>IF([1]BASE!G157="","",[1]BASE!G157)</f>
        <v>#REF!</v>
      </c>
      <c r="H156" t="e">
        <f>IF([1]BASE!H157="","",[1]BASE!H157)</f>
        <v>#REF!</v>
      </c>
    </row>
    <row r="157" spans="4:8" x14ac:dyDescent="0.25">
      <c r="D157" t="e">
        <f>IF([1]BASE!D158="","",[1]BASE!D158)</f>
        <v>#REF!</v>
      </c>
      <c r="E157" t="e">
        <f>IF([1]BASE!E158="","",[1]BASE!E158)</f>
        <v>#REF!</v>
      </c>
      <c r="F157" t="e">
        <f>IF([1]BASE!F158="","",[1]BASE!F158)</f>
        <v>#REF!</v>
      </c>
      <c r="G157" t="e">
        <f>IF([1]BASE!G158="","",[1]BASE!G158)</f>
        <v>#REF!</v>
      </c>
      <c r="H157" t="e">
        <f>IF([1]BASE!H158="","",[1]BASE!H158)</f>
        <v>#REF!</v>
      </c>
    </row>
    <row r="158" spans="4:8" x14ac:dyDescent="0.25">
      <c r="D158" t="e">
        <f>IF([1]BASE!D159="","",[1]BASE!D159)</f>
        <v>#REF!</v>
      </c>
      <c r="E158" t="e">
        <f>IF([1]BASE!E159="","",[1]BASE!E159)</f>
        <v>#REF!</v>
      </c>
      <c r="F158" t="e">
        <f>IF([1]BASE!F159="","",[1]BASE!F159)</f>
        <v>#REF!</v>
      </c>
      <c r="G158" t="e">
        <f>IF([1]BASE!G159="","",[1]BASE!G159)</f>
        <v>#REF!</v>
      </c>
      <c r="H158" t="e">
        <f>IF([1]BASE!H159="","",[1]BASE!H159)</f>
        <v>#REF!</v>
      </c>
    </row>
    <row r="159" spans="4:8" x14ac:dyDescent="0.25">
      <c r="D159" t="e">
        <f>IF([1]BASE!D160="","",[1]BASE!D160)</f>
        <v>#REF!</v>
      </c>
      <c r="E159" t="e">
        <f>IF([1]BASE!E160="","",[1]BASE!E160)</f>
        <v>#REF!</v>
      </c>
      <c r="F159" t="e">
        <f>IF([1]BASE!F160="","",[1]BASE!F160)</f>
        <v>#REF!</v>
      </c>
      <c r="G159" t="e">
        <f>IF([1]BASE!G160="","",[1]BASE!G160)</f>
        <v>#REF!</v>
      </c>
      <c r="H159" t="e">
        <f>IF([1]BASE!H160="","",[1]BASE!H160)</f>
        <v>#REF!</v>
      </c>
    </row>
    <row r="160" spans="4:8" x14ac:dyDescent="0.25">
      <c r="D160" t="e">
        <f>IF([1]BASE!D161="","",[1]BASE!D161)</f>
        <v>#REF!</v>
      </c>
      <c r="E160" t="e">
        <f>IF([1]BASE!E161="","",[1]BASE!E161)</f>
        <v>#REF!</v>
      </c>
      <c r="F160" t="e">
        <f>IF([1]BASE!F161="","",[1]BASE!F161)</f>
        <v>#REF!</v>
      </c>
      <c r="G160" t="e">
        <f>IF([1]BASE!G161="","",[1]BASE!G161)</f>
        <v>#REF!</v>
      </c>
      <c r="H160" t="e">
        <f>IF([1]BASE!H161="","",[1]BASE!H161)</f>
        <v>#REF!</v>
      </c>
    </row>
    <row r="161" spans="4:8" x14ac:dyDescent="0.25">
      <c r="D161" t="e">
        <f>IF([1]BASE!D162="","",[1]BASE!D162)</f>
        <v>#REF!</v>
      </c>
      <c r="E161" t="e">
        <f>IF([1]BASE!E162="","",[1]BASE!E162)</f>
        <v>#REF!</v>
      </c>
      <c r="F161" t="e">
        <f>IF([1]BASE!F162="","",[1]BASE!F162)</f>
        <v>#REF!</v>
      </c>
      <c r="G161" t="e">
        <f>IF([1]BASE!G162="","",[1]BASE!G162)</f>
        <v>#REF!</v>
      </c>
      <c r="H161" t="e">
        <f>IF([1]BASE!H162="","",[1]BASE!H162)</f>
        <v>#REF!</v>
      </c>
    </row>
    <row r="162" spans="4:8" x14ac:dyDescent="0.25">
      <c r="D162" t="e">
        <f>IF([1]BASE!D163="","",[1]BASE!D163)</f>
        <v>#REF!</v>
      </c>
      <c r="E162" t="e">
        <f>IF([1]BASE!E163="","",[1]BASE!E163)</f>
        <v>#REF!</v>
      </c>
      <c r="F162" t="e">
        <f>IF([1]BASE!F163="","",[1]BASE!F163)</f>
        <v>#REF!</v>
      </c>
      <c r="G162" t="e">
        <f>IF([1]BASE!G163="","",[1]BASE!G163)</f>
        <v>#REF!</v>
      </c>
      <c r="H162" t="e">
        <f>IF([1]BASE!H163="","",[1]BASE!H163)</f>
        <v>#REF!</v>
      </c>
    </row>
    <row r="163" spans="4:8" x14ac:dyDescent="0.25">
      <c r="D163" t="e">
        <f>IF([1]BASE!D164="","",[1]BASE!D164)</f>
        <v>#REF!</v>
      </c>
      <c r="E163" t="e">
        <f>IF([1]BASE!E164="","",[1]BASE!E164)</f>
        <v>#REF!</v>
      </c>
      <c r="F163" t="e">
        <f>IF([1]BASE!F164="","",[1]BASE!F164)</f>
        <v>#REF!</v>
      </c>
      <c r="G163" t="e">
        <f>IF([1]BASE!G164="","",[1]BASE!G164)</f>
        <v>#REF!</v>
      </c>
      <c r="H163" t="e">
        <f>IF([1]BASE!H164="","",[1]BASE!H164)</f>
        <v>#REF!</v>
      </c>
    </row>
    <row r="164" spans="4:8" x14ac:dyDescent="0.25">
      <c r="D164" t="e">
        <f>IF([1]BASE!D165="","",[1]BASE!D165)</f>
        <v>#REF!</v>
      </c>
      <c r="E164" t="e">
        <f>IF([1]BASE!E165="","",[1]BASE!E165)</f>
        <v>#REF!</v>
      </c>
      <c r="F164" t="e">
        <f>IF([1]BASE!F165="","",[1]BASE!F165)</f>
        <v>#REF!</v>
      </c>
      <c r="G164" t="e">
        <f>IF([1]BASE!G165="","",[1]BASE!G165)</f>
        <v>#REF!</v>
      </c>
      <c r="H164" t="e">
        <f>IF([1]BASE!H165="","",[1]BASE!H165)</f>
        <v>#REF!</v>
      </c>
    </row>
    <row r="165" spans="4:8" x14ac:dyDescent="0.25">
      <c r="D165" t="e">
        <f>IF([1]BASE!D166="","",[1]BASE!D166)</f>
        <v>#REF!</v>
      </c>
      <c r="E165" t="e">
        <f>IF([1]BASE!E166="","",[1]BASE!E166)</f>
        <v>#REF!</v>
      </c>
      <c r="F165" t="e">
        <f>IF([1]BASE!F166="","",[1]BASE!F166)</f>
        <v>#REF!</v>
      </c>
      <c r="G165" t="e">
        <f>IF([1]BASE!G166="","",[1]BASE!G166)</f>
        <v>#REF!</v>
      </c>
      <c r="H165" t="e">
        <f>IF([1]BASE!H166="","",[1]BASE!H166)</f>
        <v>#REF!</v>
      </c>
    </row>
    <row r="166" spans="4:8" x14ac:dyDescent="0.25">
      <c r="D166" t="e">
        <f>IF([1]BASE!D167="","",[1]BASE!D167)</f>
        <v>#REF!</v>
      </c>
      <c r="E166" t="e">
        <f>IF([1]BASE!E167="","",[1]BASE!E167)</f>
        <v>#REF!</v>
      </c>
      <c r="F166" t="e">
        <f>IF([1]BASE!F167="","",[1]BASE!F167)</f>
        <v>#REF!</v>
      </c>
      <c r="G166" t="e">
        <f>IF([1]BASE!G167="","",[1]BASE!G167)</f>
        <v>#REF!</v>
      </c>
      <c r="H166" t="e">
        <f>IF([1]BASE!H167="","",[1]BASE!H167)</f>
        <v>#REF!</v>
      </c>
    </row>
    <row r="167" spans="4:8" x14ac:dyDescent="0.25">
      <c r="D167" t="e">
        <f>IF([1]BASE!D168="","",[1]BASE!D168)</f>
        <v>#REF!</v>
      </c>
      <c r="E167" t="e">
        <f>IF([1]BASE!E168="","",[1]BASE!E168)</f>
        <v>#REF!</v>
      </c>
      <c r="F167" t="e">
        <f>IF([1]BASE!F168="","",[1]BASE!F168)</f>
        <v>#REF!</v>
      </c>
      <c r="G167" t="e">
        <f>IF([1]BASE!G168="","",[1]BASE!G168)</f>
        <v>#REF!</v>
      </c>
      <c r="H167" t="e">
        <f>IF([1]BASE!H168="","",[1]BASE!H168)</f>
        <v>#REF!</v>
      </c>
    </row>
    <row r="168" spans="4:8" x14ac:dyDescent="0.25">
      <c r="D168" t="e">
        <f>IF([1]BASE!D169="","",[1]BASE!D169)</f>
        <v>#REF!</v>
      </c>
      <c r="E168" t="e">
        <f>IF([1]BASE!E169="","",[1]BASE!E169)</f>
        <v>#REF!</v>
      </c>
      <c r="F168" t="e">
        <f>IF([1]BASE!F169="","",[1]BASE!F169)</f>
        <v>#REF!</v>
      </c>
      <c r="G168" t="e">
        <f>IF([1]BASE!G169="","",[1]BASE!G169)</f>
        <v>#REF!</v>
      </c>
      <c r="H168" t="e">
        <f>IF([1]BASE!H169="","",[1]BASE!H169)</f>
        <v>#REF!</v>
      </c>
    </row>
    <row r="169" spans="4:8" x14ac:dyDescent="0.25">
      <c r="D169" t="e">
        <f>IF([1]BASE!D170="","",[1]BASE!D170)</f>
        <v>#REF!</v>
      </c>
      <c r="E169" t="e">
        <f>IF([1]BASE!E170="","",[1]BASE!E170)</f>
        <v>#REF!</v>
      </c>
      <c r="F169" t="e">
        <f>IF([1]BASE!F170="","",[1]BASE!F170)</f>
        <v>#REF!</v>
      </c>
      <c r="G169" t="e">
        <f>IF([1]BASE!G170="","",[1]BASE!G170)</f>
        <v>#REF!</v>
      </c>
      <c r="H169" t="e">
        <f>IF([1]BASE!H170="","",[1]BASE!H170)</f>
        <v>#REF!</v>
      </c>
    </row>
    <row r="170" spans="4:8" x14ac:dyDescent="0.25">
      <c r="D170" t="e">
        <f>IF([1]BASE!D171="","",[1]BASE!D171)</f>
        <v>#REF!</v>
      </c>
      <c r="E170" t="e">
        <f>IF([1]BASE!E171="","",[1]BASE!E171)</f>
        <v>#REF!</v>
      </c>
      <c r="F170" t="e">
        <f>IF([1]BASE!F171="","",[1]BASE!F171)</f>
        <v>#REF!</v>
      </c>
      <c r="G170" t="e">
        <f>IF([1]BASE!G171="","",[1]BASE!G171)</f>
        <v>#REF!</v>
      </c>
      <c r="H170" t="e">
        <f>IF([1]BASE!H171="","",[1]BASE!H171)</f>
        <v>#REF!</v>
      </c>
    </row>
    <row r="171" spans="4:8" x14ac:dyDescent="0.25">
      <c r="D171" t="e">
        <f>IF([1]BASE!D172="","",[1]BASE!D172)</f>
        <v>#REF!</v>
      </c>
      <c r="E171" t="e">
        <f>IF([1]BASE!E172="","",[1]BASE!E172)</f>
        <v>#REF!</v>
      </c>
      <c r="F171" t="e">
        <f>IF([1]BASE!F172="","",[1]BASE!F172)</f>
        <v>#REF!</v>
      </c>
      <c r="G171" t="e">
        <f>IF([1]BASE!G172="","",[1]BASE!G172)</f>
        <v>#REF!</v>
      </c>
      <c r="H171" t="e">
        <f>IF([1]BASE!H172="","",[1]BASE!H172)</f>
        <v>#REF!</v>
      </c>
    </row>
    <row r="172" spans="4:8" x14ac:dyDescent="0.25">
      <c r="D172" t="e">
        <f>IF([1]BASE!D173="","",[1]BASE!D173)</f>
        <v>#REF!</v>
      </c>
      <c r="E172" t="e">
        <f>IF([1]BASE!E173="","",[1]BASE!E173)</f>
        <v>#REF!</v>
      </c>
      <c r="F172" t="e">
        <f>IF([1]BASE!F173="","",[1]BASE!F173)</f>
        <v>#REF!</v>
      </c>
      <c r="G172" t="e">
        <f>IF([1]BASE!G173="","",[1]BASE!G173)</f>
        <v>#REF!</v>
      </c>
      <c r="H172" t="e">
        <f>IF([1]BASE!H173="","",[1]BASE!H173)</f>
        <v>#REF!</v>
      </c>
    </row>
    <row r="173" spans="4:8" x14ac:dyDescent="0.25">
      <c r="D173" t="e">
        <f>IF([1]BASE!D174="","",[1]BASE!D174)</f>
        <v>#REF!</v>
      </c>
      <c r="E173" t="e">
        <f>IF([1]BASE!E174="","",[1]BASE!E174)</f>
        <v>#REF!</v>
      </c>
      <c r="F173" t="e">
        <f>IF([1]BASE!F174="","",[1]BASE!F174)</f>
        <v>#REF!</v>
      </c>
      <c r="G173" t="e">
        <f>IF([1]BASE!G174="","",[1]BASE!G174)</f>
        <v>#REF!</v>
      </c>
      <c r="H173" t="e">
        <f>IF([1]BASE!H174="","",[1]BASE!H174)</f>
        <v>#REF!</v>
      </c>
    </row>
    <row r="174" spans="4:8" x14ac:dyDescent="0.25">
      <c r="D174" t="e">
        <f>IF([1]BASE!D175="","",[1]BASE!D175)</f>
        <v>#REF!</v>
      </c>
      <c r="E174" t="e">
        <f>IF([1]BASE!E175="","",[1]BASE!E175)</f>
        <v>#REF!</v>
      </c>
      <c r="F174" t="e">
        <f>IF([1]BASE!F175="","",[1]BASE!F175)</f>
        <v>#REF!</v>
      </c>
      <c r="G174" t="e">
        <f>IF([1]BASE!G175="","",[1]BASE!G175)</f>
        <v>#REF!</v>
      </c>
      <c r="H174" t="e">
        <f>IF([1]BASE!H175="","",[1]BASE!H175)</f>
        <v>#REF!</v>
      </c>
    </row>
    <row r="175" spans="4:8" x14ac:dyDescent="0.25">
      <c r="D175" t="e">
        <f>IF([1]BASE!D176="","",[1]BASE!D176)</f>
        <v>#REF!</v>
      </c>
      <c r="E175" t="e">
        <f>IF([1]BASE!E176="","",[1]BASE!E176)</f>
        <v>#REF!</v>
      </c>
      <c r="F175" t="e">
        <f>IF([1]BASE!F176="","",[1]BASE!F176)</f>
        <v>#REF!</v>
      </c>
      <c r="G175" t="e">
        <f>IF([1]BASE!G176="","",[1]BASE!G176)</f>
        <v>#REF!</v>
      </c>
      <c r="H175" t="e">
        <f>IF([1]BASE!H176="","",[1]BASE!H176)</f>
        <v>#REF!</v>
      </c>
    </row>
    <row r="176" spans="4:8" x14ac:dyDescent="0.25">
      <c r="D176" t="e">
        <f>IF([1]BASE!D177="","",[1]BASE!D177)</f>
        <v>#REF!</v>
      </c>
      <c r="E176" t="e">
        <f>IF([1]BASE!E177="","",[1]BASE!E177)</f>
        <v>#REF!</v>
      </c>
      <c r="F176" t="e">
        <f>IF([1]BASE!F177="","",[1]BASE!F177)</f>
        <v>#REF!</v>
      </c>
      <c r="G176" t="e">
        <f>IF([1]BASE!G177="","",[1]BASE!G177)</f>
        <v>#REF!</v>
      </c>
      <c r="H176" t="e">
        <f>IF([1]BASE!H177="","",[1]BASE!H177)</f>
        <v>#REF!</v>
      </c>
    </row>
    <row r="177" spans="4:8" x14ac:dyDescent="0.25">
      <c r="D177" t="e">
        <f>IF([1]BASE!D178="","",[1]BASE!D178)</f>
        <v>#REF!</v>
      </c>
      <c r="E177" t="e">
        <f>IF([1]BASE!E178="","",[1]BASE!E178)</f>
        <v>#REF!</v>
      </c>
      <c r="F177" t="e">
        <f>IF([1]BASE!F178="","",[1]BASE!F178)</f>
        <v>#REF!</v>
      </c>
      <c r="G177" t="e">
        <f>IF([1]BASE!G178="","",[1]BASE!G178)</f>
        <v>#REF!</v>
      </c>
      <c r="H177" t="e">
        <f>IF([1]BASE!H178="","",[1]BASE!H178)</f>
        <v>#REF!</v>
      </c>
    </row>
    <row r="178" spans="4:8" x14ac:dyDescent="0.25">
      <c r="D178" t="e">
        <f>IF([1]BASE!D179="","",[1]BASE!D179)</f>
        <v>#REF!</v>
      </c>
      <c r="E178" t="e">
        <f>IF([1]BASE!E179="","",[1]BASE!E179)</f>
        <v>#REF!</v>
      </c>
      <c r="F178" t="e">
        <f>IF([1]BASE!F179="","",[1]BASE!F179)</f>
        <v>#REF!</v>
      </c>
      <c r="G178" t="e">
        <f>IF([1]BASE!G179="","",[1]BASE!G179)</f>
        <v>#REF!</v>
      </c>
      <c r="H178" t="e">
        <f>IF([1]BASE!H179="","",[1]BASE!H179)</f>
        <v>#REF!</v>
      </c>
    </row>
    <row r="179" spans="4:8" x14ac:dyDescent="0.25">
      <c r="D179" t="e">
        <f>IF([1]BASE!D180="","",[1]BASE!D180)</f>
        <v>#REF!</v>
      </c>
      <c r="E179" t="e">
        <f>IF([1]BASE!E180="","",[1]BASE!E180)</f>
        <v>#REF!</v>
      </c>
      <c r="F179" t="e">
        <f>IF([1]BASE!F180="","",[1]BASE!F180)</f>
        <v>#REF!</v>
      </c>
      <c r="G179" t="e">
        <f>IF([1]BASE!G180="","",[1]BASE!G180)</f>
        <v>#REF!</v>
      </c>
      <c r="H179" t="e">
        <f>IF([1]BASE!H180="","",[1]BASE!H180)</f>
        <v>#REF!</v>
      </c>
    </row>
    <row r="180" spans="4:8" x14ac:dyDescent="0.25">
      <c r="D180" t="e">
        <f>IF([1]BASE!D181="","",[1]BASE!D181)</f>
        <v>#REF!</v>
      </c>
      <c r="E180" t="e">
        <f>IF([1]BASE!E181="","",[1]BASE!E181)</f>
        <v>#REF!</v>
      </c>
      <c r="F180" t="e">
        <f>IF([1]BASE!F181="","",[1]BASE!F181)</f>
        <v>#REF!</v>
      </c>
      <c r="G180" t="e">
        <f>IF([1]BASE!G181="","",[1]BASE!G181)</f>
        <v>#REF!</v>
      </c>
      <c r="H180" t="e">
        <f>IF([1]BASE!H181="","",[1]BASE!H181)</f>
        <v>#REF!</v>
      </c>
    </row>
    <row r="181" spans="4:8" x14ac:dyDescent="0.25">
      <c r="D181" t="e">
        <f>IF([1]BASE!D182="","",[1]BASE!D182)</f>
        <v>#REF!</v>
      </c>
      <c r="E181" t="e">
        <f>IF([1]BASE!E182="","",[1]BASE!E182)</f>
        <v>#REF!</v>
      </c>
      <c r="F181" t="e">
        <f>IF([1]BASE!F182="","",[1]BASE!F182)</f>
        <v>#REF!</v>
      </c>
      <c r="G181" t="e">
        <f>IF([1]BASE!G182="","",[1]BASE!G182)</f>
        <v>#REF!</v>
      </c>
      <c r="H181" t="e">
        <f>IF([1]BASE!H182="","",[1]BASE!H182)</f>
        <v>#REF!</v>
      </c>
    </row>
    <row r="182" spans="4:8" x14ac:dyDescent="0.25">
      <c r="D182" t="e">
        <f>IF([1]BASE!D183="","",[1]BASE!D183)</f>
        <v>#REF!</v>
      </c>
      <c r="E182" t="e">
        <f>IF([1]BASE!E183="","",[1]BASE!E183)</f>
        <v>#REF!</v>
      </c>
      <c r="F182" t="e">
        <f>IF([1]BASE!F183="","",[1]BASE!F183)</f>
        <v>#REF!</v>
      </c>
      <c r="G182" t="e">
        <f>IF([1]BASE!G183="","",[1]BASE!G183)</f>
        <v>#REF!</v>
      </c>
      <c r="H182" t="e">
        <f>IF([1]BASE!H183="","",[1]BASE!H183)</f>
        <v>#REF!</v>
      </c>
    </row>
    <row r="183" spans="4:8" x14ac:dyDescent="0.25">
      <c r="D183" t="e">
        <f>IF([1]BASE!D184="","",[1]BASE!D184)</f>
        <v>#REF!</v>
      </c>
      <c r="E183" t="e">
        <f>IF([1]BASE!E184="","",[1]BASE!E184)</f>
        <v>#REF!</v>
      </c>
      <c r="F183" t="e">
        <f>IF([1]BASE!F184="","",[1]BASE!F184)</f>
        <v>#REF!</v>
      </c>
      <c r="G183" t="e">
        <f>IF([1]BASE!G184="","",[1]BASE!G184)</f>
        <v>#REF!</v>
      </c>
      <c r="H183" t="e">
        <f>IF([1]BASE!H184="","",[1]BASE!H184)</f>
        <v>#REF!</v>
      </c>
    </row>
    <row r="184" spans="4:8" x14ac:dyDescent="0.25">
      <c r="D184" t="e">
        <f>IF([1]BASE!D185="","",[1]BASE!D185)</f>
        <v>#REF!</v>
      </c>
      <c r="E184" t="e">
        <f>IF([1]BASE!E185="","",[1]BASE!E185)</f>
        <v>#REF!</v>
      </c>
      <c r="F184" t="e">
        <f>IF([1]BASE!F185="","",[1]BASE!F185)</f>
        <v>#REF!</v>
      </c>
      <c r="G184" t="e">
        <f>IF([1]BASE!G185="","",[1]BASE!G185)</f>
        <v>#REF!</v>
      </c>
      <c r="H184" t="e">
        <f>IF([1]BASE!H185="","",[1]BASE!H185)</f>
        <v>#REF!</v>
      </c>
    </row>
    <row r="185" spans="4:8" x14ac:dyDescent="0.25">
      <c r="D185" t="e">
        <f>IF([1]BASE!D186="","",[1]BASE!D186)</f>
        <v>#REF!</v>
      </c>
      <c r="E185" t="e">
        <f>IF([1]BASE!E186="","",[1]BASE!E186)</f>
        <v>#REF!</v>
      </c>
      <c r="F185" t="e">
        <f>IF([1]BASE!F186="","",[1]BASE!F186)</f>
        <v>#REF!</v>
      </c>
      <c r="G185" t="e">
        <f>IF([1]BASE!G186="","",[1]BASE!G186)</f>
        <v>#REF!</v>
      </c>
      <c r="H185" t="e">
        <f>IF([1]BASE!H186="","",[1]BASE!H186)</f>
        <v>#REF!</v>
      </c>
    </row>
    <row r="186" spans="4:8" x14ac:dyDescent="0.25">
      <c r="D186" t="e">
        <f>IF([1]BASE!D187="","",[1]BASE!D187)</f>
        <v>#REF!</v>
      </c>
      <c r="E186" t="e">
        <f>IF([1]BASE!E187="","",[1]BASE!E187)</f>
        <v>#REF!</v>
      </c>
      <c r="F186" t="e">
        <f>IF([1]BASE!F187="","",[1]BASE!F187)</f>
        <v>#REF!</v>
      </c>
      <c r="G186" t="e">
        <f>IF([1]BASE!G187="","",[1]BASE!G187)</f>
        <v>#REF!</v>
      </c>
      <c r="H186" t="e">
        <f>IF([1]BASE!H187="","",[1]BASE!H187)</f>
        <v>#REF!</v>
      </c>
    </row>
    <row r="187" spans="4:8" x14ac:dyDescent="0.25">
      <c r="D187" t="e">
        <f>IF([1]BASE!D188="","",[1]BASE!D188)</f>
        <v>#REF!</v>
      </c>
      <c r="E187" t="e">
        <f>IF([1]BASE!E188="","",[1]BASE!E188)</f>
        <v>#REF!</v>
      </c>
      <c r="F187" t="e">
        <f>IF([1]BASE!F188="","",[1]BASE!F188)</f>
        <v>#REF!</v>
      </c>
      <c r="G187" t="e">
        <f>IF([1]BASE!G188="","",[1]BASE!G188)</f>
        <v>#REF!</v>
      </c>
      <c r="H187" t="e">
        <f>IF([1]BASE!H188="","",[1]BASE!H188)</f>
        <v>#REF!</v>
      </c>
    </row>
    <row r="188" spans="4:8" x14ac:dyDescent="0.25">
      <c r="D188" t="e">
        <f>IF([1]BASE!D189="","",[1]BASE!D189)</f>
        <v>#REF!</v>
      </c>
      <c r="E188" t="e">
        <f>IF([1]BASE!E189="","",[1]BASE!E189)</f>
        <v>#REF!</v>
      </c>
      <c r="F188" t="e">
        <f>IF([1]BASE!F189="","",[1]BASE!F189)</f>
        <v>#REF!</v>
      </c>
      <c r="G188" t="e">
        <f>IF([1]BASE!G189="","",[1]BASE!G189)</f>
        <v>#REF!</v>
      </c>
      <c r="H188" t="e">
        <f>IF([1]BASE!H189="","",[1]BASE!H189)</f>
        <v>#REF!</v>
      </c>
    </row>
    <row r="189" spans="4:8" x14ac:dyDescent="0.25">
      <c r="D189" t="e">
        <f>IF([1]BASE!D190="","",[1]BASE!D190)</f>
        <v>#REF!</v>
      </c>
      <c r="E189" t="e">
        <f>IF([1]BASE!E190="","",[1]BASE!E190)</f>
        <v>#REF!</v>
      </c>
      <c r="F189" t="e">
        <f>IF([1]BASE!F190="","",[1]BASE!F190)</f>
        <v>#REF!</v>
      </c>
      <c r="G189" t="e">
        <f>IF([1]BASE!G190="","",[1]BASE!G190)</f>
        <v>#REF!</v>
      </c>
      <c r="H189" t="e">
        <f>IF([1]BASE!H190="","",[1]BASE!H190)</f>
        <v>#REF!</v>
      </c>
    </row>
    <row r="190" spans="4:8" x14ac:dyDescent="0.25">
      <c r="D190" t="e">
        <f>IF([1]BASE!D191="","",[1]BASE!D191)</f>
        <v>#REF!</v>
      </c>
      <c r="E190" t="e">
        <f>IF([1]BASE!E191="","",[1]BASE!E191)</f>
        <v>#REF!</v>
      </c>
      <c r="F190" t="e">
        <f>IF([1]BASE!F191="","",[1]BASE!F191)</f>
        <v>#REF!</v>
      </c>
      <c r="G190" t="e">
        <f>IF([1]BASE!G191="","",[1]BASE!G191)</f>
        <v>#REF!</v>
      </c>
      <c r="H190" t="e">
        <f>IF([1]BASE!H191="","",[1]BASE!H191)</f>
        <v>#REF!</v>
      </c>
    </row>
    <row r="191" spans="4:8" x14ac:dyDescent="0.25">
      <c r="D191" t="e">
        <f>IF([1]BASE!D192="","",[1]BASE!D192)</f>
        <v>#REF!</v>
      </c>
      <c r="E191" t="e">
        <f>IF([1]BASE!E192="","",[1]BASE!E192)</f>
        <v>#REF!</v>
      </c>
      <c r="F191" t="e">
        <f>IF([1]BASE!F192="","",[1]BASE!F192)</f>
        <v>#REF!</v>
      </c>
      <c r="G191" t="e">
        <f>IF([1]BASE!G192="","",[1]BASE!G192)</f>
        <v>#REF!</v>
      </c>
      <c r="H191" t="e">
        <f>IF([1]BASE!H192="","",[1]BASE!H192)</f>
        <v>#REF!</v>
      </c>
    </row>
    <row r="192" spans="4:8" x14ac:dyDescent="0.25">
      <c r="D192" t="e">
        <f>IF([1]BASE!D193="","",[1]BASE!D193)</f>
        <v>#REF!</v>
      </c>
      <c r="E192" t="e">
        <f>IF([1]BASE!E193="","",[1]BASE!E193)</f>
        <v>#REF!</v>
      </c>
      <c r="F192" t="e">
        <f>IF([1]BASE!F193="","",[1]BASE!F193)</f>
        <v>#REF!</v>
      </c>
      <c r="G192" t="e">
        <f>IF([1]BASE!G193="","",[1]BASE!G193)</f>
        <v>#REF!</v>
      </c>
      <c r="H192" t="e">
        <f>IF([1]BASE!H193="","",[1]BASE!H193)</f>
        <v>#REF!</v>
      </c>
    </row>
  </sheetData>
  <pageMargins left="0.511811024" right="0.511811024" top="0.78740157499999996" bottom="0.78740157499999996" header="0.31496062000000002" footer="0.31496062000000002"/>
  <pageSetup paperSize="9" orientation="portrait" r:id="rId2"/>
  <headerFooter>
    <oddFooter>&amp;C&amp;1#&amp;"Arial"&amp;7&amp;K000000Sensitivity: Internal &amp; Restricted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SEND</vt:lpstr>
      <vt:lpstr>Settings</vt:lpstr>
      <vt:lpstr>Sheet1</vt:lpstr>
      <vt:lpstr>BASE</vt:lpstr>
    </vt:vector>
  </TitlesOfParts>
  <Company>Noble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felipeoliveira</dc:creator>
  <cp:lastModifiedBy>Nelson</cp:lastModifiedBy>
  <dcterms:created xsi:type="dcterms:W3CDTF">2012-10-02T12:41:35Z</dcterms:created>
  <dcterms:modified xsi:type="dcterms:W3CDTF">2021-05-07T19:11:20Z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9a70571-31c6-4603-80c1-ef2fb871a62a_Enabled">
    <vt:lpwstr>True</vt:lpwstr>
  </property>
  <property fmtid="{D5CDD505-2E9C-101B-9397-08002B2CF9AE}" pid="3" name="MSIP_Label_b9a70571-31c6-4603-80c1-ef2fb871a62a_SiteId">
    <vt:lpwstr>258ac4e4-146a-411e-9dc8-79a9e12fd6da</vt:lpwstr>
  </property>
  <property fmtid="{D5CDD505-2E9C-101B-9397-08002B2CF9AE}" pid="4" name="MSIP_Label_b9a70571-31c6-4603-80c1-ef2fb871a62a_Owner">
    <vt:lpwstr>NE20097896@wipro.com</vt:lpwstr>
  </property>
  <property fmtid="{D5CDD505-2E9C-101B-9397-08002B2CF9AE}" pid="5" name="MSIP_Label_b9a70571-31c6-4603-80c1-ef2fb871a62a_SetDate">
    <vt:lpwstr>2020-09-22T00:37:35.8913397Z</vt:lpwstr>
  </property>
  <property fmtid="{D5CDD505-2E9C-101B-9397-08002B2CF9AE}" pid="6" name="MSIP_Label_b9a70571-31c6-4603-80c1-ef2fb871a62a_Name">
    <vt:lpwstr>Internal and Restricted</vt:lpwstr>
  </property>
  <property fmtid="{D5CDD505-2E9C-101B-9397-08002B2CF9AE}" pid="7" name="MSIP_Label_b9a70571-31c6-4603-80c1-ef2fb871a62a_Application">
    <vt:lpwstr>Microsoft Azure Information Protection</vt:lpwstr>
  </property>
  <property fmtid="{D5CDD505-2E9C-101B-9397-08002B2CF9AE}" pid="8" name="MSIP_Label_b9a70571-31c6-4603-80c1-ef2fb871a62a_ActionId">
    <vt:lpwstr>14a460bd-2f6d-47e3-afb6-8252541ff9d4</vt:lpwstr>
  </property>
  <property fmtid="{D5CDD505-2E9C-101B-9397-08002B2CF9AE}" pid="9" name="MSIP_Label_b9a70571-31c6-4603-80c1-ef2fb871a62a_Extended_MSFT_Method">
    <vt:lpwstr>Automatic</vt:lpwstr>
  </property>
  <property fmtid="{D5CDD505-2E9C-101B-9397-08002B2CF9AE}" pid="10" name="MSIP_Label_236020b0-6d69-48c1-9bb5-c586c1062b70_Enabled">
    <vt:lpwstr>True</vt:lpwstr>
  </property>
  <property fmtid="{D5CDD505-2E9C-101B-9397-08002B2CF9AE}" pid="11" name="MSIP_Label_236020b0-6d69-48c1-9bb5-c586c1062b70_SiteId">
    <vt:lpwstr>cf36141c-ddd7-45a7-b073-111f66d0b30c</vt:lpwstr>
  </property>
  <property fmtid="{D5CDD505-2E9C-101B-9397-08002B2CF9AE}" pid="12" name="MSIP_Label_236020b0-6d69-48c1-9bb5-c586c1062b70_Owner">
    <vt:lpwstr>n.caracelli.diniz@avanade.com</vt:lpwstr>
  </property>
  <property fmtid="{D5CDD505-2E9C-101B-9397-08002B2CF9AE}" pid="13" name="MSIP_Label_236020b0-6d69-48c1-9bb5-c586c1062b70_SetDate">
    <vt:lpwstr>2019-02-25T12:44:57.7090346Z</vt:lpwstr>
  </property>
  <property fmtid="{D5CDD505-2E9C-101B-9397-08002B2CF9AE}" pid="14" name="MSIP_Label_236020b0-6d69-48c1-9bb5-c586c1062b70_Name">
    <vt:lpwstr>Confidential</vt:lpwstr>
  </property>
  <property fmtid="{D5CDD505-2E9C-101B-9397-08002B2CF9AE}" pid="15" name="MSIP_Label_236020b0-6d69-48c1-9bb5-c586c1062b70_Application">
    <vt:lpwstr>Microsoft Azure Information Protection</vt:lpwstr>
  </property>
  <property fmtid="{D5CDD505-2E9C-101B-9397-08002B2CF9AE}" pid="16" name="MSIP_Label_236020b0-6d69-48c1-9bb5-c586c1062b70_Extended_MSFT_Method">
    <vt:lpwstr>Automatic</vt:lpwstr>
  </property>
  <property fmtid="{D5CDD505-2E9C-101B-9397-08002B2CF9AE}" pid="17" name="MSIP_Label_5fae8262-b78e-4366-8929-a5d6aac95320_Enabled">
    <vt:lpwstr>True</vt:lpwstr>
  </property>
  <property fmtid="{D5CDD505-2E9C-101B-9397-08002B2CF9AE}" pid="18" name="MSIP_Label_5fae8262-b78e-4366-8929-a5d6aac95320_SiteId">
    <vt:lpwstr>cf36141c-ddd7-45a7-b073-111f66d0b30c</vt:lpwstr>
  </property>
  <property fmtid="{D5CDD505-2E9C-101B-9397-08002B2CF9AE}" pid="19" name="MSIP_Label_5fae8262-b78e-4366-8929-a5d6aac95320_Owner">
    <vt:lpwstr>n.caracelli.diniz@avanade.com</vt:lpwstr>
  </property>
  <property fmtid="{D5CDD505-2E9C-101B-9397-08002B2CF9AE}" pid="20" name="MSIP_Label_5fae8262-b78e-4366-8929-a5d6aac95320_SetDate">
    <vt:lpwstr>2019-02-25T12:44:57.7090346Z</vt:lpwstr>
  </property>
  <property fmtid="{D5CDD505-2E9C-101B-9397-08002B2CF9AE}" pid="21" name="MSIP_Label_5fae8262-b78e-4366-8929-a5d6aac95320_Name">
    <vt:lpwstr>Recipients Have Full Control</vt:lpwstr>
  </property>
  <property fmtid="{D5CDD505-2E9C-101B-9397-08002B2CF9AE}" pid="22" name="MSIP_Label_5fae8262-b78e-4366-8929-a5d6aac95320_Application">
    <vt:lpwstr>Microsoft Azure Information Protection</vt:lpwstr>
  </property>
  <property fmtid="{D5CDD505-2E9C-101B-9397-08002B2CF9AE}" pid="23" name="MSIP_Label_5fae8262-b78e-4366-8929-a5d6aac95320_Parent">
    <vt:lpwstr>236020b0-6d69-48c1-9bb5-c586c1062b70</vt:lpwstr>
  </property>
  <property fmtid="{D5CDD505-2E9C-101B-9397-08002B2CF9AE}" pid="24" name="MSIP_Label_5fae8262-b78e-4366-8929-a5d6aac95320_Extended_MSFT_Method">
    <vt:lpwstr>Automatic</vt:lpwstr>
  </property>
  <property fmtid="{D5CDD505-2E9C-101B-9397-08002B2CF9AE}" pid="25" name="Sensitivity">
    <vt:lpwstr>Internal and Restricted Confidential Recipients Have Full Control</vt:lpwstr>
  </property>
</Properties>
</file>