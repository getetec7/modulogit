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16\"/>
    </mc:Choice>
  </mc:AlternateContent>
  <xr:revisionPtr revIDLastSave="0" documentId="13_ncr:1_{EAE90E73-9672-4D88-BDE1-94824A6E3E69}" xr6:coauthVersionLast="46" xr6:coauthVersionMax="46" xr10:uidLastSave="{00000000-0000-0000-0000-000000000000}"/>
  <bookViews>
    <workbookView xWindow="-120" yWindow="-120" windowWidth="24240" windowHeight="17790" activeTab="2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Sheet1!$A$1:$U$17</definedName>
    <definedName name="tbl_dinamica">OFFSET(Sheet1!$A$1,0,0,COUNTA(Sheet1!$A:$A),COUNTA(Sheet1!$A$1:$IV$1))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0" l="1"/>
  <c r="E61" i="10"/>
  <c r="F61" i="10"/>
  <c r="G61" i="10"/>
  <c r="H61" i="10"/>
  <c r="D62" i="10"/>
  <c r="E62" i="10"/>
  <c r="F62" i="10"/>
  <c r="G62" i="10"/>
  <c r="H62" i="10"/>
  <c r="D63" i="10"/>
  <c r="E63" i="10"/>
  <c r="F63" i="10"/>
  <c r="G63" i="10"/>
  <c r="H63" i="10"/>
  <c r="D64" i="10"/>
  <c r="E64" i="10"/>
  <c r="F64" i="10"/>
  <c r="G64" i="10"/>
  <c r="H64" i="10"/>
  <c r="D65" i="10"/>
  <c r="E65" i="10"/>
  <c r="F65" i="10"/>
  <c r="G65" i="10"/>
  <c r="H65" i="10"/>
  <c r="D66" i="10"/>
  <c r="E66" i="10"/>
  <c r="F66" i="10"/>
  <c r="G66" i="10"/>
  <c r="H66" i="10"/>
  <c r="D67" i="10"/>
  <c r="E67" i="10"/>
  <c r="F67" i="10"/>
  <c r="G67" i="10"/>
  <c r="H67" i="10"/>
  <c r="D68" i="10"/>
  <c r="E68" i="10"/>
  <c r="F68" i="10"/>
  <c r="G68" i="10"/>
  <c r="H68" i="10"/>
  <c r="D69" i="10"/>
  <c r="E69" i="10"/>
  <c r="F69" i="10"/>
  <c r="G69" i="10"/>
  <c r="H69" i="10"/>
  <c r="D70" i="10"/>
  <c r="E70" i="10"/>
  <c r="F70" i="10"/>
  <c r="G70" i="10"/>
  <c r="H70" i="10"/>
  <c r="K6" i="10" l="1"/>
  <c r="B101" i="10" l="1"/>
  <c r="A101" i="10"/>
  <c r="A50" i="10" l="1"/>
  <c r="D12" i="10" l="1"/>
  <c r="E12" i="10"/>
  <c r="F12" i="10"/>
  <c r="G12" i="10"/>
  <c r="H12" i="10"/>
  <c r="H193" i="10" l="1"/>
  <c r="G193" i="10"/>
  <c r="F193" i="10"/>
  <c r="E193" i="10"/>
  <c r="D193" i="10"/>
  <c r="H192" i="10"/>
  <c r="G192" i="10"/>
  <c r="F192" i="10"/>
  <c r="E192" i="10"/>
  <c r="D192" i="10"/>
  <c r="H191" i="10"/>
  <c r="G191" i="10"/>
  <c r="F191" i="10"/>
  <c r="E191" i="10"/>
  <c r="D191" i="10"/>
  <c r="H190" i="10"/>
  <c r="G190" i="10"/>
  <c r="F190" i="10"/>
  <c r="E190" i="10"/>
  <c r="D190" i="10"/>
  <c r="H189" i="10"/>
  <c r="G189" i="10"/>
  <c r="F189" i="10"/>
  <c r="E189" i="10"/>
  <c r="D189" i="10"/>
  <c r="H188" i="10"/>
  <c r="G188" i="10"/>
  <c r="F188" i="10"/>
  <c r="E188" i="10"/>
  <c r="D188" i="10"/>
  <c r="H187" i="10"/>
  <c r="G187" i="10"/>
  <c r="F187" i="10"/>
  <c r="E187" i="10"/>
  <c r="D187" i="10"/>
  <c r="H186" i="10"/>
  <c r="G186" i="10"/>
  <c r="F186" i="10"/>
  <c r="E186" i="10"/>
  <c r="D186" i="10"/>
  <c r="H185" i="10"/>
  <c r="G185" i="10"/>
  <c r="F185" i="10"/>
  <c r="E185" i="10"/>
  <c r="D185" i="10"/>
  <c r="H184" i="10"/>
  <c r="G184" i="10"/>
  <c r="F184" i="10"/>
  <c r="E184" i="10"/>
  <c r="D184" i="10"/>
  <c r="H183" i="10"/>
  <c r="G183" i="10"/>
  <c r="F183" i="10"/>
  <c r="E183" i="10"/>
  <c r="D183" i="10"/>
  <c r="H182" i="10"/>
  <c r="G182" i="10"/>
  <c r="F182" i="10"/>
  <c r="E182" i="10"/>
  <c r="D182" i="10"/>
  <c r="H181" i="10"/>
  <c r="G181" i="10"/>
  <c r="F181" i="10"/>
  <c r="E181" i="10"/>
  <c r="D181" i="10"/>
  <c r="H180" i="10"/>
  <c r="G180" i="10"/>
  <c r="F180" i="10"/>
  <c r="E180" i="10"/>
  <c r="D180" i="10"/>
  <c r="H179" i="10"/>
  <c r="G179" i="10"/>
  <c r="F179" i="10"/>
  <c r="E179" i="10"/>
  <c r="D179" i="10"/>
  <c r="H178" i="10"/>
  <c r="G178" i="10"/>
  <c r="F178" i="10"/>
  <c r="E178" i="10"/>
  <c r="D178" i="10"/>
  <c r="H177" i="10"/>
  <c r="G177" i="10"/>
  <c r="F177" i="10"/>
  <c r="E177" i="10"/>
  <c r="D177" i="10"/>
  <c r="H176" i="10"/>
  <c r="G176" i="10"/>
  <c r="F176" i="10"/>
  <c r="E176" i="10"/>
  <c r="D176" i="10"/>
  <c r="H175" i="10"/>
  <c r="G175" i="10"/>
  <c r="F175" i="10"/>
  <c r="E175" i="10"/>
  <c r="D175" i="10"/>
  <c r="H174" i="10"/>
  <c r="G174" i="10"/>
  <c r="F174" i="10"/>
  <c r="E174" i="10"/>
  <c r="D174" i="10"/>
  <c r="H173" i="10"/>
  <c r="G173" i="10"/>
  <c r="F173" i="10"/>
  <c r="E173" i="10"/>
  <c r="D173" i="10"/>
  <c r="H172" i="10"/>
  <c r="G172" i="10"/>
  <c r="F172" i="10"/>
  <c r="E172" i="10"/>
  <c r="D172" i="10"/>
  <c r="H171" i="10"/>
  <c r="G171" i="10"/>
  <c r="F171" i="10"/>
  <c r="E171" i="10"/>
  <c r="D171" i="10"/>
  <c r="H170" i="10"/>
  <c r="G170" i="10"/>
  <c r="F170" i="10"/>
  <c r="E170" i="10"/>
  <c r="D170" i="10"/>
  <c r="H169" i="10"/>
  <c r="G169" i="10"/>
  <c r="F169" i="10"/>
  <c r="E169" i="10"/>
  <c r="D169" i="10"/>
  <c r="H168" i="10"/>
  <c r="G168" i="10"/>
  <c r="F168" i="10"/>
  <c r="E168" i="10"/>
  <c r="D168" i="10"/>
  <c r="H167" i="10"/>
  <c r="G167" i="10"/>
  <c r="F167" i="10"/>
  <c r="E167" i="10"/>
  <c r="D167" i="10"/>
  <c r="H166" i="10"/>
  <c r="G166" i="10"/>
  <c r="F166" i="10"/>
  <c r="E166" i="10"/>
  <c r="D166" i="10"/>
  <c r="H165" i="10"/>
  <c r="G165" i="10"/>
  <c r="F165" i="10"/>
  <c r="E165" i="10"/>
  <c r="D165" i="10"/>
  <c r="H164" i="10"/>
  <c r="G164" i="10"/>
  <c r="F164" i="10"/>
  <c r="E164" i="10"/>
  <c r="D164" i="10"/>
  <c r="H163" i="10"/>
  <c r="G163" i="10"/>
  <c r="F163" i="10"/>
  <c r="E163" i="10"/>
  <c r="D163" i="10"/>
  <c r="H162" i="10"/>
  <c r="G162" i="10"/>
  <c r="F162" i="10"/>
  <c r="E162" i="10"/>
  <c r="D162" i="10"/>
  <c r="H161" i="10"/>
  <c r="G161" i="10"/>
  <c r="F161" i="10"/>
  <c r="E161" i="10"/>
  <c r="D161" i="10"/>
  <c r="H160" i="10"/>
  <c r="G160" i="10"/>
  <c r="F160" i="10"/>
  <c r="E160" i="10"/>
  <c r="D160" i="10"/>
  <c r="H159" i="10"/>
  <c r="G159" i="10"/>
  <c r="F159" i="10"/>
  <c r="E159" i="10"/>
  <c r="D159" i="10"/>
  <c r="H158" i="10"/>
  <c r="G158" i="10"/>
  <c r="F158" i="10"/>
  <c r="E158" i="10"/>
  <c r="D158" i="10"/>
  <c r="H157" i="10"/>
  <c r="G157" i="10"/>
  <c r="F157" i="10"/>
  <c r="E157" i="10"/>
  <c r="D157" i="10"/>
  <c r="H156" i="10"/>
  <c r="G156" i="10"/>
  <c r="F156" i="10"/>
  <c r="E156" i="10"/>
  <c r="D156" i="10"/>
  <c r="H155" i="10"/>
  <c r="G155" i="10"/>
  <c r="F155" i="10"/>
  <c r="E155" i="10"/>
  <c r="D155" i="10"/>
  <c r="H154" i="10"/>
  <c r="G154" i="10"/>
  <c r="F154" i="10"/>
  <c r="E154" i="10"/>
  <c r="D154" i="10"/>
  <c r="H153" i="10"/>
  <c r="G153" i="10"/>
  <c r="F153" i="10"/>
  <c r="E153" i="10"/>
  <c r="D153" i="10"/>
  <c r="H152" i="10"/>
  <c r="G152" i="10"/>
  <c r="F152" i="10"/>
  <c r="E152" i="10"/>
  <c r="D152" i="10"/>
  <c r="H151" i="10"/>
  <c r="G151" i="10"/>
  <c r="F151" i="10"/>
  <c r="E151" i="10"/>
  <c r="D151" i="10"/>
  <c r="H150" i="10"/>
  <c r="G150" i="10"/>
  <c r="F150" i="10"/>
  <c r="E150" i="10"/>
  <c r="D150" i="10"/>
  <c r="H149" i="10"/>
  <c r="G149" i="10"/>
  <c r="F149" i="10"/>
  <c r="E149" i="10"/>
  <c r="D149" i="10"/>
  <c r="H148" i="10"/>
  <c r="G148" i="10"/>
  <c r="F148" i="10"/>
  <c r="E148" i="10"/>
  <c r="D148" i="10"/>
  <c r="H147" i="10"/>
  <c r="G147" i="10"/>
  <c r="F147" i="10"/>
  <c r="E147" i="10"/>
  <c r="D147" i="10"/>
  <c r="H146" i="10"/>
  <c r="G146" i="10"/>
  <c r="F146" i="10"/>
  <c r="E146" i="10"/>
  <c r="D146" i="10"/>
  <c r="H145" i="10"/>
  <c r="G145" i="10"/>
  <c r="F145" i="10"/>
  <c r="E145" i="10"/>
  <c r="D145" i="10"/>
  <c r="H144" i="10"/>
  <c r="G144" i="10"/>
  <c r="F144" i="10"/>
  <c r="E144" i="10"/>
  <c r="D144" i="10"/>
  <c r="H143" i="10"/>
  <c r="G143" i="10"/>
  <c r="F143" i="10"/>
  <c r="E143" i="10"/>
  <c r="D143" i="10"/>
  <c r="H142" i="10"/>
  <c r="G142" i="10"/>
  <c r="F142" i="10"/>
  <c r="E142" i="10"/>
  <c r="D142" i="10"/>
  <c r="H141" i="10"/>
  <c r="G141" i="10"/>
  <c r="F141" i="10"/>
  <c r="E141" i="10"/>
  <c r="D141" i="10"/>
  <c r="H140" i="10"/>
  <c r="G140" i="10"/>
  <c r="F140" i="10"/>
  <c r="E140" i="10"/>
  <c r="D140" i="10"/>
  <c r="H139" i="10"/>
  <c r="G139" i="10"/>
  <c r="F139" i="10"/>
  <c r="E139" i="10"/>
  <c r="D139" i="10"/>
  <c r="H138" i="10"/>
  <c r="G138" i="10"/>
  <c r="F138" i="10"/>
  <c r="E138" i="10"/>
  <c r="D138" i="10"/>
  <c r="H137" i="10"/>
  <c r="G137" i="10"/>
  <c r="F137" i="10"/>
  <c r="E137" i="10"/>
  <c r="D137" i="10"/>
  <c r="H136" i="10"/>
  <c r="G136" i="10"/>
  <c r="F136" i="10"/>
  <c r="E136" i="10"/>
  <c r="D136" i="10"/>
  <c r="H135" i="10"/>
  <c r="G135" i="10"/>
  <c r="F135" i="10"/>
  <c r="E135" i="10"/>
  <c r="D135" i="10"/>
  <c r="H134" i="10"/>
  <c r="G134" i="10"/>
  <c r="F134" i="10"/>
  <c r="E134" i="10"/>
  <c r="D134" i="10"/>
  <c r="H133" i="10"/>
  <c r="G133" i="10"/>
  <c r="F133" i="10"/>
  <c r="E133" i="10"/>
  <c r="D133" i="10"/>
  <c r="H132" i="10"/>
  <c r="G132" i="10"/>
  <c r="F132" i="10"/>
  <c r="E132" i="10"/>
  <c r="D132" i="10"/>
  <c r="H131" i="10"/>
  <c r="G131" i="10"/>
  <c r="F131" i="10"/>
  <c r="E131" i="10"/>
  <c r="D131" i="10"/>
  <c r="H130" i="10"/>
  <c r="G130" i="10"/>
  <c r="F130" i="10"/>
  <c r="E130" i="10"/>
  <c r="D130" i="10"/>
  <c r="H129" i="10"/>
  <c r="G129" i="10"/>
  <c r="F129" i="10"/>
  <c r="E129" i="10"/>
  <c r="D129" i="10"/>
  <c r="H128" i="10"/>
  <c r="G128" i="10"/>
  <c r="F128" i="10"/>
  <c r="E128" i="10"/>
  <c r="D128" i="10"/>
  <c r="H127" i="10"/>
  <c r="G127" i="10"/>
  <c r="F127" i="10"/>
  <c r="E127" i="10"/>
  <c r="D127" i="10"/>
  <c r="H126" i="10"/>
  <c r="G126" i="10"/>
  <c r="F126" i="10"/>
  <c r="E126" i="10"/>
  <c r="D126" i="10"/>
  <c r="H125" i="10"/>
  <c r="G125" i="10"/>
  <c r="F125" i="10"/>
  <c r="E125" i="10"/>
  <c r="D125" i="10"/>
  <c r="H124" i="10"/>
  <c r="G124" i="10"/>
  <c r="F124" i="10"/>
  <c r="E124" i="10"/>
  <c r="D124" i="10"/>
  <c r="H123" i="10"/>
  <c r="G123" i="10"/>
  <c r="F123" i="10"/>
  <c r="E123" i="10"/>
  <c r="D123" i="10"/>
  <c r="H122" i="10"/>
  <c r="G122" i="10"/>
  <c r="F122" i="10"/>
  <c r="E122" i="10"/>
  <c r="D122" i="10"/>
  <c r="H121" i="10"/>
  <c r="G121" i="10"/>
  <c r="F121" i="10"/>
  <c r="E121" i="10"/>
  <c r="D121" i="10"/>
  <c r="H120" i="10"/>
  <c r="G120" i="10"/>
  <c r="F120" i="10"/>
  <c r="E120" i="10"/>
  <c r="D120" i="10"/>
  <c r="H119" i="10"/>
  <c r="G119" i="10"/>
  <c r="F119" i="10"/>
  <c r="E119" i="10"/>
  <c r="D119" i="10"/>
  <c r="H118" i="10"/>
  <c r="G118" i="10"/>
  <c r="F118" i="10"/>
  <c r="E118" i="10"/>
  <c r="D118" i="10"/>
  <c r="H117" i="10"/>
  <c r="G117" i="10"/>
  <c r="F117" i="10"/>
  <c r="E117" i="10"/>
  <c r="D117" i="10"/>
  <c r="H116" i="10"/>
  <c r="G116" i="10"/>
  <c r="F116" i="10"/>
  <c r="E116" i="10"/>
  <c r="D116" i="10"/>
  <c r="H115" i="10"/>
  <c r="G115" i="10"/>
  <c r="F115" i="10"/>
  <c r="E115" i="10"/>
  <c r="D115" i="10"/>
  <c r="H114" i="10"/>
  <c r="G114" i="10"/>
  <c r="F114" i="10"/>
  <c r="E114" i="10"/>
  <c r="D114" i="10"/>
  <c r="H113" i="10"/>
  <c r="G113" i="10"/>
  <c r="F113" i="10"/>
  <c r="E113" i="10"/>
  <c r="D113" i="10"/>
  <c r="H112" i="10"/>
  <c r="G112" i="10"/>
  <c r="F112" i="10"/>
  <c r="E112" i="10"/>
  <c r="D112" i="10"/>
  <c r="H111" i="10"/>
  <c r="G111" i="10"/>
  <c r="F111" i="10"/>
  <c r="E111" i="10"/>
  <c r="D111" i="10"/>
  <c r="H110" i="10"/>
  <c r="G110" i="10"/>
  <c r="F110" i="10"/>
  <c r="E110" i="10"/>
  <c r="D110" i="10"/>
  <c r="H109" i="10"/>
  <c r="G109" i="10"/>
  <c r="F109" i="10"/>
  <c r="E109" i="10"/>
  <c r="D109" i="10"/>
  <c r="H108" i="10"/>
  <c r="G108" i="10"/>
  <c r="F108" i="10"/>
  <c r="E108" i="10"/>
  <c r="D108" i="10"/>
  <c r="H107" i="10"/>
  <c r="G107" i="10"/>
  <c r="F107" i="10"/>
  <c r="E107" i="10"/>
  <c r="D107" i="10"/>
  <c r="H106" i="10"/>
  <c r="G106" i="10"/>
  <c r="F106" i="10"/>
  <c r="E106" i="10"/>
  <c r="D106" i="10"/>
  <c r="H105" i="10"/>
  <c r="G105" i="10"/>
  <c r="F105" i="10"/>
  <c r="E105" i="10"/>
  <c r="D105" i="10"/>
  <c r="H104" i="10"/>
  <c r="G104" i="10"/>
  <c r="F104" i="10"/>
  <c r="E104" i="10"/>
  <c r="D104" i="10"/>
  <c r="H103" i="10"/>
  <c r="G103" i="10"/>
  <c r="F103" i="10"/>
  <c r="E103" i="10"/>
  <c r="D103" i="10"/>
  <c r="H102" i="10"/>
  <c r="G102" i="10"/>
  <c r="F102" i="10"/>
  <c r="E102" i="10"/>
  <c r="D102" i="10"/>
  <c r="H101" i="10"/>
  <c r="G101" i="10"/>
  <c r="F101" i="10"/>
  <c r="E101" i="10"/>
  <c r="D101" i="10"/>
  <c r="H100" i="10"/>
  <c r="G100" i="10"/>
  <c r="F100" i="10"/>
  <c r="E100" i="10"/>
  <c r="D100" i="10"/>
  <c r="H99" i="10"/>
  <c r="G99" i="10"/>
  <c r="F99" i="10"/>
  <c r="E99" i="10"/>
  <c r="D99" i="10"/>
  <c r="H98" i="10"/>
  <c r="G98" i="10"/>
  <c r="F98" i="10"/>
  <c r="E98" i="10"/>
  <c r="D98" i="10"/>
  <c r="H97" i="10"/>
  <c r="G97" i="10"/>
  <c r="F97" i="10"/>
  <c r="E97" i="10"/>
  <c r="D97" i="10"/>
  <c r="H96" i="10"/>
  <c r="G96" i="10"/>
  <c r="F96" i="10"/>
  <c r="E96" i="10"/>
  <c r="D96" i="10"/>
  <c r="H95" i="10"/>
  <c r="G95" i="10"/>
  <c r="F95" i="10"/>
  <c r="E95" i="10"/>
  <c r="D95" i="10"/>
  <c r="H94" i="10"/>
  <c r="G94" i="10"/>
  <c r="F94" i="10"/>
  <c r="E94" i="10"/>
  <c r="D94" i="10"/>
  <c r="H93" i="10"/>
  <c r="G93" i="10"/>
  <c r="F93" i="10"/>
  <c r="E93" i="10"/>
  <c r="D93" i="10"/>
  <c r="H92" i="10"/>
  <c r="G92" i="10"/>
  <c r="F92" i="10"/>
  <c r="E92" i="10"/>
  <c r="D92" i="10"/>
  <c r="H91" i="10"/>
  <c r="G91" i="10"/>
  <c r="F91" i="10"/>
  <c r="E91" i="10"/>
  <c r="D91" i="10"/>
  <c r="H90" i="10"/>
  <c r="G90" i="10"/>
  <c r="F90" i="10"/>
  <c r="E90" i="10"/>
  <c r="D90" i="10"/>
  <c r="H89" i="10"/>
  <c r="G89" i="10"/>
  <c r="F89" i="10"/>
  <c r="E89" i="10"/>
  <c r="D89" i="10"/>
  <c r="H88" i="10"/>
  <c r="G88" i="10"/>
  <c r="F88" i="10"/>
  <c r="E88" i="10"/>
  <c r="D88" i="10"/>
  <c r="H87" i="10"/>
  <c r="G87" i="10"/>
  <c r="F87" i="10"/>
  <c r="E87" i="10"/>
  <c r="D87" i="10"/>
  <c r="H86" i="10"/>
  <c r="G86" i="10"/>
  <c r="F86" i="10"/>
  <c r="E86" i="10"/>
  <c r="D86" i="10"/>
  <c r="H85" i="10"/>
  <c r="G85" i="10"/>
  <c r="F85" i="10"/>
  <c r="E85" i="10"/>
  <c r="D85" i="10"/>
  <c r="H84" i="10"/>
  <c r="G84" i="10"/>
  <c r="F84" i="10"/>
  <c r="E84" i="10"/>
  <c r="D84" i="10"/>
  <c r="H83" i="10"/>
  <c r="G83" i="10"/>
  <c r="F83" i="10"/>
  <c r="E83" i="10"/>
  <c r="D83" i="10"/>
  <c r="H78" i="10"/>
  <c r="G78" i="10"/>
  <c r="F78" i="10"/>
  <c r="E78" i="10"/>
  <c r="D78" i="10"/>
  <c r="H77" i="10"/>
  <c r="G77" i="10"/>
  <c r="F77" i="10"/>
  <c r="E77" i="10"/>
  <c r="D77" i="10"/>
  <c r="H76" i="10"/>
  <c r="G76" i="10"/>
  <c r="F76" i="10"/>
  <c r="E76" i="10"/>
  <c r="D76" i="10"/>
  <c r="H75" i="10"/>
  <c r="G75" i="10"/>
  <c r="F75" i="10"/>
  <c r="E75" i="10"/>
  <c r="D75" i="10"/>
  <c r="H74" i="10"/>
  <c r="G74" i="10"/>
  <c r="F74" i="10"/>
  <c r="E74" i="10"/>
  <c r="D74" i="10"/>
  <c r="H73" i="10"/>
  <c r="G73" i="10"/>
  <c r="F73" i="10"/>
  <c r="E73" i="10"/>
  <c r="D73" i="10"/>
  <c r="H72" i="10"/>
  <c r="G72" i="10"/>
  <c r="F72" i="10"/>
  <c r="E72" i="10"/>
  <c r="D72" i="10"/>
  <c r="H71" i="10"/>
  <c r="G71" i="10"/>
  <c r="F71" i="10"/>
  <c r="E71" i="10"/>
  <c r="D71" i="10"/>
  <c r="H60" i="10"/>
  <c r="G60" i="10"/>
  <c r="F60" i="10"/>
  <c r="E60" i="10"/>
  <c r="D60" i="10"/>
  <c r="H59" i="10"/>
  <c r="G59" i="10"/>
  <c r="F59" i="10"/>
  <c r="E59" i="10"/>
  <c r="D59" i="10"/>
  <c r="H58" i="10"/>
  <c r="G58" i="10"/>
  <c r="F58" i="10"/>
  <c r="E58" i="10"/>
  <c r="D58" i="10"/>
  <c r="H57" i="10"/>
  <c r="G57" i="10"/>
  <c r="F57" i="10"/>
  <c r="E57" i="10"/>
  <c r="D57" i="10"/>
  <c r="H56" i="10"/>
  <c r="G56" i="10"/>
  <c r="F56" i="10"/>
  <c r="E56" i="10"/>
  <c r="D56" i="10"/>
  <c r="H55" i="10"/>
  <c r="G55" i="10"/>
  <c r="F55" i="10"/>
  <c r="E55" i="10"/>
  <c r="D55" i="10"/>
  <c r="H54" i="10"/>
  <c r="G54" i="10"/>
  <c r="F54" i="10"/>
  <c r="E54" i="10"/>
  <c r="D54" i="10"/>
  <c r="H53" i="10"/>
  <c r="G53" i="10"/>
  <c r="F53" i="10"/>
  <c r="E53" i="10"/>
  <c r="D53" i="10"/>
  <c r="H52" i="10"/>
  <c r="G52" i="10"/>
  <c r="F52" i="10"/>
  <c r="E52" i="10"/>
  <c r="D52" i="10"/>
  <c r="H51" i="10"/>
  <c r="G51" i="10"/>
  <c r="F51" i="10"/>
  <c r="E51" i="10"/>
  <c r="D51" i="10"/>
  <c r="H50" i="10"/>
  <c r="G50" i="10"/>
  <c r="F50" i="10"/>
  <c r="E50" i="10"/>
  <c r="D50" i="10"/>
  <c r="H49" i="10"/>
  <c r="G49" i="10"/>
  <c r="F49" i="10"/>
  <c r="E49" i="10"/>
  <c r="D49" i="10"/>
  <c r="H48" i="10"/>
  <c r="G48" i="10"/>
  <c r="F48" i="10"/>
  <c r="E48" i="10"/>
  <c r="D48" i="10"/>
  <c r="H47" i="10"/>
  <c r="G47" i="10"/>
  <c r="F47" i="10"/>
  <c r="E47" i="10"/>
  <c r="D47" i="10"/>
  <c r="H46" i="10"/>
  <c r="G46" i="10"/>
  <c r="F46" i="10"/>
  <c r="E46" i="10"/>
  <c r="D46" i="10"/>
  <c r="H45" i="10"/>
  <c r="G45" i="10"/>
  <c r="F45" i="10"/>
  <c r="E45" i="10"/>
  <c r="D45" i="10"/>
  <c r="H44" i="10"/>
  <c r="G44" i="10"/>
  <c r="F44" i="10"/>
  <c r="E44" i="10"/>
  <c r="D44" i="10"/>
  <c r="H43" i="10"/>
  <c r="G43" i="10"/>
  <c r="F43" i="10"/>
  <c r="E43" i="10"/>
  <c r="D43" i="10"/>
  <c r="H42" i="10"/>
  <c r="G42" i="10"/>
  <c r="F42" i="10"/>
  <c r="E42" i="10"/>
  <c r="D42" i="10"/>
  <c r="H41" i="10"/>
  <c r="G41" i="10"/>
  <c r="F41" i="10"/>
  <c r="E41" i="10"/>
  <c r="D41" i="10"/>
  <c r="H40" i="10"/>
  <c r="G40" i="10"/>
  <c r="F40" i="10"/>
  <c r="E40" i="10"/>
  <c r="D40" i="10"/>
  <c r="H39" i="10"/>
  <c r="G39" i="10"/>
  <c r="F39" i="10"/>
  <c r="E39" i="10"/>
  <c r="D39" i="10"/>
  <c r="H38" i="10"/>
  <c r="G38" i="10"/>
  <c r="F38" i="10"/>
  <c r="E38" i="10"/>
  <c r="D38" i="10"/>
  <c r="H37" i="10"/>
  <c r="G37" i="10"/>
  <c r="F37" i="10"/>
  <c r="E37" i="10"/>
  <c r="D37" i="10"/>
  <c r="H36" i="10"/>
  <c r="G36" i="10"/>
  <c r="F36" i="10"/>
  <c r="E36" i="10"/>
  <c r="D36" i="10"/>
  <c r="H35" i="10"/>
  <c r="G35" i="10"/>
  <c r="F35" i="10"/>
  <c r="E35" i="10"/>
  <c r="D35" i="10"/>
  <c r="H34" i="10"/>
  <c r="G34" i="10"/>
  <c r="F34" i="10"/>
  <c r="E34" i="10"/>
  <c r="D34" i="10"/>
  <c r="H33" i="10"/>
  <c r="G33" i="10"/>
  <c r="F33" i="10"/>
  <c r="E33" i="10"/>
  <c r="D33" i="10"/>
  <c r="H32" i="10"/>
  <c r="G32" i="10"/>
  <c r="F32" i="10"/>
  <c r="E32" i="10"/>
  <c r="D32" i="10"/>
  <c r="H31" i="10"/>
  <c r="G31" i="10"/>
  <c r="F31" i="10"/>
  <c r="E31" i="10"/>
  <c r="D31" i="10"/>
  <c r="H30" i="10"/>
  <c r="G30" i="10"/>
  <c r="F30" i="10"/>
  <c r="E30" i="10"/>
  <c r="D30" i="10"/>
  <c r="H29" i="10"/>
  <c r="G29" i="10"/>
  <c r="F29" i="10"/>
  <c r="E29" i="10"/>
  <c r="D29" i="10"/>
  <c r="H28" i="10"/>
  <c r="G28" i="10"/>
  <c r="F28" i="10"/>
  <c r="E28" i="10"/>
  <c r="D28" i="10"/>
  <c r="H27" i="10"/>
  <c r="G27" i="10"/>
  <c r="F27" i="10"/>
  <c r="E27" i="10"/>
  <c r="D27" i="10"/>
  <c r="H26" i="10"/>
  <c r="G26" i="10"/>
  <c r="F26" i="10"/>
  <c r="E26" i="10"/>
  <c r="D26" i="10"/>
  <c r="H25" i="10"/>
  <c r="G25" i="10"/>
  <c r="F25" i="10"/>
  <c r="E25" i="10"/>
  <c r="D25" i="10"/>
  <c r="H24" i="10"/>
  <c r="G24" i="10"/>
  <c r="F24" i="10"/>
  <c r="E24" i="10"/>
  <c r="D24" i="10"/>
  <c r="H23" i="10"/>
  <c r="G23" i="10"/>
  <c r="F23" i="10"/>
  <c r="E23" i="10"/>
  <c r="D23" i="10"/>
  <c r="H22" i="10"/>
  <c r="G22" i="10"/>
  <c r="F22" i="10"/>
  <c r="E22" i="10"/>
  <c r="D22" i="10"/>
  <c r="H21" i="10"/>
  <c r="G21" i="10"/>
  <c r="F21" i="10"/>
  <c r="E21" i="10"/>
  <c r="D21" i="10"/>
  <c r="H20" i="10"/>
  <c r="G20" i="10"/>
  <c r="F20" i="10"/>
  <c r="E20" i="10"/>
  <c r="D20" i="10"/>
  <c r="H19" i="10"/>
  <c r="G19" i="10"/>
  <c r="F19" i="10"/>
  <c r="E19" i="10"/>
  <c r="D19" i="10"/>
  <c r="H18" i="10"/>
  <c r="G18" i="10"/>
  <c r="F18" i="10"/>
  <c r="E18" i="10"/>
  <c r="D18" i="10"/>
  <c r="H17" i="10"/>
  <c r="G17" i="10"/>
  <c r="F17" i="10"/>
  <c r="E17" i="10"/>
  <c r="D17" i="10"/>
  <c r="H16" i="10"/>
  <c r="G16" i="10"/>
  <c r="F16" i="10"/>
  <c r="E16" i="10"/>
  <c r="D16" i="10"/>
  <c r="H15" i="10"/>
  <c r="G15" i="10"/>
  <c r="F15" i="10"/>
  <c r="E15" i="10"/>
  <c r="D15" i="10"/>
  <c r="H14" i="10"/>
  <c r="G14" i="10"/>
  <c r="F14" i="10"/>
  <c r="E14" i="10"/>
  <c r="D14" i="10"/>
  <c r="H13" i="10"/>
  <c r="G13" i="10"/>
  <c r="F13" i="10"/>
  <c r="E13" i="10"/>
  <c r="D13" i="10"/>
  <c r="A2" i="10"/>
  <c r="B2" i="10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B50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B1" i="10"/>
  <c r="A1" i="10"/>
  <c r="K7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<sst xmlns="http://schemas.openxmlformats.org/spreadsheetml/2006/main" count="459" uniqueCount="188">
  <si>
    <t>ADM - SANTOS</t>
  </si>
  <si>
    <t>02.003.402/0007-60</t>
  </si>
  <si>
    <t>CNPJ</t>
  </si>
  <si>
    <t>DESTINO</t>
  </si>
  <si>
    <t>T-12 A</t>
  </si>
  <si>
    <t>TERM.XXXIX</t>
  </si>
  <si>
    <t>TERM. GRANEIS GUARUJA</t>
  </si>
  <si>
    <t>TEG</t>
  </si>
  <si>
    <t>56.216.872/0001-46</t>
  </si>
  <si>
    <t>04.244.527/0001-12</t>
  </si>
  <si>
    <t>05.527.694/0001-33</t>
  </si>
  <si>
    <t>09.079.434/0001-01</t>
  </si>
  <si>
    <t>Origem</t>
  </si>
  <si>
    <t>CUTRALE - SANTOS</t>
  </si>
  <si>
    <t>61.649.810/0018-06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</si>
  <si>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</si>
  <si>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</si>
  <si>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</si>
  <si>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</si>
  <si>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</si>
  <si>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</si>
  <si>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</si>
  <si>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</si>
  <si>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</si>
  <si>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</si>
  <si>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</si>
  <si>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</si>
  <si>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</si>
  <si>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</si>
  <si>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</si>
  <si>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</si>
  <si>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</si>
  <si>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Tubarão - moega</t>
  </si>
  <si>
    <t>33.592.510/0262-00</t>
  </si>
  <si>
    <t>ITAQUI</t>
  </si>
  <si>
    <t>42.276.907/0015-23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</si>
  <si>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</si>
  <si>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</si>
  <si>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</si>
  <si>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</si>
  <si>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</si>
  <si>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</si>
  <si>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</si>
  <si>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</si>
  <si>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</si>
  <si>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</si>
  <si>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</si>
  <si>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</si>
  <si>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</si>
  <si>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06315338020659</t>
  </si>
  <si>
    <t>COFCO - NOVA MUTUM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</si>
  <si>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</si>
  <si>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</si>
  <si>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</si>
  <si>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</si>
  <si>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</si>
  <si>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</si>
  <si>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</si>
  <si>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</si>
  <si>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</si>
  <si>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</si>
  <si>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</si>
  <si>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</si>
  <si>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</si>
  <si>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</si>
  <si>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</si>
  <si>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</si>
  <si>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</si>
  <si>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</si>
  <si>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</si>
  <si>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</si>
  <si>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</si>
  <si>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</si>
  <si>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</si>
  <si>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</si>
  <si>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</si>
  <si>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</si>
  <si>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</si>
  <si>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</si>
  <si>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</si>
  <si>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</t>
  </si>
  <si>
    <t>------</t>
  </si>
  <si>
    <t>Igual coluna A</t>
  </si>
  <si>
    <t>G</t>
  </si>
  <si>
    <t>M</t>
  </si>
  <si>
    <t>P</t>
  </si>
  <si>
    <t>W</t>
  </si>
  <si>
    <t>=I6</t>
  </si>
  <si>
    <t>Q</t>
  </si>
  <si>
    <t>C21</t>
  </si>
  <si>
    <t>C22</t>
  </si>
  <si>
    <t>C23</t>
  </si>
  <si>
    <t>C24</t>
  </si>
  <si>
    <t>C25</t>
  </si>
  <si>
    <t>C26</t>
  </si>
  <si>
    <t>C27</t>
  </si>
  <si>
    <t>C28</t>
  </si>
  <si>
    <t>20210226-TIPN-196489</t>
  </si>
  <si>
    <t>Soja</t>
  </si>
  <si>
    <t>20/21</t>
  </si>
  <si>
    <t>COFCO INTERNATIONAL BRASIL S.A. - SILVANOPOLIS</t>
  </si>
  <si>
    <t>06.315.338/0193-08</t>
  </si>
  <si>
    <t>COFCO INTERNATIONAL BRASIL S A - SILVANOPOLIS</t>
  </si>
  <si>
    <t>COFCO INTERNATIONAL BRASIL S.A. - Silvanópolis</t>
  </si>
  <si>
    <t>BTR4026</t>
  </si>
  <si>
    <t xml:space="preserve">Luis César Cassiano De Pádua </t>
  </si>
  <si>
    <t>5760</t>
  </si>
  <si>
    <t>1</t>
  </si>
  <si>
    <t>17210206315338019308550010000057601485969106</t>
  </si>
  <si>
    <t>TPSL -  Terminal Portuário São Luís</t>
  </si>
  <si>
    <t>20210303-TIPN-197458</t>
  </si>
  <si>
    <t>COFCO INTERNATIONAL BRASIL S.A. - SANTA ROSA DO TOCANTINS</t>
  </si>
  <si>
    <t>06.315.338/0194-80</t>
  </si>
  <si>
    <t>COFCO INTERNATIONAL BRASIL S A - SANTA ROSA DO TOCANTINS</t>
  </si>
  <si>
    <t>COFCO INTERNATIONAL BRASIL S.A. - Santa Rosa do Tocantins</t>
  </si>
  <si>
    <t>KEF5J68</t>
  </si>
  <si>
    <t>Claudivan Barbosa Dourado</t>
  </si>
  <si>
    <t>9247</t>
  </si>
  <si>
    <t>17210306315338019480550010000092471457579545</t>
  </si>
  <si>
    <t>20210303-TIPN-197491</t>
  </si>
  <si>
    <t>MHF9056</t>
  </si>
  <si>
    <t>JOSE ABREU</t>
  </si>
  <si>
    <t>9249</t>
  </si>
  <si>
    <t>17210306315338019480550010000092491138755898</t>
  </si>
  <si>
    <t>20210303-TIPN-197500</t>
  </si>
  <si>
    <t>MWT8411</t>
  </si>
  <si>
    <t>ALEX REGINALDO SEIXAS QUERIDO</t>
  </si>
  <si>
    <t>9251</t>
  </si>
  <si>
    <t>17210306315338019480550010000092511417332312</t>
  </si>
  <si>
    <t>20210304-TIPN-197737</t>
  </si>
  <si>
    <t>9256</t>
  </si>
  <si>
    <t>17210306315338019480550010000092561924306084</t>
  </si>
  <si>
    <t>20210304-TIPN-197823</t>
  </si>
  <si>
    <t>GAT6661</t>
  </si>
  <si>
    <t>JOSE ALTAIR MIERSCH</t>
  </si>
  <si>
    <t>9258</t>
  </si>
  <si>
    <t>17210306315338019480550010000092581733208449</t>
  </si>
  <si>
    <t>20210305-TIPN-197967</t>
  </si>
  <si>
    <t>9260</t>
  </si>
  <si>
    <t>17210306315338019480550010000092601895675059</t>
  </si>
  <si>
    <t>20210305-TIPN-198137</t>
  </si>
  <si>
    <t>HWU7G70</t>
  </si>
  <si>
    <t>RAIMUNDO NONATO BITTENCOURT VERAS</t>
  </si>
  <si>
    <t>9267</t>
  </si>
  <si>
    <t>17210306315338019480550010000092671577540401</t>
  </si>
  <si>
    <t>20210306-TIPN-198204</t>
  </si>
  <si>
    <t>EGJ0479</t>
  </si>
  <si>
    <t>LESLEI CARLOS URBANO DOS SANTOS</t>
  </si>
  <si>
    <t>9269</t>
  </si>
  <si>
    <t>17210306315338019480550010000092691709826069</t>
  </si>
  <si>
    <t>20210306-TIPN-198344</t>
  </si>
  <si>
    <t>NZF1J66</t>
  </si>
  <si>
    <t>NILSO TIBOLLA</t>
  </si>
  <si>
    <t>9279</t>
  </si>
  <si>
    <t>17210306315338019480550010000092791590161703</t>
  </si>
  <si>
    <t>20210306-TIPN-198361</t>
  </si>
  <si>
    <t>9281</t>
  </si>
  <si>
    <t>17210306315338019480550010000092811878599510</t>
  </si>
  <si>
    <t>20210306-TIPN-198375</t>
  </si>
  <si>
    <t>QWB1D09</t>
  </si>
  <si>
    <t>Valtenilson Ribeiro Batista</t>
  </si>
  <si>
    <t>9282</t>
  </si>
  <si>
    <t>17210306315338019480550010000092821888038003</t>
  </si>
  <si>
    <t>20210307-TIPN-198474</t>
  </si>
  <si>
    <t>JCR0380</t>
  </si>
  <si>
    <t>JOSE MARTINS DA SILVA NETO</t>
  </si>
  <si>
    <t>9284</t>
  </si>
  <si>
    <t>17210306315338019480550010000092841801485139</t>
  </si>
  <si>
    <t>20210307-TIPN-198526</t>
  </si>
  <si>
    <t>NBK1936</t>
  </si>
  <si>
    <t>EMERSON DE OLIVEIRA REGININI</t>
  </si>
  <si>
    <t>9291</t>
  </si>
  <si>
    <t>17210306315338019480550010000092911119055634</t>
  </si>
  <si>
    <t>20210307-TIPN-198525</t>
  </si>
  <si>
    <t>HRG6450</t>
  </si>
  <si>
    <t>Clayton De Oliveira Reginini</t>
  </si>
  <si>
    <t>9289</t>
  </si>
  <si>
    <t>17210306315338019480550010000092891176999982</t>
  </si>
  <si>
    <t>20210308-TIPN-198772</t>
  </si>
  <si>
    <t>9296</t>
  </si>
  <si>
    <t>17210306315338019480550010000092961432249643</t>
  </si>
  <si>
    <t>26/02/2021</t>
  </si>
  <si>
    <t>03/03/2021</t>
  </si>
  <si>
    <t>04/03/2021</t>
  </si>
  <si>
    <t>05/03/2021</t>
  </si>
  <si>
    <t>06/03/2021</t>
  </si>
  <si>
    <t>07/03/2021</t>
  </si>
  <si>
    <t>08/03/2021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</si>
</sst>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409]#,##0"/>
    <numFmt numFmtId="165" formatCode="[$-416]dd\-mmm\-yy;@"/>
    <numFmt numFmtId="166" formatCode="#,##0.000"/>
    <numFmt numFmtId="168" formatCode="dd/mm/yyyy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</fills>
  <borders count="3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 style="thin">
        <color rgb="FFE8DCDC"/>
      </left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9" fillId="0" borderId="0"/>
    <xf numFmtId="0" fontId="10" fillId="0" borderId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</cellStyleXfs>
  <cellXfs count="77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3" fillId="0" borderId="0" xfId="0" applyFont="1" applyAlignment="1" applyProtection="1">
      <alignment horizontal="left" vertical="top"/>
      <protection locked="0"/>
    </xf>
    <xf numFmtId="0" fontId="8" fillId="0" borderId="0" xfId="0" applyFont="1"/>
    <xf numFmtId="49" fontId="8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9" fillId="0" borderId="0" xfId="3"/>
    <xf numFmtId="0" fontId="0" fillId="0" borderId="2" xfId="0" applyBorder="1"/>
    <xf numFmtId="0" fontId="0" fillId="0" borderId="1" xfId="0" pivotButton="1" applyBorder="1"/>
    <xf numFmtId="0" fontId="0" fillId="0" borderId="0" xfId="0" quotePrefix="1"/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 wrapText="1"/>
    </xf>
    <xf numFmtId="49" fontId="0" fillId="0" borderId="18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3" fontId="0" fillId="0" borderId="18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165" fontId="13" fillId="0" borderId="22" xfId="0" applyNumberFormat="1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14" fontId="13" fillId="0" borderId="22" xfId="0" applyNumberFormat="1" applyFont="1" applyBorder="1" applyAlignment="1">
      <alignment horizontal="center" vertical="center"/>
    </xf>
    <xf numFmtId="3" fontId="0" fillId="0" borderId="22" xfId="0" applyNumberFormat="1" applyBorder="1" applyAlignment="1">
      <alignment horizontal="center" vertical="center"/>
    </xf>
    <xf numFmtId="3" fontId="13" fillId="0" borderId="22" xfId="0" applyNumberFormat="1" applyFont="1" applyBorder="1" applyAlignment="1">
      <alignment horizontal="center" vertical="center"/>
    </xf>
    <xf numFmtId="0" fontId="0" fillId="4" borderId="0" xfId="0" applyFill="1"/>
    <xf numFmtId="49" fontId="0" fillId="0" borderId="3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2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0" fillId="0" borderId="2" xfId="0" applyNumberFormat="1" applyBorder="1"/>
    <xf numFmtId="0" fontId="0" fillId="0" borderId="25" xfId="0" applyNumberFormat="1" applyBorder="1"/>
    <xf numFmtId="20" fontId="0" fillId="6" borderId="27" xfId="0" applyNumberFormat="1" applyFill="1" applyBorder="1" applyAlignment="1">
      <alignment wrapText="1"/>
    </xf>
    <xf numFmtId="49" fontId="0" fillId="6" borderId="27" xfId="0" applyNumberFormat="1" applyFill="1" applyBorder="1" applyAlignment="1">
      <alignment horizontal="right" wrapText="1"/>
    </xf>
    <xf numFmtId="14" fontId="0" fillId="6" borderId="28" xfId="0" applyNumberFormat="1" applyFill="1" applyBorder="1" applyAlignment="1">
      <alignment horizontal="center" wrapText="1"/>
    </xf>
    <xf numFmtId="166" fontId="0" fillId="6" borderId="27" xfId="0" applyNumberFormat="1" applyFill="1" applyBorder="1" applyAlignment="1">
      <alignment horizontal="right" wrapText="1"/>
    </xf>
    <xf numFmtId="49" fontId="0" fillId="6" borderId="28" xfId="0" applyNumberFormat="1" applyFill="1" applyBorder="1" applyAlignment="1">
      <alignment horizontal="right" wrapText="1"/>
    </xf>
    <xf numFmtId="166" fontId="0" fillId="6" borderId="28" xfId="0" applyNumberFormat="1" applyFill="1" applyBorder="1" applyAlignment="1">
      <alignment horizontal="right" wrapText="1"/>
    </xf>
    <xf numFmtId="166" fontId="0" fillId="6" borderId="0" xfId="0" applyNumberFormat="1" applyFill="1" applyAlignment="1">
      <alignment horizontal="right"/>
    </xf>
    <xf numFmtId="166" fontId="0" fillId="6" borderId="29" xfId="0" applyNumberFormat="1" applyFill="1" applyBorder="1"/>
    <xf numFmtId="0" fontId="0" fillId="6" borderId="29" xfId="0" applyFill="1" applyBorder="1" applyAlignment="1">
      <alignment horizontal="center"/>
    </xf>
    <xf numFmtId="164" fontId="0" fillId="0" borderId="1" xfId="0" applyNumberFormat="1" applyBorder="1"/>
    <xf numFmtId="164" fontId="0" fillId="0" borderId="24" xfId="0" applyNumberFormat="1" applyBorder="1"/>
    <xf numFmtId="14" fontId="0" fillId="6" borderId="26" xfId="0" applyNumberFormat="1" applyFill="1" applyBorder="1" applyAlignment="1">
      <alignment wrapText="1"/>
    </xf>
    <xf numFmtId="49" fontId="0" fillId="0" borderId="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168" fontId="0" fillId="0" borderId="0" xfId="0" applyNumberFormat="1"/>
    <xf numFmtId="168" fontId="0" fillId="6" borderId="26" xfId="0" applyNumberFormat="1" applyFill="1" applyBorder="1" applyAlignment="1">
      <alignment wrapText="1"/>
    </xf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/>
      <sheetData sheetId="1" refreshError="1"/>
      <sheetData sheetId="2">
        <row r="1">
          <cell r="A1" t="str">
            <v>CNPJ</v>
          </cell>
          <cell r="B1" t="str">
            <v>FILIAL</v>
          </cell>
        </row>
        <row r="2">
          <cell r="A2" t="str">
            <v>06315338000119</v>
          </cell>
          <cell r="B2" t="str">
            <v>COFCO SÃO PAULO</v>
          </cell>
        </row>
        <row r="3">
          <cell r="A3" t="str">
            <v>06315338000380</v>
          </cell>
          <cell r="B3" t="str">
            <v>COFCO SANTOS</v>
          </cell>
        </row>
        <row r="4">
          <cell r="A4" t="str">
            <v>06315338000623</v>
          </cell>
          <cell r="B4" t="str">
            <v>COFCO ALFENAS</v>
          </cell>
        </row>
        <row r="5">
          <cell r="A5" t="str">
            <v>06315338000542</v>
          </cell>
          <cell r="B5" t="str">
            <v>COFCO LONDRINA</v>
          </cell>
        </row>
        <row r="6">
          <cell r="A6" t="str">
            <v>29332398001206</v>
          </cell>
          <cell r="B6" t="str">
            <v>COFCO RONDONÓPOLIS</v>
          </cell>
        </row>
        <row r="7">
          <cell r="A7" t="str">
            <v>06315338000208</v>
          </cell>
          <cell r="B7" t="str">
            <v>COFCO CUIABÁ</v>
          </cell>
        </row>
        <row r="8">
          <cell r="A8" t="str">
            <v>29332398003675</v>
          </cell>
          <cell r="B8" t="str">
            <v>COFCO PASSO FUNDO</v>
          </cell>
        </row>
        <row r="9">
          <cell r="A9" t="str">
            <v>06315338001603</v>
          </cell>
          <cell r="B9" t="str">
            <v>COFCO MARINGÁ</v>
          </cell>
        </row>
        <row r="10">
          <cell r="A10" t="str">
            <v>29332398000307</v>
          </cell>
          <cell r="B10" t="str">
            <v>COFCO CAMPO VERDE</v>
          </cell>
        </row>
        <row r="11">
          <cell r="A11" t="str">
            <v>06315338001786</v>
          </cell>
          <cell r="B11" t="str">
            <v>COFCO JAPURA</v>
          </cell>
        </row>
        <row r="12">
          <cell r="A12" t="str">
            <v>29332398000730</v>
          </cell>
          <cell r="B12" t="str">
            <v>COFCO NOVA MARINGA</v>
          </cell>
          <cell r="D12" t="str">
            <v>06315338000119</v>
          </cell>
          <cell r="E12">
            <v>100</v>
          </cell>
          <cell r="F12" t="str">
            <v>06315338000119</v>
          </cell>
          <cell r="G12">
            <v>1</v>
          </cell>
          <cell r="H12" t="str">
            <v>COFCO SÃO PAULO</v>
          </cell>
        </row>
        <row r="13">
          <cell r="A13" t="str">
            <v>29332398000498</v>
          </cell>
          <cell r="B13" t="str">
            <v>COFCO SORRISO</v>
          </cell>
          <cell r="D13" t="str">
            <v>06315338000380</v>
          </cell>
          <cell r="E13">
            <v>101</v>
          </cell>
          <cell r="F13" t="str">
            <v>06315338000380</v>
          </cell>
          <cell r="G13">
            <v>1</v>
          </cell>
          <cell r="H13" t="str">
            <v>COFCO SANTOS</v>
          </cell>
        </row>
        <row r="14">
          <cell r="A14" t="str">
            <v>29332398003403</v>
          </cell>
          <cell r="B14" t="str">
            <v>COFCO LUIS ED. MAGALHÃES</v>
          </cell>
          <cell r="D14" t="str">
            <v>06315338000623</v>
          </cell>
          <cell r="E14">
            <v>102</v>
          </cell>
          <cell r="F14" t="str">
            <v>06315338000623</v>
          </cell>
          <cell r="G14">
            <v>2</v>
          </cell>
          <cell r="H14" t="str">
            <v>COFCO ALFENAS</v>
          </cell>
        </row>
        <row r="15">
          <cell r="A15" t="str">
            <v>06315338002677</v>
          </cell>
          <cell r="B15" t="str">
            <v>COFCO RONDONÓPOLIS/CHUSHING</v>
          </cell>
          <cell r="D15" t="str">
            <v>06315338000542</v>
          </cell>
          <cell r="E15">
            <v>103</v>
          </cell>
          <cell r="F15" t="str">
            <v>06315338000542</v>
          </cell>
          <cell r="G15">
            <v>1</v>
          </cell>
          <cell r="H15" t="str">
            <v>COFCO LONDRINA</v>
          </cell>
        </row>
        <row r="16">
          <cell r="A16" t="str">
            <v>06315338002839</v>
          </cell>
          <cell r="B16" t="str">
            <v>COFCO JATAI</v>
          </cell>
          <cell r="D16" t="str">
            <v>29332398001206</v>
          </cell>
          <cell r="E16">
            <v>906</v>
          </cell>
          <cell r="F16" t="str">
            <v>29332398001206</v>
          </cell>
          <cell r="G16">
            <v>1</v>
          </cell>
          <cell r="H16" t="str">
            <v>COFCO RONDONÓPOLIS</v>
          </cell>
        </row>
        <row r="17">
          <cell r="A17" t="str">
            <v>29332398001389</v>
          </cell>
          <cell r="B17" t="str">
            <v>COFCO LUCAS R. V. /NOVA MUTUM</v>
          </cell>
          <cell r="D17" t="str">
            <v>06315338000208</v>
          </cell>
          <cell r="E17">
            <v>107</v>
          </cell>
          <cell r="F17" t="str">
            <v>06315338000208</v>
          </cell>
          <cell r="G17">
            <v>1</v>
          </cell>
          <cell r="H17" t="str">
            <v>COFCO CUIABÁ</v>
          </cell>
        </row>
        <row r="18">
          <cell r="A18" t="str">
            <v>29332398000811</v>
          </cell>
          <cell r="B18" t="str">
            <v>COFCO PRMAVERA DO LESTE</v>
          </cell>
          <cell r="D18" t="str">
            <v>29332398003675</v>
          </cell>
          <cell r="E18">
            <v>908</v>
          </cell>
          <cell r="F18" t="str">
            <v>29332398003675</v>
          </cell>
          <cell r="G18">
            <v>1</v>
          </cell>
          <cell r="H18" t="str">
            <v>COFCO PASSO FUNDO</v>
          </cell>
        </row>
        <row r="19">
          <cell r="A19" t="str">
            <v>06315338005005</v>
          </cell>
          <cell r="B19" t="str">
            <v>COFCO NOVA UBIRATA</v>
          </cell>
          <cell r="D19" t="str">
            <v>06315338001603</v>
          </cell>
          <cell r="E19">
            <v>110</v>
          </cell>
          <cell r="F19" t="str">
            <v>06315338001603</v>
          </cell>
          <cell r="G19">
            <v>1</v>
          </cell>
          <cell r="H19" t="str">
            <v>COFCO MARINGÁ</v>
          </cell>
        </row>
        <row r="20">
          <cell r="A20" t="str">
            <v>06315338000269</v>
          </cell>
          <cell r="B20" t="str">
            <v>COFCO NORTELANDIA</v>
          </cell>
          <cell r="D20" t="str">
            <v>29332398000307</v>
          </cell>
          <cell r="E20">
            <v>911</v>
          </cell>
          <cell r="F20" t="str">
            <v>29332398000307</v>
          </cell>
          <cell r="G20">
            <v>1</v>
          </cell>
          <cell r="H20" t="str">
            <v>COFCO CAMPO VERDE</v>
          </cell>
        </row>
        <row r="21">
          <cell r="A21" t="str">
            <v>06315338003053</v>
          </cell>
          <cell r="B21" t="str">
            <v>COFCO PONTA GROSSA</v>
          </cell>
          <cell r="D21" t="str">
            <v>06315338001786</v>
          </cell>
          <cell r="E21">
            <v>112</v>
          </cell>
          <cell r="F21" t="str">
            <v>06315338001786</v>
          </cell>
          <cell r="G21">
            <v>1</v>
          </cell>
          <cell r="H21" t="str">
            <v>COFCO JAPURA</v>
          </cell>
        </row>
        <row r="22">
          <cell r="A22" t="str">
            <v>06315338003134</v>
          </cell>
          <cell r="B22" t="str">
            <v>COFCO SINOP</v>
          </cell>
          <cell r="D22" t="str">
            <v>29332398000730</v>
          </cell>
          <cell r="E22">
            <v>914</v>
          </cell>
          <cell r="F22" t="str">
            <v>29332398000730</v>
          </cell>
          <cell r="G22">
            <v>1</v>
          </cell>
          <cell r="H22" t="str">
            <v>COFCO NOVA MARINGA</v>
          </cell>
        </row>
        <row r="23">
          <cell r="A23" t="str">
            <v>29332398004213</v>
          </cell>
          <cell r="B23" t="str">
            <v xml:space="preserve">COFCO </v>
          </cell>
          <cell r="D23" t="str">
            <v>29332398000498</v>
          </cell>
          <cell r="E23">
            <v>915</v>
          </cell>
          <cell r="F23" t="str">
            <v>29332398000498</v>
          </cell>
          <cell r="G23">
            <v>1</v>
          </cell>
          <cell r="H23" t="str">
            <v>COFCO SORRISO</v>
          </cell>
        </row>
        <row r="24">
          <cell r="A24" t="str">
            <v>06315338016546</v>
          </cell>
          <cell r="B24" t="str">
            <v>COFCO FELIZ NATAL</v>
          </cell>
          <cell r="D24" t="str">
            <v>29332398003403</v>
          </cell>
          <cell r="E24">
            <v>916</v>
          </cell>
          <cell r="F24" t="str">
            <v>29332398003403</v>
          </cell>
          <cell r="G24">
            <v>1</v>
          </cell>
          <cell r="H24" t="str">
            <v>COFCO LUIS ED. MAGALHÃES</v>
          </cell>
        </row>
        <row r="25">
          <cell r="A25" t="str">
            <v>29332398004132</v>
          </cell>
          <cell r="B25" t="str">
            <v>COFCO ITAITUBA</v>
          </cell>
          <cell r="D25" t="str">
            <v>06315338002677</v>
          </cell>
          <cell r="E25">
            <v>930</v>
          </cell>
          <cell r="F25" t="str">
            <v>06315338002677</v>
          </cell>
          <cell r="G25">
            <v>1</v>
          </cell>
          <cell r="H25" t="str">
            <v>COFCO RONDONÓPOLIS/CHUSHING</v>
          </cell>
        </row>
        <row r="26">
          <cell r="A26" t="str">
            <v>06315338016970</v>
          </cell>
          <cell r="B26" t="str">
            <v>COFCO NOVO MUNDO</v>
          </cell>
          <cell r="D26" t="str">
            <v>06315338002839</v>
          </cell>
          <cell r="E26">
            <v>131</v>
          </cell>
          <cell r="F26" t="str">
            <v>06315338002839</v>
          </cell>
          <cell r="G26">
            <v>2</v>
          </cell>
          <cell r="H26" t="str">
            <v>COFCO JATAI</v>
          </cell>
        </row>
        <row r="27">
          <cell r="A27" t="str">
            <v>29332398000579</v>
          </cell>
          <cell r="B27" t="str">
            <v>COFCO ITANHANGÁ</v>
          </cell>
          <cell r="D27" t="str">
            <v>29332398001389</v>
          </cell>
          <cell r="E27">
            <v>932</v>
          </cell>
          <cell r="F27" t="str">
            <v>29332398001389</v>
          </cell>
          <cell r="G27">
            <v>1</v>
          </cell>
          <cell r="H27" t="str">
            <v>COFCO LUCAS R. V. /NOVA MUTUM</v>
          </cell>
        </row>
        <row r="28">
          <cell r="A28" t="str">
            <v>06315338017194</v>
          </cell>
          <cell r="B28" t="str">
            <v>COFCO MARCELANDIA</v>
          </cell>
          <cell r="D28" t="str">
            <v>29332398000811</v>
          </cell>
          <cell r="E28">
            <v>934</v>
          </cell>
          <cell r="F28" t="str">
            <v>29332398000811</v>
          </cell>
          <cell r="G28">
            <v>1</v>
          </cell>
          <cell r="H28" t="str">
            <v>COFCO PRMAVERA DO LESTE</v>
          </cell>
        </row>
        <row r="29">
          <cell r="A29" t="str">
            <v>06315338017275</v>
          </cell>
          <cell r="B29" t="str">
            <v>COFCO CATALÃO</v>
          </cell>
          <cell r="D29" t="str">
            <v>06315338005005</v>
          </cell>
          <cell r="E29">
            <v>135</v>
          </cell>
          <cell r="F29" t="str">
            <v>06315338005005</v>
          </cell>
          <cell r="G29">
            <v>1</v>
          </cell>
          <cell r="H29" t="str">
            <v>COFCO NOVA UBIRATA</v>
          </cell>
        </row>
        <row r="30">
          <cell r="A30" t="str">
            <v>29332398004051</v>
          </cell>
          <cell r="B30" t="str">
            <v>COFCO PARAGOMINAS</v>
          </cell>
          <cell r="D30" t="str">
            <v>06315338000269</v>
          </cell>
          <cell r="E30">
            <v>136</v>
          </cell>
          <cell r="F30" t="str">
            <v>06315338000269</v>
          </cell>
          <cell r="G30">
            <v>1</v>
          </cell>
          <cell r="H30" t="str">
            <v>COFCO NORTELANDIA</v>
          </cell>
        </row>
        <row r="31">
          <cell r="A31" t="str">
            <v>06315338017437</v>
          </cell>
          <cell r="B31" t="str">
            <v>COFCO TRÊS CORAÇÕES</v>
          </cell>
          <cell r="D31" t="str">
            <v>06315338003053</v>
          </cell>
          <cell r="E31">
            <v>137</v>
          </cell>
          <cell r="F31" t="str">
            <v>06315338003053</v>
          </cell>
          <cell r="G31">
            <v>1</v>
          </cell>
          <cell r="H31" t="str">
            <v>COFCO PONTA GROSSA</v>
          </cell>
        </row>
        <row r="32">
          <cell r="A32" t="str">
            <v>29332398001036</v>
          </cell>
          <cell r="B32" t="str">
            <v>COFCO DIAMANTINO</v>
          </cell>
          <cell r="D32" t="str">
            <v>06315338003134</v>
          </cell>
          <cell r="E32">
            <v>139</v>
          </cell>
          <cell r="F32" t="str">
            <v>06315338003134</v>
          </cell>
          <cell r="G32">
            <v>1</v>
          </cell>
          <cell r="H32" t="str">
            <v>COFCO SINOP</v>
          </cell>
        </row>
        <row r="33">
          <cell r="A33" t="str">
            <v>06315338018247</v>
          </cell>
          <cell r="B33" t="str">
            <v>COFCO SORRISO II</v>
          </cell>
          <cell r="D33" t="str">
            <v>29332398004213</v>
          </cell>
          <cell r="E33">
            <v>943</v>
          </cell>
          <cell r="F33" t="str">
            <v>29332398004213</v>
          </cell>
          <cell r="G33">
            <v>1</v>
          </cell>
          <cell r="H33" t="str">
            <v xml:space="preserve">COFCO </v>
          </cell>
        </row>
        <row r="34">
          <cell r="A34" t="str">
            <v>06315338018409</v>
          </cell>
          <cell r="B34" t="str">
            <v>COFCO NOVA UBIRATA II</v>
          </cell>
          <cell r="D34" t="str">
            <v>06315338016546</v>
          </cell>
          <cell r="E34">
            <v>144</v>
          </cell>
          <cell r="F34" t="str">
            <v>06315338016546</v>
          </cell>
          <cell r="G34">
            <v>1</v>
          </cell>
          <cell r="H34" t="str">
            <v>COFCO FELIZ NATAL</v>
          </cell>
        </row>
        <row r="35">
          <cell r="A35" t="str">
            <v>06315338018166</v>
          </cell>
          <cell r="B35" t="str">
            <v>COFCO CANARANA</v>
          </cell>
          <cell r="D35" t="str">
            <v>29332398004132</v>
          </cell>
          <cell r="E35">
            <v>946</v>
          </cell>
          <cell r="F35" t="str">
            <v>29332398004132</v>
          </cell>
          <cell r="G35">
            <v>1</v>
          </cell>
          <cell r="H35" t="str">
            <v>COFCO ITAITUBA</v>
          </cell>
        </row>
        <row r="36">
          <cell r="A36" t="str">
            <v>29332398000650</v>
          </cell>
          <cell r="B36" t="str">
            <v>COFCO IPIRANGA DO NORTE</v>
          </cell>
          <cell r="D36" t="str">
            <v>06315338016970</v>
          </cell>
          <cell r="E36">
            <v>148</v>
          </cell>
          <cell r="F36" t="str">
            <v>06315338016970</v>
          </cell>
          <cell r="G36">
            <v>1</v>
          </cell>
          <cell r="H36" t="str">
            <v>COFCO NOVO MUNDO</v>
          </cell>
        </row>
        <row r="37">
          <cell r="A37" t="str">
            <v>06315338018670</v>
          </cell>
          <cell r="B37" t="str">
            <v>COFCO SANTA CARMEM</v>
          </cell>
          <cell r="D37" t="str">
            <v>29332398000579</v>
          </cell>
          <cell r="E37">
            <v>949</v>
          </cell>
          <cell r="F37" t="str">
            <v>29332398000579</v>
          </cell>
          <cell r="G37">
            <v>1</v>
          </cell>
          <cell r="H37" t="str">
            <v>COFCO ITANHANGÁ</v>
          </cell>
        </row>
        <row r="38">
          <cell r="A38" t="str">
            <v>06315338018328</v>
          </cell>
          <cell r="B38" t="str">
            <v>COFCO NOVA SANTA HELENA</v>
          </cell>
          <cell r="D38" t="str">
            <v>06315338017194</v>
          </cell>
          <cell r="E38">
            <v>179</v>
          </cell>
          <cell r="F38" t="str">
            <v>06315338017194</v>
          </cell>
          <cell r="G38">
            <v>1</v>
          </cell>
          <cell r="H38" t="str">
            <v>COFCO MARCELANDIA</v>
          </cell>
        </row>
        <row r="39">
          <cell r="A39" t="str">
            <v>06315338017941</v>
          </cell>
          <cell r="B39" t="str">
            <v>COFCO CLAUDIA - NIDERA</v>
          </cell>
          <cell r="D39" t="str">
            <v>06315338017275</v>
          </cell>
          <cell r="E39">
            <v>181</v>
          </cell>
          <cell r="F39" t="str">
            <v>06315338017275</v>
          </cell>
          <cell r="G39">
            <v>1</v>
          </cell>
          <cell r="H39" t="str">
            <v>COFCO CATALÃO</v>
          </cell>
        </row>
        <row r="40">
          <cell r="A40" t="str">
            <v>29332398000900</v>
          </cell>
          <cell r="B40" t="str">
            <v>COFCO TANGARA DA SERRA</v>
          </cell>
          <cell r="D40" t="str">
            <v>29332398004051</v>
          </cell>
          <cell r="E40">
            <v>982</v>
          </cell>
          <cell r="F40" t="str">
            <v>29332398004051</v>
          </cell>
          <cell r="G40">
            <v>1</v>
          </cell>
          <cell r="H40" t="str">
            <v>COFCO PARAGOMINAS</v>
          </cell>
        </row>
        <row r="41">
          <cell r="A41" t="str">
            <v>29332398003756</v>
          </cell>
          <cell r="B41" t="str">
            <v xml:space="preserve">COFCO </v>
          </cell>
          <cell r="D41" t="str">
            <v>06315338017437</v>
          </cell>
          <cell r="E41">
            <v>183</v>
          </cell>
          <cell r="F41" t="str">
            <v>06315338017437</v>
          </cell>
          <cell r="G41">
            <v>1</v>
          </cell>
          <cell r="H41" t="str">
            <v>COFCO TRÊS CORAÇÕES</v>
          </cell>
        </row>
        <row r="42">
          <cell r="A42" t="str">
            <v>06315338019308</v>
          </cell>
          <cell r="B42" t="str">
            <v>COFCO SILVANOPOLIS</v>
          </cell>
          <cell r="D42" t="str">
            <v>29332398001036</v>
          </cell>
          <cell r="E42">
            <v>984</v>
          </cell>
          <cell r="F42" t="str">
            <v>29332398001036</v>
          </cell>
          <cell r="G42">
            <v>1</v>
          </cell>
          <cell r="H42" t="str">
            <v>COFCO DIAMANTINO</v>
          </cell>
        </row>
        <row r="43">
          <cell r="A43" t="str">
            <v>29332398004302</v>
          </cell>
          <cell r="B43" t="str">
            <v>COFCO SANTA ROSA</v>
          </cell>
          <cell r="D43" t="str">
            <v>06315338018247</v>
          </cell>
          <cell r="E43">
            <v>190</v>
          </cell>
          <cell r="F43" t="str">
            <v>06315338018247</v>
          </cell>
          <cell r="G43">
            <v>1</v>
          </cell>
          <cell r="H43" t="str">
            <v>COFCO SORRISO II</v>
          </cell>
        </row>
        <row r="44">
          <cell r="A44" t="str">
            <v>29332398003918</v>
          </cell>
          <cell r="B44" t="str">
            <v>COFCO UBERLANDIA</v>
          </cell>
          <cell r="D44" t="str">
            <v>06315338018409</v>
          </cell>
          <cell r="E44">
            <v>192</v>
          </cell>
          <cell r="F44" t="str">
            <v>06315338018409</v>
          </cell>
          <cell r="G44">
            <v>1</v>
          </cell>
          <cell r="H44" t="str">
            <v>COFCO NOVA UBIRATA II</v>
          </cell>
        </row>
        <row r="45">
          <cell r="A45" t="str">
            <v>29332398000226</v>
          </cell>
          <cell r="B45" t="str">
            <v>COFCO RONDONOPOLIS/FABRICA</v>
          </cell>
          <cell r="D45" t="str">
            <v>06315338018166</v>
          </cell>
          <cell r="E45">
            <v>193</v>
          </cell>
          <cell r="F45" t="str">
            <v>06315338018166</v>
          </cell>
          <cell r="G45">
            <v>1</v>
          </cell>
          <cell r="H45" t="str">
            <v>COFCO CANARANA</v>
          </cell>
        </row>
        <row r="46">
          <cell r="A46" t="str">
            <v>06315338001948</v>
          </cell>
          <cell r="B46" t="str">
            <v>COFCO LEN</v>
          </cell>
          <cell r="D46" t="str">
            <v>29332398000650</v>
          </cell>
          <cell r="E46">
            <v>994</v>
          </cell>
          <cell r="F46" t="str">
            <v>29332398000650</v>
          </cell>
          <cell r="G46">
            <v>1</v>
          </cell>
          <cell r="H46" t="str">
            <v>COFCO IPIRANGA DO NORTE</v>
          </cell>
        </row>
        <row r="47">
          <cell r="A47" t="str">
            <v>06315338019219</v>
          </cell>
          <cell r="B47" t="str">
            <v>COFCO UNAI</v>
          </cell>
          <cell r="D47" t="str">
            <v>06315338018670</v>
          </cell>
          <cell r="E47">
            <v>195</v>
          </cell>
          <cell r="F47" t="str">
            <v>06315338018670</v>
          </cell>
          <cell r="G47">
            <v>1</v>
          </cell>
          <cell r="H47" t="str">
            <v>COFCO SANTA CARMEM</v>
          </cell>
        </row>
        <row r="48">
          <cell r="A48" t="str">
            <v>06315338019480</v>
          </cell>
          <cell r="B48" t="str">
            <v>COFCO SANTA ROSA</v>
          </cell>
          <cell r="D48" t="str">
            <v>06315338018328</v>
          </cell>
          <cell r="E48">
            <v>196</v>
          </cell>
          <cell r="F48" t="str">
            <v>06315338018328</v>
          </cell>
          <cell r="G48">
            <v>1</v>
          </cell>
          <cell r="H48" t="str">
            <v>COFCO NOVA SANTA HELENA</v>
          </cell>
        </row>
        <row r="49">
          <cell r="A49" t="str">
            <v>06315338017780</v>
          </cell>
          <cell r="B49" t="str">
            <v>COFCO UBERLANDIA</v>
          </cell>
          <cell r="D49" t="str">
            <v>06315338017941</v>
          </cell>
          <cell r="E49">
            <v>197</v>
          </cell>
          <cell r="F49" t="str">
            <v>06315338017941</v>
          </cell>
          <cell r="G49">
            <v>1</v>
          </cell>
          <cell r="H49" t="str">
            <v>COFCO CLAUDIA - NIDERA</v>
          </cell>
        </row>
        <row r="50">
          <cell r="A50" t="str">
            <v>06315338018166</v>
          </cell>
          <cell r="B50" t="str">
            <v>COFCO - CANARANA</v>
          </cell>
          <cell r="D50" t="str">
            <v>29332398000900</v>
          </cell>
          <cell r="E50">
            <v>998</v>
          </cell>
          <cell r="F50" t="str">
            <v>29332398000900</v>
          </cell>
          <cell r="G50">
            <v>1</v>
          </cell>
          <cell r="H50" t="str">
            <v>COFCO TANGARA DA SERRA</v>
          </cell>
        </row>
        <row r="51">
          <cell r="D51" t="str">
            <v>29332398003756</v>
          </cell>
          <cell r="E51">
            <v>902</v>
          </cell>
          <cell r="F51" t="str">
            <v>29332398003756</v>
          </cell>
          <cell r="G51">
            <v>1</v>
          </cell>
          <cell r="H51" t="str">
            <v xml:space="preserve">COFCO </v>
          </cell>
        </row>
        <row r="52">
          <cell r="D52" t="str">
            <v>06315338019308</v>
          </cell>
          <cell r="E52">
            <v>206</v>
          </cell>
          <cell r="F52" t="str">
            <v>06315338019308</v>
          </cell>
          <cell r="G52">
            <v>1</v>
          </cell>
          <cell r="H52" t="str">
            <v>COFCO SILVANOPOLIS</v>
          </cell>
        </row>
        <row r="53">
          <cell r="D53" t="str">
            <v>29332398004302</v>
          </cell>
          <cell r="E53">
            <v>907</v>
          </cell>
          <cell r="F53" t="str">
            <v>29332398004302</v>
          </cell>
          <cell r="G53">
            <v>1</v>
          </cell>
          <cell r="H53" t="str">
            <v>COFCO SANTA ROSA</v>
          </cell>
        </row>
        <row r="54">
          <cell r="D54" t="str">
            <v>29332398003918</v>
          </cell>
          <cell r="E54">
            <v>918</v>
          </cell>
          <cell r="F54" t="str">
            <v>29332398003918</v>
          </cell>
          <cell r="G54">
            <v>1</v>
          </cell>
          <cell r="H54" t="str">
            <v>COFCO UBERLANDIA</v>
          </cell>
        </row>
        <row r="55">
          <cell r="D55" t="str">
            <v>29332398000226</v>
          </cell>
          <cell r="E55">
            <v>930</v>
          </cell>
          <cell r="F55" t="str">
            <v>29332398000226</v>
          </cell>
          <cell r="G55">
            <v>10</v>
          </cell>
          <cell r="H55" t="str">
            <v>COFCO RONDONOPOLIS/FABRICA</v>
          </cell>
        </row>
        <row r="56">
          <cell r="D56" t="str">
            <v>06315338001948</v>
          </cell>
          <cell r="F56" t="str">
            <v>06315338001948</v>
          </cell>
          <cell r="G56">
            <v>6</v>
          </cell>
          <cell r="H56" t="str">
            <v>COFCO LEN</v>
          </cell>
        </row>
        <row r="57">
          <cell r="D57" t="str">
            <v>06315338019219</v>
          </cell>
          <cell r="F57" t="str">
            <v>06315338019219</v>
          </cell>
          <cell r="G57">
            <v>1</v>
          </cell>
          <cell r="H57" t="str">
            <v>COFCO UNAI</v>
          </cell>
        </row>
        <row r="58">
          <cell r="D58" t="str">
            <v>06315338019480</v>
          </cell>
          <cell r="F58" t="str">
            <v>06315338019480</v>
          </cell>
          <cell r="G58">
            <v>1</v>
          </cell>
          <cell r="H58" t="str">
            <v>COFCO SANTA ROSA</v>
          </cell>
        </row>
        <row r="59">
          <cell r="D59" t="str">
            <v>06315338017780</v>
          </cell>
          <cell r="F59" t="str">
            <v>06315338017780</v>
          </cell>
          <cell r="G59">
            <v>1</v>
          </cell>
          <cell r="H59" t="str">
            <v>COFCO UBERLANDIA</v>
          </cell>
        </row>
        <row r="60">
          <cell r="D60" t="str">
            <v>06315338018166</v>
          </cell>
          <cell r="F60" t="str">
            <v>06315338018166</v>
          </cell>
          <cell r="G60">
            <v>1</v>
          </cell>
          <cell r="H60" t="str">
            <v>COFCO - CANARANA</v>
          </cell>
        </row>
        <row r="61">
          <cell r="D61" t="str">
            <v>03315338002839</v>
          </cell>
          <cell r="F61" t="str">
            <v>03315338002839</v>
          </cell>
          <cell r="G61">
            <v>1</v>
          </cell>
          <cell r="H61" t="str">
            <v>COFCO - BOM JESUS DE GOIAS</v>
          </cell>
        </row>
        <row r="62">
          <cell r="D62" t="str">
            <v>06315338020659</v>
          </cell>
          <cell r="F62" t="str">
            <v>06315338020659</v>
          </cell>
          <cell r="G62">
            <v>1</v>
          </cell>
          <cell r="H62" t="str">
            <v>COFCO - NOVA MUTUM</v>
          </cell>
        </row>
        <row r="63">
          <cell r="D63" t="str">
            <v>06315338017356</v>
          </cell>
          <cell r="F63" t="str">
            <v>06315338017356</v>
          </cell>
          <cell r="G63">
            <v>1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23.672947916668" createdVersion="6" refreshedVersion="7" minRefreshableVersion="3" recordCount="16" xr:uid="{00000000-000A-0000-FFFF-FFFF04000000}">
  <cacheSource type="worksheet">
    <worksheetSource name="=tbl_dinamica"/>
  </cacheSource>
  <cacheFields count="28">
    <cacheField name="C1" numFmtId="168">
      <sharedItems/>
    </cacheField>
    <cacheField name="C2" numFmtId="20">
      <sharedItems containsSemiMixedTypes="0" containsNonDate="0" containsDate="1" containsString="0" minDate="1899-12-30T00:11:48" maxDate="1899-12-30T23:37:21"/>
    </cacheField>
    <cacheField name="C3" numFmtId="49">
      <sharedItems/>
    </cacheField>
    <cacheField name="C4" numFmtId="49">
      <sharedItems/>
    </cacheField>
    <cacheField name="C5" numFmtId="49">
      <sharedItems/>
    </cacheField>
    <cacheField name="C6" numFmtId="49">
      <sharedItems/>
    </cacheField>
    <cacheField name="C7" numFmtId="49">
      <sharedItems count="2">
        <s v="06.315.338/0193-08"/>
        <s v="06.315.338/0194-80"/>
      </sharedItems>
    </cacheField>
    <cacheField name="C8" numFmtId="49">
      <sharedItems/>
    </cacheField>
    <cacheField name="C9" numFmtId="49">
      <sharedItems/>
    </cacheField>
    <cacheField name="C10" numFmtId="49">
      <sharedItems/>
    </cacheField>
    <cacheField name="C11" numFmtId="49">
      <sharedItems/>
    </cacheField>
    <cacheField name="C12" numFmtId="49">
      <sharedItems containsNonDate="0" containsString="0" containsBlank="1"/>
    </cacheField>
    <cacheField name="C13" numFmtId="49">
      <sharedItems/>
    </cacheField>
    <cacheField name="C14" numFmtId="49">
      <sharedItems/>
    </cacheField>
    <cacheField name="C15" numFmtId="14">
      <sharedItems containsSemiMixedTypes="0" containsNonDate="0" containsDate="1" containsString="0" minDate="2021-02-26T09:19:07" maxDate="2021-03-07T19:33:04"/>
    </cacheField>
    <cacheField name="C16" numFmtId="49">
      <sharedItems/>
    </cacheField>
    <cacheField name="C17" numFmtId="49">
      <sharedItems/>
    </cacheField>
    <cacheField name="C18" numFmtId="166">
      <sharedItems containsSemiMixedTypes="0" containsString="0" containsNumber="1" minValue="37121.4" maxValue="62508.6"/>
    </cacheField>
    <cacheField name="C19" numFmtId="49">
      <sharedItems/>
    </cacheField>
    <cacheField name="C20" numFmtId="49">
      <sharedItems/>
    </cacheField>
    <cacheField name="C21" numFmtId="166">
      <sharedItems containsSemiMixedTypes="0" containsString="0" containsNumber="1" minValue="47.96" maxValue="74"/>
    </cacheField>
    <cacheField name="C22" numFmtId="166">
      <sharedItems containsSemiMixedTypes="0" containsString="0" containsNumber="1" minValue="16.760000000000002" maxValue="26.84"/>
    </cacheField>
    <cacheField name="C23" numFmtId="166">
      <sharedItems containsSemiMixedTypes="0" containsString="0" containsNumber="1" minValue="30.12" maxValue="50.78"/>
    </cacheField>
    <cacheField name="C24" numFmtId="166">
      <sharedItems containsSemiMixedTypes="0" containsString="0" containsNumber="1" containsInteger="1" minValue="0" maxValue="0"/>
    </cacheField>
    <cacheField name="C25" numFmtId="166">
      <sharedItems containsSemiMixedTypes="0" containsString="0" containsNumber="1" minValue="30.18" maxValue="50.82"/>
    </cacheField>
    <cacheField name="C26" numFmtId="166">
      <sharedItems containsSemiMixedTypes="0" containsString="0" containsNumber="1" minValue="-0.16" maxValue="0.14000000000000001"/>
    </cacheField>
    <cacheField name="C27" numFmtId="166">
      <sharedItems containsSemiMixedTypes="0" containsString="0" containsNumber="1" minValue="30.12" maxValue="50.78"/>
    </cacheField>
    <cacheField name="C28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s v="26/02/2021"/>
    <d v="1899-12-30T19:03:14"/>
    <s v="20210226-TIPN-196489"/>
    <s v="Soja"/>
    <s v="20/21"/>
    <s v="COFCO INTERNATIONAL BRASIL S.A. - SILVANOPOLIS"/>
    <x v="0"/>
    <s v="COFCO INTERNATIONAL BRASIL S A - SILVANOPOLIS"/>
    <s v="06.315.338/0193-08"/>
    <s v="COFCO INTERNATIONAL BRASIL S.A. - Silvanópolis"/>
    <s v="06.315.338/0193-08"/>
    <m/>
    <s v="BTR4026"/>
    <s v="Luis César Cassiano De Pádua "/>
    <d v="2021-02-26T09:19:07"/>
    <s v="5760"/>
    <s v="1"/>
    <n v="38720.400000000001"/>
    <s v="17210206315338019308550010000057601485969106"/>
    <s v="TPSL -  Terminal Portuário São Luís"/>
    <n v="48.4"/>
    <n v="16.940000000000001"/>
    <n v="31.46"/>
    <n v="0"/>
    <n v="31.48"/>
    <n v="-0.02"/>
    <n v="31.46"/>
    <n v="1"/>
  </r>
  <r>
    <s v="03/03/2021"/>
    <d v="1899-12-30T15:34:02"/>
    <s v="20210303-TIPN-197458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KEF5J68"/>
    <s v="Claudivan Barbosa Dourado"/>
    <d v="2021-03-03T08:58:07"/>
    <s v="9247"/>
    <s v="1"/>
    <n v="37121.4"/>
    <s v="17210306315338019480550010000092471457579545"/>
    <s v="TPSL -  Terminal Portuário São Luís"/>
    <n v="47.96"/>
    <n v="17.84"/>
    <n v="30.12"/>
    <n v="0"/>
    <n v="30.18"/>
    <n v="-0.06"/>
    <n v="30.12"/>
    <n v="1"/>
  </r>
  <r>
    <s v="03/03/2021"/>
    <d v="1899-12-30T18:33:09"/>
    <s v="20210303-TIPN-197491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MHF9056"/>
    <s v="JOSE ABREU"/>
    <d v="2021-03-03T11:47:25"/>
    <s v="9249"/>
    <s v="1"/>
    <n v="45928.2"/>
    <s v="17210306315338019480550010000092491138755898"/>
    <s v="TPSL -  Terminal Portuário São Luís"/>
    <n v="56.98"/>
    <n v="19.739999999999998"/>
    <n v="37.24"/>
    <n v="0"/>
    <n v="37.340000000000003"/>
    <n v="-0.1"/>
    <n v="37.24"/>
    <n v="1"/>
  </r>
  <r>
    <s v="03/03/2021"/>
    <d v="1899-12-30T18:48:09"/>
    <s v="20210303-TIPN-197500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MWT8411"/>
    <s v="ALEX REGINALDO SEIXAS QUERIDO"/>
    <d v="2021-03-03T12:47:38"/>
    <s v="9251"/>
    <s v="1"/>
    <n v="38818.800000000003"/>
    <s v="17210306315338019480550010000092511417332312"/>
    <s v="TPSL -  Terminal Portuário São Luís"/>
    <n v="48.64"/>
    <n v="17.12"/>
    <n v="31.52"/>
    <n v="0"/>
    <n v="31.56"/>
    <n v="-0.04"/>
    <n v="31.52"/>
    <n v="1"/>
  </r>
  <r>
    <s v="04/03/2021"/>
    <d v="1899-12-30T17:33:57"/>
    <s v="20210304-TIPN-197737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KEF5J68"/>
    <s v="Claudivan Barbosa Dourado"/>
    <d v="2021-03-04T10:38:48"/>
    <s v="9256"/>
    <s v="1"/>
    <n v="37515"/>
    <s v="17210306315338019480550010000092561924306084"/>
    <s v="TPSL -  Terminal Portuário São Luís"/>
    <n v="48.24"/>
    <n v="17.78"/>
    <n v="30.46"/>
    <n v="0"/>
    <n v="30.5"/>
    <n v="-0.04"/>
    <n v="30.46"/>
    <n v="1"/>
  </r>
  <r>
    <s v="04/03/2021"/>
    <d v="1899-12-30T23:37:21"/>
    <s v="20210304-TIPN-197823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GAT6661"/>
    <s v="JOSE ALTAIR MIERSCH"/>
    <d v="2021-03-04T18:07:22"/>
    <s v="9258"/>
    <s v="1"/>
    <n v="45436.2"/>
    <s v="17210306315338019480550010000092581733208449"/>
    <s v="TPSL -  Terminal Portuário São Luís"/>
    <n v="56.94"/>
    <n v="20"/>
    <n v="36.94"/>
    <n v="0"/>
    <n v="36.94"/>
    <n v="0"/>
    <n v="36.94"/>
    <n v="1"/>
  </r>
  <r>
    <s v="05/03/2021"/>
    <d v="1899-12-30T19:01:34"/>
    <s v="20210305-TIPN-197967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MWT8411"/>
    <s v="ALEX REGINALDO SEIXAS QUERIDO"/>
    <d v="2021-03-05T11:23:29"/>
    <s v="9260"/>
    <s v="1"/>
    <n v="38400.6"/>
    <s v="17210306315338019480550010000092601895675059"/>
    <s v="TPSL -  Terminal Portuário São Luís"/>
    <n v="48.32"/>
    <n v="16.96"/>
    <n v="31.36"/>
    <n v="0"/>
    <n v="31.22"/>
    <n v="0.14000000000000001"/>
    <n v="31.22"/>
    <n v="1"/>
  </r>
  <r>
    <s v="05/03/2021"/>
    <d v="1899-12-30T07:31:06"/>
    <s v="20210305-TIPN-198137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HWU7G70"/>
    <s v="RAIMUNDO NONATO BITTENCOURT VERAS"/>
    <d v="2021-03-05T20:43:01"/>
    <s v="9267"/>
    <s v="1"/>
    <n v="47035.199999999997"/>
    <s v="17210306315338019480550010000092671577540401"/>
    <s v="TPSL -  Terminal Portuário São Luís"/>
    <n v="56.98"/>
    <n v="18.82"/>
    <n v="38.159999999999997"/>
    <n v="0"/>
    <n v="38.24"/>
    <n v="-0.08"/>
    <n v="38.159999999999997"/>
    <n v="1"/>
  </r>
  <r>
    <s v="06/03/2021"/>
    <d v="1899-12-30T16:08:05"/>
    <s v="20210306-TIPN-198204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EGJ0479"/>
    <s v="LESLEI CARLOS URBANO DOS SANTOS"/>
    <d v="2021-03-05T21:29:39"/>
    <s v="9269"/>
    <s v="1"/>
    <n v="46764.6"/>
    <s v="17210306315338019480550010000092691709826069"/>
    <s v="TPSL -  Terminal Portuário São Luís"/>
    <n v="57.12"/>
    <n v="19.260000000000002"/>
    <n v="37.86"/>
    <n v="0"/>
    <n v="38.020000000000003"/>
    <n v="-0.16"/>
    <n v="37.86"/>
    <n v="1"/>
  </r>
  <r>
    <s v="06/03/2021"/>
    <d v="1899-12-30T00:11:48"/>
    <s v="20210306-TIPN-198344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NZF1J66"/>
    <s v="NILSO TIBOLLA"/>
    <d v="2021-03-06T17:02:59"/>
    <s v="9279"/>
    <s v="1"/>
    <n v="62508.6"/>
    <s v="17210306315338019480550010000092791590161703"/>
    <s v="TPSL -  Terminal Portuário São Luís"/>
    <n v="74"/>
    <n v="23.22"/>
    <n v="50.78"/>
    <n v="0"/>
    <n v="50.82"/>
    <n v="-0.04"/>
    <n v="50.78"/>
    <n v="1"/>
  </r>
  <r>
    <s v="06/03/2021"/>
    <d v="1899-12-30T01:49:32"/>
    <s v="20210306-TIPN-198361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MWT8411"/>
    <s v="ALEX REGINALDO SEIXAS QUERIDO"/>
    <d v="2021-03-06T17:05:53"/>
    <s v="9281"/>
    <s v="1"/>
    <n v="38572.800000000003"/>
    <s v="17210306315338019480550010000092811878599510"/>
    <s v="TPSL -  Terminal Portuário São Luís"/>
    <n v="48.28"/>
    <n v="16.940000000000001"/>
    <n v="31.34"/>
    <n v="0"/>
    <n v="31.36"/>
    <n v="-0.02"/>
    <n v="31.34"/>
    <n v="1"/>
  </r>
  <r>
    <s v="06/03/2021"/>
    <d v="1899-12-30T11:18:14"/>
    <s v="20210306-TIPN-198375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QWB1D09"/>
    <s v="Valtenilson Ribeiro Batista"/>
    <d v="2021-03-06T17:13:56"/>
    <s v="9282"/>
    <s v="1"/>
    <n v="57539.4"/>
    <s v="17210306315338019480550010000092821888038003"/>
    <s v="TPSL -  Terminal Portuário São Luís"/>
    <n v="73.56"/>
    <n v="26.84"/>
    <n v="46.72"/>
    <n v="0"/>
    <n v="46.78"/>
    <n v="-0.06"/>
    <n v="46.72"/>
    <n v="1"/>
  </r>
  <r>
    <s v="07/03/2021"/>
    <d v="1899-12-30T14:03:47"/>
    <s v="20210307-TIPN-198474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JCR0380"/>
    <s v="JOSE MARTINS DA SILVA NETO"/>
    <d v="2021-03-06T19:54:25"/>
    <s v="9284"/>
    <s v="1"/>
    <n v="38203.800000000003"/>
    <s v="17210306315338019480550010000092841801485139"/>
    <s v="TPSL -  Terminal Portuário São Luís"/>
    <n v="48.2"/>
    <n v="17.18"/>
    <n v="31.02"/>
    <n v="0"/>
    <n v="31.06"/>
    <n v="-0.04"/>
    <n v="31.02"/>
    <n v="1"/>
  </r>
  <r>
    <s v="07/03/2021"/>
    <d v="1899-12-30T17:50:39"/>
    <s v="20210307-TIPN-198526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NBK1936"/>
    <s v="EMERSON DE OLIVEIRA REGININI"/>
    <d v="2021-03-07T12:56:31"/>
    <s v="9291"/>
    <s v="1"/>
    <n v="38868"/>
    <s v="17210306315338019480550010000092911119055634"/>
    <s v="TPSL -  Terminal Portuário São Luís"/>
    <n v="48.28"/>
    <n v="16.760000000000002"/>
    <n v="31.52"/>
    <n v="0"/>
    <n v="31.6"/>
    <n v="-0.08"/>
    <n v="31.52"/>
    <n v="1"/>
  </r>
  <r>
    <s v="07/03/2021"/>
    <d v="1899-12-30T17:53:24"/>
    <s v="20210307-TIPN-198525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HRG6450"/>
    <s v="Clayton De Oliveira Reginini"/>
    <d v="2021-03-07T09:56:26"/>
    <s v="9289"/>
    <s v="1"/>
    <n v="38548.199999999997"/>
    <s v="17210306315338019480550010000092891176999982"/>
    <s v="TPSL -  Terminal Portuário São Luís"/>
    <n v="48.22"/>
    <n v="16.96"/>
    <n v="31.26"/>
    <n v="0"/>
    <n v="31.34"/>
    <n v="-0.08"/>
    <n v="31.26"/>
    <n v="1"/>
  </r>
  <r>
    <s v="08/03/2021"/>
    <d v="1899-12-30T20:01:51"/>
    <s v="20210308-TIPN-198772"/>
    <s v="Soja"/>
    <s v="20/21"/>
    <s v="COFCO INTERNATIONAL BRASIL S.A. - SANTA ROSA DO TOCANTINS"/>
    <x v="1"/>
    <s v="COFCO INTERNATIONAL BRASIL S A - SANTA ROSA DO TOCANTINS"/>
    <s v="06.315.338/0194-80"/>
    <s v="COFCO INTERNATIONAL BRASIL S.A. - Santa Rosa do Tocantins"/>
    <s v="06.315.338/0194-80"/>
    <m/>
    <s v="QWB1D09"/>
    <s v="Valtenilson Ribeiro Batista"/>
    <d v="2021-03-07T19:33:04"/>
    <s v="9296"/>
    <s v="1"/>
    <n v="57662.400000000001"/>
    <s v="17210306315338019480550010000092961432249643"/>
    <s v="TPSL -  Terminal Portuário São Luís"/>
    <n v="73.42"/>
    <n v="26.6"/>
    <n v="46.82"/>
    <n v="0"/>
    <n v="46.88"/>
    <n v="-0.06"/>
    <n v="46.8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3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M7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3">
        <item x="0"/>
        <item x="1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6"/>
  </rowFields>
  <rowItems count="2">
    <i>
      <x/>
    </i>
    <i>
      <x v="1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19"/>
  <sheetViews>
    <sheetView topLeftCell="H1" zoomScaleNormal="100" workbookViewId="0">
      <selection activeCell="N5" sqref="N5:N19"/>
    </sheetView>
  </sheetViews>
  <sheetFormatPr defaultRowHeight="15" x14ac:dyDescent="0.25"/>
  <cols>
    <col min="1" max="1" width="20.42578125" style="9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65" t="s">
        <v>51</v>
      </c>
      <c r="B1" s="67" t="s">
        <v>52</v>
      </c>
      <c r="C1" s="69" t="s">
        <v>53</v>
      </c>
      <c r="D1" s="71" t="s">
        <v>54</v>
      </c>
      <c r="E1" s="14" t="s">
        <v>55</v>
      </c>
      <c r="F1" s="73" t="s">
        <v>56</v>
      </c>
      <c r="G1" s="60" t="s">
        <v>12</v>
      </c>
      <c r="H1" s="60" t="s">
        <v>57</v>
      </c>
      <c r="I1" s="60" t="s">
        <v>58</v>
      </c>
      <c r="J1" s="62" t="s">
        <v>59</v>
      </c>
      <c r="K1" s="63"/>
      <c r="L1" s="63"/>
      <c r="M1" s="63"/>
      <c r="N1" s="64"/>
      <c r="P1" s="2"/>
    </row>
    <row r="2" spans="1:16" ht="15.75" thickBot="1" x14ac:dyDescent="0.3">
      <c r="A2" s="66"/>
      <c r="B2" s="68"/>
      <c r="C2" s="70"/>
      <c r="D2" s="72"/>
      <c r="E2" s="15" t="s">
        <v>60</v>
      </c>
      <c r="F2" s="74"/>
      <c r="G2" s="61"/>
      <c r="H2" s="61"/>
      <c r="I2" s="61"/>
      <c r="J2" s="16" t="s">
        <v>61</v>
      </c>
      <c r="K2" s="17" t="s">
        <v>62</v>
      </c>
      <c r="L2" s="18" t="s">
        <v>63</v>
      </c>
      <c r="M2" s="18" t="s">
        <v>64</v>
      </c>
      <c r="N2" s="19" t="s">
        <v>65</v>
      </c>
    </row>
    <row r="3" spans="1:16" ht="15.75" thickTop="1" x14ac:dyDescent="0.25">
      <c r="A3" s="20">
        <v>17</v>
      </c>
      <c r="B3" s="21"/>
      <c r="C3" s="22"/>
      <c r="D3" s="23"/>
      <c r="E3" s="24"/>
      <c r="F3" s="25"/>
      <c r="G3" s="26"/>
      <c r="H3" s="26"/>
      <c r="I3" s="23"/>
      <c r="J3" s="27"/>
      <c r="K3" s="28"/>
      <c r="L3" s="29"/>
      <c r="M3" s="29"/>
      <c r="N3" s="30"/>
      <c r="O3" s="3"/>
    </row>
    <row r="4" spans="1:16" x14ac:dyDescent="0.25">
      <c r="A4" s="31" t="s">
        <v>51</v>
      </c>
      <c r="B4" s="32">
        <v>6</v>
      </c>
      <c r="C4" s="33" t="s">
        <v>66</v>
      </c>
      <c r="D4" s="31" t="s">
        <v>67</v>
      </c>
      <c r="E4" s="33" t="s">
        <v>68</v>
      </c>
      <c r="F4" s="34" t="s">
        <v>69</v>
      </c>
      <c r="G4" s="31" t="s">
        <v>12</v>
      </c>
      <c r="H4" s="35" t="s">
        <v>70</v>
      </c>
      <c r="I4" s="31" t="s">
        <v>71</v>
      </c>
      <c r="J4" s="36" t="s">
        <v>72</v>
      </c>
      <c r="K4" s="32" t="s">
        <v>62</v>
      </c>
      <c r="L4" s="37"/>
      <c r="M4" s="37"/>
      <c r="N4" s="38" t="s">
        <v>73</v>
      </c>
    </row>
    <row r="5" spans="1:16" x14ac:dyDescent="0.25">
      <c r="A5" s="9" t="s">
        <v>112</v>
      </c>
      <c r="B5">
        <v>1</v>
      </c>
      <c r="C5">
        <v>9247</v>
      </c>
      <c r="E5" t="s">
        <v>115</v>
      </c>
      <c r="G5" t="s">
        <v>112</v>
      </c>
      <c r="I5" t="s">
        <v>31</v>
      </c>
      <c r="J5" s="59">
        <v>44258</v>
      </c>
      <c r="N5">
        <v>30120</v>
      </c>
    </row>
    <row r="6" spans="1:16" x14ac:dyDescent="0.25">
      <c r="A6" s="9" t="s">
        <v>112</v>
      </c>
      <c r="B6">
        <v>1</v>
      </c>
      <c r="C6">
        <v>9249</v>
      </c>
      <c r="E6" t="s">
        <v>120</v>
      </c>
      <c r="G6" t="s">
        <v>112</v>
      </c>
      <c r="I6" t="s">
        <v>31</v>
      </c>
      <c r="J6" s="59">
        <v>44258</v>
      </c>
      <c r="N6">
        <v>37240</v>
      </c>
    </row>
    <row r="7" spans="1:16" x14ac:dyDescent="0.25">
      <c r="A7" s="9" t="s">
        <v>112</v>
      </c>
      <c r="B7">
        <v>1</v>
      </c>
      <c r="C7">
        <v>9251</v>
      </c>
      <c r="E7" t="s">
        <v>125</v>
      </c>
      <c r="G7" t="s">
        <v>112</v>
      </c>
      <c r="I7" t="s">
        <v>31</v>
      </c>
      <c r="J7" s="59">
        <v>44258</v>
      </c>
      <c r="N7">
        <v>31520</v>
      </c>
    </row>
    <row r="8" spans="1:16" x14ac:dyDescent="0.25">
      <c r="A8" s="9" t="s">
        <v>112</v>
      </c>
      <c r="B8">
        <v>1</v>
      </c>
      <c r="C8">
        <v>9256</v>
      </c>
      <c r="E8" t="s">
        <v>115</v>
      </c>
      <c r="G8" t="s">
        <v>112</v>
      </c>
      <c r="I8" t="s">
        <v>31</v>
      </c>
      <c r="J8" s="59">
        <v>44259</v>
      </c>
      <c r="N8">
        <v>30460</v>
      </c>
    </row>
    <row r="9" spans="1:16" x14ac:dyDescent="0.25">
      <c r="A9" s="9" t="s">
        <v>112</v>
      </c>
      <c r="B9">
        <v>1</v>
      </c>
      <c r="C9">
        <v>9258</v>
      </c>
      <c r="E9" t="s">
        <v>133</v>
      </c>
      <c r="G9" t="s">
        <v>112</v>
      </c>
      <c r="I9" t="s">
        <v>31</v>
      </c>
      <c r="J9" s="59">
        <v>44259</v>
      </c>
      <c r="N9">
        <v>36940</v>
      </c>
    </row>
    <row r="10" spans="1:16" x14ac:dyDescent="0.25">
      <c r="A10" s="9" t="s">
        <v>112</v>
      </c>
      <c r="B10">
        <v>1</v>
      </c>
      <c r="C10">
        <v>9260</v>
      </c>
      <c r="E10" t="s">
        <v>125</v>
      </c>
      <c r="G10" t="s">
        <v>112</v>
      </c>
      <c r="I10" t="s">
        <v>31</v>
      </c>
      <c r="J10" s="59">
        <v>44260</v>
      </c>
      <c r="N10">
        <v>31360</v>
      </c>
    </row>
    <row r="11" spans="1:16" x14ac:dyDescent="0.25">
      <c r="A11" s="9" t="s">
        <v>112</v>
      </c>
      <c r="B11">
        <v>1</v>
      </c>
      <c r="C11">
        <v>9267</v>
      </c>
      <c r="E11" t="s">
        <v>141</v>
      </c>
      <c r="G11" t="s">
        <v>112</v>
      </c>
      <c r="I11" t="s">
        <v>31</v>
      </c>
      <c r="J11" s="59">
        <v>44261</v>
      </c>
      <c r="N11">
        <v>38160</v>
      </c>
    </row>
    <row r="12" spans="1:16" x14ac:dyDescent="0.25">
      <c r="A12" s="9" t="s">
        <v>112</v>
      </c>
      <c r="B12">
        <v>1</v>
      </c>
      <c r="C12">
        <v>9269</v>
      </c>
      <c r="E12" t="s">
        <v>146</v>
      </c>
      <c r="G12" t="s">
        <v>112</v>
      </c>
      <c r="I12" t="s">
        <v>31</v>
      </c>
      <c r="J12" s="59">
        <v>44261</v>
      </c>
      <c r="N12">
        <v>37860</v>
      </c>
    </row>
    <row r="13" spans="1:16" x14ac:dyDescent="0.25">
      <c r="A13" s="9" t="s">
        <v>112</v>
      </c>
      <c r="B13">
        <v>1</v>
      </c>
      <c r="C13">
        <v>9279</v>
      </c>
      <c r="E13" t="s">
        <v>151</v>
      </c>
      <c r="G13" t="s">
        <v>112</v>
      </c>
      <c r="I13" t="s">
        <v>31</v>
      </c>
      <c r="J13" s="59">
        <v>44262</v>
      </c>
      <c r="N13">
        <v>50780</v>
      </c>
    </row>
    <row r="14" spans="1:16" x14ac:dyDescent="0.25">
      <c r="A14" s="9" t="s">
        <v>112</v>
      </c>
      <c r="B14">
        <v>1</v>
      </c>
      <c r="C14">
        <v>9281</v>
      </c>
      <c r="E14" t="s">
        <v>125</v>
      </c>
      <c r="G14" t="s">
        <v>112</v>
      </c>
      <c r="I14" t="s">
        <v>31</v>
      </c>
      <c r="J14" s="59">
        <v>44262</v>
      </c>
      <c r="N14">
        <v>31340</v>
      </c>
    </row>
    <row r="15" spans="1:16" x14ac:dyDescent="0.25">
      <c r="A15" s="9" t="s">
        <v>112</v>
      </c>
      <c r="B15">
        <v>1</v>
      </c>
      <c r="C15">
        <v>9282</v>
      </c>
      <c r="E15" t="s">
        <v>159</v>
      </c>
      <c r="G15" t="s">
        <v>112</v>
      </c>
      <c r="I15" t="s">
        <v>31</v>
      </c>
      <c r="J15" s="59">
        <v>44262</v>
      </c>
      <c r="N15">
        <v>46720</v>
      </c>
    </row>
    <row r="16" spans="1:16" x14ac:dyDescent="0.25">
      <c r="A16" s="9" t="s">
        <v>112</v>
      </c>
      <c r="B16">
        <v>1</v>
      </c>
      <c r="C16">
        <v>9284</v>
      </c>
      <c r="E16" t="s">
        <v>164</v>
      </c>
      <c r="G16" t="s">
        <v>112</v>
      </c>
      <c r="I16" t="s">
        <v>31</v>
      </c>
      <c r="J16" s="59">
        <v>44262</v>
      </c>
      <c r="N16">
        <v>31020</v>
      </c>
    </row>
    <row r="17" spans="1:14" x14ac:dyDescent="0.25">
      <c r="A17" s="9" t="s">
        <v>112</v>
      </c>
      <c r="B17">
        <v>1</v>
      </c>
      <c r="C17">
        <v>9291</v>
      </c>
      <c r="E17" t="s">
        <v>169</v>
      </c>
      <c r="G17" t="s">
        <v>112</v>
      </c>
      <c r="I17" t="s">
        <v>31</v>
      </c>
      <c r="J17" s="59">
        <v>44262</v>
      </c>
      <c r="N17">
        <v>31520</v>
      </c>
    </row>
    <row r="18" spans="1:14" x14ac:dyDescent="0.25">
      <c r="A18" s="9" t="s">
        <v>112</v>
      </c>
      <c r="B18">
        <v>1</v>
      </c>
      <c r="C18">
        <v>9289</v>
      </c>
      <c r="E18" t="s">
        <v>174</v>
      </c>
      <c r="G18" t="s">
        <v>112</v>
      </c>
      <c r="I18" t="s">
        <v>31</v>
      </c>
      <c r="J18" s="59">
        <v>44262</v>
      </c>
      <c r="N18">
        <v>31260</v>
      </c>
    </row>
    <row r="19" spans="1:14" x14ac:dyDescent="0.25">
      <c r="A19" s="9" t="s">
        <v>112</v>
      </c>
      <c r="B19">
        <v>1</v>
      </c>
      <c r="C19">
        <v>9296</v>
      </c>
      <c r="E19" t="s">
        <v>159</v>
      </c>
      <c r="G19" t="s">
        <v>112</v>
      </c>
      <c r="I19" t="s">
        <v>31</v>
      </c>
      <c r="J19" s="59">
        <v>44263</v>
      </c>
      <c r="N19">
        <v>46820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6"/>
  <sheetViews>
    <sheetView topLeftCell="B1" workbookViewId="0">
      <selection activeCell="E18" sqref="E18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1" max="11" width="15.5703125" customWidth="1"/>
    <col min="14" max="14" width="18.85546875" customWidth="1"/>
  </cols>
  <sheetData>
    <row r="1" spans="1:14" x14ac:dyDescent="0.25">
      <c r="A1" s="65" t="s">
        <v>51</v>
      </c>
      <c r="B1" s="67" t="s">
        <v>52</v>
      </c>
      <c r="C1" s="69" t="s">
        <v>53</v>
      </c>
      <c r="D1" s="71" t="s">
        <v>54</v>
      </c>
      <c r="E1" s="14" t="s">
        <v>55</v>
      </c>
      <c r="F1" s="73" t="s">
        <v>56</v>
      </c>
      <c r="G1" s="60" t="s">
        <v>12</v>
      </c>
      <c r="H1" s="60" t="s">
        <v>57</v>
      </c>
      <c r="I1" s="60" t="s">
        <v>58</v>
      </c>
      <c r="J1" s="62" t="s">
        <v>59</v>
      </c>
      <c r="K1" s="63"/>
      <c r="L1" s="63"/>
      <c r="M1" s="63"/>
      <c r="N1" s="64"/>
    </row>
    <row r="2" spans="1:14" ht="15.75" thickBot="1" x14ac:dyDescent="0.3">
      <c r="A2" s="66"/>
      <c r="B2" s="68"/>
      <c r="C2" s="70"/>
      <c r="D2" s="72"/>
      <c r="E2" s="15" t="s">
        <v>60</v>
      </c>
      <c r="F2" s="74"/>
      <c r="G2" s="61"/>
      <c r="H2" s="61"/>
      <c r="I2" s="61"/>
      <c r="J2" s="16" t="s">
        <v>61</v>
      </c>
      <c r="K2" s="17" t="s">
        <v>62</v>
      </c>
      <c r="L2" s="18" t="s">
        <v>63</v>
      </c>
      <c r="M2" s="18" t="s">
        <v>64</v>
      </c>
      <c r="N2" s="19" t="s">
        <v>65</v>
      </c>
    </row>
    <row r="3" spans="1:14" ht="15.75" thickTop="1" x14ac:dyDescent="0.25">
      <c r="A3" s="40"/>
      <c r="B3" s="41"/>
      <c r="C3" s="22"/>
      <c r="D3" s="23"/>
      <c r="E3" s="24"/>
      <c r="F3" s="25"/>
      <c r="G3" s="26"/>
      <c r="H3" s="26"/>
      <c r="I3" s="23"/>
      <c r="J3" s="27"/>
      <c r="K3" s="28"/>
      <c r="L3" s="29"/>
      <c r="M3" s="29"/>
      <c r="N3" s="30"/>
    </row>
    <row r="4" spans="1:14" x14ac:dyDescent="0.25">
      <c r="A4" s="31" t="s">
        <v>51</v>
      </c>
      <c r="B4" s="32">
        <v>6</v>
      </c>
      <c r="C4" s="33" t="s">
        <v>66</v>
      </c>
      <c r="D4" s="31" t="s">
        <v>67</v>
      </c>
      <c r="E4" s="33" t="s">
        <v>68</v>
      </c>
      <c r="F4" s="34" t="s">
        <v>69</v>
      </c>
      <c r="G4" s="31" t="s">
        <v>12</v>
      </c>
      <c r="H4" s="35" t="s">
        <v>70</v>
      </c>
      <c r="I4" s="31" t="s">
        <v>87</v>
      </c>
      <c r="J4" s="36" t="s">
        <v>72</v>
      </c>
      <c r="K4" s="32" t="s">
        <v>62</v>
      </c>
      <c r="L4" s="37"/>
      <c r="M4" s="37"/>
      <c r="N4" s="38" t="s">
        <v>73</v>
      </c>
    </row>
    <row r="5" spans="1:14" x14ac:dyDescent="0.25">
      <c r="A5" s="44" t="s">
        <v>83</v>
      </c>
      <c r="B5" s="44" t="s">
        <v>88</v>
      </c>
      <c r="C5" s="44" t="s">
        <v>85</v>
      </c>
      <c r="D5" s="44"/>
      <c r="E5" s="45" t="s">
        <v>84</v>
      </c>
      <c r="F5" s="44"/>
      <c r="G5" s="44"/>
      <c r="H5" s="44"/>
      <c r="I5" s="44"/>
      <c r="J5" s="44" t="s">
        <v>80</v>
      </c>
      <c r="K5" s="44"/>
      <c r="L5" s="44"/>
      <c r="M5" s="44"/>
      <c r="N5" s="44" t="s">
        <v>86</v>
      </c>
    </row>
    <row r="6" spans="1:14" x14ac:dyDescent="0.25">
      <c r="A6" s="42" t="s">
        <v>83</v>
      </c>
      <c r="B6" s="42" t="s">
        <v>88</v>
      </c>
      <c r="C6" s="42" t="s">
        <v>85</v>
      </c>
      <c r="D6" s="43" t="s">
        <v>81</v>
      </c>
      <c r="E6" s="42" t="s">
        <v>84</v>
      </c>
      <c r="F6" s="43" t="s">
        <v>81</v>
      </c>
      <c r="G6" s="42" t="s">
        <v>82</v>
      </c>
      <c r="H6" s="43" t="s">
        <v>81</v>
      </c>
      <c r="I6" s="43" t="s">
        <v>31</v>
      </c>
      <c r="J6" s="42" t="s">
        <v>80</v>
      </c>
      <c r="K6" s="43" t="s">
        <v>81</v>
      </c>
      <c r="L6" s="43" t="s">
        <v>81</v>
      </c>
      <c r="M6" s="43" t="s">
        <v>81</v>
      </c>
      <c r="N6" s="42" t="s">
        <v>86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:C6 E6 J6" xr:uid="{00000000-0002-0000-0100-000000000000}">
      <formula1>"A,B,C,D,E,F,G,H,I,J,K,L,M,N,O,P,Q,R,S,T,U,V,X,Z"</formula1>
    </dataValidation>
    <dataValidation type="list" allowBlank="1" showInputMessage="1" showErrorMessage="1" sqref="N6" xr:uid="{DD8CDCCF-8AA8-4D92-93F3-33C60DD0E8D3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B17"/>
  <sheetViews>
    <sheetView tabSelected="1" workbookViewId="0">
      <selection activeCell="H32" sqref="H32"/>
    </sheetView>
  </sheetViews>
  <sheetFormatPr defaultColWidth="161.7109375" defaultRowHeight="15" x14ac:dyDescent="0.25"/>
  <cols>
    <col min="1" max="1" width="10.7109375" style="75" bestFit="1" customWidth="1"/>
    <col min="2" max="2" width="5.5703125" bestFit="1" customWidth="1"/>
    <col min="3" max="3" width="20.85546875" bestFit="1" customWidth="1"/>
    <col min="4" max="4" width="5.42578125" bestFit="1" customWidth="1"/>
    <col min="5" max="5" width="5.85546875" bestFit="1" customWidth="1"/>
    <col min="6" max="6" width="60.7109375" bestFit="1" customWidth="1"/>
    <col min="7" max="7" width="18" bestFit="1" customWidth="1"/>
    <col min="8" max="8" width="60" bestFit="1" customWidth="1"/>
    <col min="9" max="9" width="18" bestFit="1" customWidth="1"/>
    <col min="10" max="10" width="56.42578125" bestFit="1" customWidth="1"/>
    <col min="11" max="11" width="18" bestFit="1" customWidth="1"/>
    <col min="12" max="12" width="6.42578125" bestFit="1" customWidth="1"/>
    <col min="13" max="13" width="9.7109375" bestFit="1" customWidth="1"/>
    <col min="14" max="14" width="39.28515625" bestFit="1" customWidth="1"/>
    <col min="15" max="15" width="10.7109375" bestFit="1" customWidth="1"/>
    <col min="16" max="17" width="6.42578125" bestFit="1" customWidth="1"/>
    <col min="18" max="18" width="10.140625" bestFit="1" customWidth="1"/>
    <col min="19" max="19" width="46.28515625" bestFit="1" customWidth="1"/>
    <col min="20" max="20" width="31.5703125" bestFit="1" customWidth="1"/>
    <col min="21" max="23" width="6.5703125" bestFit="1" customWidth="1"/>
    <col min="24" max="24" width="5.5703125" bestFit="1" customWidth="1"/>
    <col min="25" max="25" width="6.5703125" bestFit="1" customWidth="1"/>
    <col min="26" max="26" width="6.28515625" bestFit="1" customWidth="1"/>
    <col min="27" max="27" width="6.5703125" bestFit="1" customWidth="1"/>
    <col min="28" max="28" width="4.140625" bestFit="1" customWidth="1"/>
  </cols>
  <sheetData>
    <row r="1" spans="1:28" x14ac:dyDescent="0.25">
      <c r="A1" s="75" t="s">
        <v>28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  <c r="T1" t="s">
        <v>79</v>
      </c>
      <c r="U1" t="s">
        <v>89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95</v>
      </c>
      <c r="AB1" t="s">
        <v>96</v>
      </c>
    </row>
    <row r="2" spans="1:28" x14ac:dyDescent="0.25">
      <c r="A2" s="76" t="s">
        <v>181</v>
      </c>
      <c r="B2" s="48">
        <v>0.793910752314815</v>
      </c>
      <c r="C2" s="49" t="s">
        <v>97</v>
      </c>
      <c r="D2" s="49" t="s">
        <v>98</v>
      </c>
      <c r="E2" s="49" t="s">
        <v>99</v>
      </c>
      <c r="F2" s="49" t="s">
        <v>100</v>
      </c>
      <c r="G2" s="49" t="s">
        <v>101</v>
      </c>
      <c r="H2" s="49" t="s">
        <v>102</v>
      </c>
      <c r="I2" s="49" t="s">
        <v>101</v>
      </c>
      <c r="J2" s="49" t="s">
        <v>103</v>
      </c>
      <c r="K2" s="49" t="s">
        <v>101</v>
      </c>
      <c r="L2" s="49"/>
      <c r="M2" s="49" t="s">
        <v>104</v>
      </c>
      <c r="N2" s="49" t="s">
        <v>105</v>
      </c>
      <c r="O2" s="50">
        <v>44253.388275463003</v>
      </c>
      <c r="P2" s="49" t="s">
        <v>106</v>
      </c>
      <c r="Q2" s="49" t="s">
        <v>107</v>
      </c>
      <c r="R2" s="51">
        <v>38720.400000000001</v>
      </c>
      <c r="S2" s="49" t="s">
        <v>108</v>
      </c>
      <c r="T2" s="52" t="s">
        <v>109</v>
      </c>
      <c r="U2" s="53">
        <v>48.4</v>
      </c>
      <c r="V2" s="53">
        <v>16.940000000000001</v>
      </c>
      <c r="W2" s="54">
        <v>31.46</v>
      </c>
      <c r="X2" s="55">
        <v>0</v>
      </c>
      <c r="Y2" s="55">
        <v>31.48</v>
      </c>
      <c r="Z2" s="55">
        <v>-0.02</v>
      </c>
      <c r="AA2" s="55">
        <v>31.46</v>
      </c>
      <c r="AB2" s="56">
        <v>1</v>
      </c>
    </row>
    <row r="3" spans="1:28" x14ac:dyDescent="0.25">
      <c r="A3" s="76" t="s">
        <v>182</v>
      </c>
      <c r="B3" s="48">
        <v>0.64863072916666697</v>
      </c>
      <c r="C3" s="49" t="s">
        <v>110</v>
      </c>
      <c r="D3" s="49" t="s">
        <v>98</v>
      </c>
      <c r="E3" s="49" t="s">
        <v>99</v>
      </c>
      <c r="F3" s="49" t="s">
        <v>111</v>
      </c>
      <c r="G3" s="49" t="s">
        <v>112</v>
      </c>
      <c r="H3" s="49" t="s">
        <v>113</v>
      </c>
      <c r="I3" s="49" t="s">
        <v>112</v>
      </c>
      <c r="J3" s="49" t="s">
        <v>114</v>
      </c>
      <c r="K3" s="49" t="s">
        <v>112</v>
      </c>
      <c r="L3" s="49"/>
      <c r="M3" s="49" t="s">
        <v>115</v>
      </c>
      <c r="N3" s="49" t="s">
        <v>116</v>
      </c>
      <c r="O3" s="50">
        <v>44258.3736921296</v>
      </c>
      <c r="P3" s="49" t="s">
        <v>117</v>
      </c>
      <c r="Q3" s="49" t="s">
        <v>107</v>
      </c>
      <c r="R3" s="51">
        <v>37121.4</v>
      </c>
      <c r="S3" s="49" t="s">
        <v>118</v>
      </c>
      <c r="T3" s="52" t="s">
        <v>109</v>
      </c>
      <c r="U3" s="53">
        <v>47.96</v>
      </c>
      <c r="V3" s="53">
        <v>17.84</v>
      </c>
      <c r="W3" s="54">
        <v>30.12</v>
      </c>
      <c r="X3" s="55">
        <v>0</v>
      </c>
      <c r="Y3" s="55">
        <v>30.18</v>
      </c>
      <c r="Z3" s="55">
        <v>-0.06</v>
      </c>
      <c r="AA3" s="55">
        <v>30.12</v>
      </c>
      <c r="AB3" s="56">
        <v>1</v>
      </c>
    </row>
    <row r="4" spans="1:28" x14ac:dyDescent="0.25">
      <c r="A4" s="76" t="s">
        <v>182</v>
      </c>
      <c r="B4" s="48">
        <v>0.77302201388888903</v>
      </c>
      <c r="C4" s="49" t="s">
        <v>119</v>
      </c>
      <c r="D4" s="49" t="s">
        <v>98</v>
      </c>
      <c r="E4" s="49" t="s">
        <v>99</v>
      </c>
      <c r="F4" s="49" t="s">
        <v>111</v>
      </c>
      <c r="G4" s="49" t="s">
        <v>112</v>
      </c>
      <c r="H4" s="49" t="s">
        <v>113</v>
      </c>
      <c r="I4" s="49" t="s">
        <v>112</v>
      </c>
      <c r="J4" s="49" t="s">
        <v>114</v>
      </c>
      <c r="K4" s="49" t="s">
        <v>112</v>
      </c>
      <c r="L4" s="49"/>
      <c r="M4" s="49" t="s">
        <v>120</v>
      </c>
      <c r="N4" s="49" t="s">
        <v>121</v>
      </c>
      <c r="O4" s="50">
        <v>44258.491261574098</v>
      </c>
      <c r="P4" s="49" t="s">
        <v>122</v>
      </c>
      <c r="Q4" s="49" t="s">
        <v>107</v>
      </c>
      <c r="R4" s="51">
        <v>45928.2</v>
      </c>
      <c r="S4" s="49" t="s">
        <v>123</v>
      </c>
      <c r="T4" s="52" t="s">
        <v>109</v>
      </c>
      <c r="U4" s="53">
        <v>56.98</v>
      </c>
      <c r="V4" s="53">
        <v>19.739999999999998</v>
      </c>
      <c r="W4" s="54">
        <v>37.24</v>
      </c>
      <c r="X4" s="55">
        <v>0</v>
      </c>
      <c r="Y4" s="55">
        <v>37.340000000000003</v>
      </c>
      <c r="Z4" s="55">
        <v>-0.1</v>
      </c>
      <c r="AA4" s="55">
        <v>37.24</v>
      </c>
      <c r="AB4" s="56">
        <v>1</v>
      </c>
    </row>
    <row r="5" spans="1:28" x14ac:dyDescent="0.25">
      <c r="A5" s="76" t="s">
        <v>182</v>
      </c>
      <c r="B5" s="48">
        <v>0.78343238425925898</v>
      </c>
      <c r="C5" s="49" t="s">
        <v>124</v>
      </c>
      <c r="D5" s="49" t="s">
        <v>98</v>
      </c>
      <c r="E5" s="49" t="s">
        <v>99</v>
      </c>
      <c r="F5" s="49" t="s">
        <v>111</v>
      </c>
      <c r="G5" s="49" t="s">
        <v>112</v>
      </c>
      <c r="H5" s="49" t="s">
        <v>113</v>
      </c>
      <c r="I5" s="49" t="s">
        <v>112</v>
      </c>
      <c r="J5" s="49" t="s">
        <v>114</v>
      </c>
      <c r="K5" s="49" t="s">
        <v>112</v>
      </c>
      <c r="L5" s="49"/>
      <c r="M5" s="49" t="s">
        <v>125</v>
      </c>
      <c r="N5" s="49" t="s">
        <v>126</v>
      </c>
      <c r="O5" s="50">
        <v>44258.533078703702</v>
      </c>
      <c r="P5" s="49" t="s">
        <v>127</v>
      </c>
      <c r="Q5" s="49" t="s">
        <v>107</v>
      </c>
      <c r="R5" s="51">
        <v>38818.800000000003</v>
      </c>
      <c r="S5" s="49" t="s">
        <v>128</v>
      </c>
      <c r="T5" s="52" t="s">
        <v>109</v>
      </c>
      <c r="U5" s="53">
        <v>48.64</v>
      </c>
      <c r="V5" s="53">
        <v>17.12</v>
      </c>
      <c r="W5" s="54">
        <v>31.52</v>
      </c>
      <c r="X5" s="55">
        <v>0</v>
      </c>
      <c r="Y5" s="55">
        <v>31.56</v>
      </c>
      <c r="Z5" s="55">
        <v>-0.04</v>
      </c>
      <c r="AA5" s="55">
        <v>31.52</v>
      </c>
      <c r="AB5" s="56">
        <v>1</v>
      </c>
    </row>
    <row r="6" spans="1:28" x14ac:dyDescent="0.25">
      <c r="A6" s="76" t="s">
        <v>183</v>
      </c>
      <c r="B6" s="48">
        <v>0.73191311342592602</v>
      </c>
      <c r="C6" s="49" t="s">
        <v>129</v>
      </c>
      <c r="D6" s="49" t="s">
        <v>98</v>
      </c>
      <c r="E6" s="49" t="s">
        <v>99</v>
      </c>
      <c r="F6" s="49" t="s">
        <v>111</v>
      </c>
      <c r="G6" s="49" t="s">
        <v>112</v>
      </c>
      <c r="H6" s="49" t="s">
        <v>113</v>
      </c>
      <c r="I6" s="49" t="s">
        <v>112</v>
      </c>
      <c r="J6" s="49" t="s">
        <v>114</v>
      </c>
      <c r="K6" s="49" t="s">
        <v>112</v>
      </c>
      <c r="L6" s="49"/>
      <c r="M6" s="49" t="s">
        <v>115</v>
      </c>
      <c r="N6" s="49" t="s">
        <v>116</v>
      </c>
      <c r="O6" s="50">
        <v>44259.443611111099</v>
      </c>
      <c r="P6" s="49" t="s">
        <v>130</v>
      </c>
      <c r="Q6" s="49" t="s">
        <v>107</v>
      </c>
      <c r="R6" s="51">
        <v>37515</v>
      </c>
      <c r="S6" s="49" t="s">
        <v>131</v>
      </c>
      <c r="T6" s="52" t="s">
        <v>109</v>
      </c>
      <c r="U6" s="53">
        <v>48.24</v>
      </c>
      <c r="V6" s="53">
        <v>17.78</v>
      </c>
      <c r="W6" s="54">
        <v>30.46</v>
      </c>
      <c r="X6" s="55">
        <v>0</v>
      </c>
      <c r="Y6" s="55">
        <v>30.5</v>
      </c>
      <c r="Z6" s="55">
        <v>-0.04</v>
      </c>
      <c r="AA6" s="55">
        <v>30.46</v>
      </c>
      <c r="AB6" s="56">
        <v>1</v>
      </c>
    </row>
    <row r="7" spans="1:28" x14ac:dyDescent="0.25">
      <c r="A7" s="76" t="s">
        <v>183</v>
      </c>
      <c r="B7" s="48">
        <v>0.98427378472222204</v>
      </c>
      <c r="C7" s="49" t="s">
        <v>132</v>
      </c>
      <c r="D7" s="49" t="s">
        <v>98</v>
      </c>
      <c r="E7" s="49" t="s">
        <v>99</v>
      </c>
      <c r="F7" s="49" t="s">
        <v>111</v>
      </c>
      <c r="G7" s="49" t="s">
        <v>112</v>
      </c>
      <c r="H7" s="49" t="s">
        <v>113</v>
      </c>
      <c r="I7" s="49" t="s">
        <v>112</v>
      </c>
      <c r="J7" s="49" t="s">
        <v>114</v>
      </c>
      <c r="K7" s="49" t="s">
        <v>112</v>
      </c>
      <c r="L7" s="49"/>
      <c r="M7" s="49" t="s">
        <v>133</v>
      </c>
      <c r="N7" s="49" t="s">
        <v>134</v>
      </c>
      <c r="O7" s="50">
        <v>44259.7551157407</v>
      </c>
      <c r="P7" s="49" t="s">
        <v>135</v>
      </c>
      <c r="Q7" s="49" t="s">
        <v>107</v>
      </c>
      <c r="R7" s="51">
        <v>45436.2</v>
      </c>
      <c r="S7" s="49" t="s">
        <v>136</v>
      </c>
      <c r="T7" s="52" t="s">
        <v>109</v>
      </c>
      <c r="U7" s="53">
        <v>56.94</v>
      </c>
      <c r="V7" s="53">
        <v>20</v>
      </c>
      <c r="W7" s="54">
        <v>36.94</v>
      </c>
      <c r="X7" s="55">
        <v>0</v>
      </c>
      <c r="Y7" s="55">
        <v>36.94</v>
      </c>
      <c r="Z7" s="55">
        <v>0</v>
      </c>
      <c r="AA7" s="55">
        <v>36.94</v>
      </c>
      <c r="AB7" s="56">
        <v>1</v>
      </c>
    </row>
    <row r="8" spans="1:28" x14ac:dyDescent="0.25">
      <c r="A8" s="76" t="s">
        <v>184</v>
      </c>
      <c r="B8" s="48">
        <v>0.79275525462963004</v>
      </c>
      <c r="C8" s="49" t="s">
        <v>137</v>
      </c>
      <c r="D8" s="49" t="s">
        <v>98</v>
      </c>
      <c r="E8" s="49" t="s">
        <v>99</v>
      </c>
      <c r="F8" s="49" t="s">
        <v>111</v>
      </c>
      <c r="G8" s="49" t="s">
        <v>112</v>
      </c>
      <c r="H8" s="49" t="s">
        <v>113</v>
      </c>
      <c r="I8" s="49" t="s">
        <v>112</v>
      </c>
      <c r="J8" s="49" t="s">
        <v>114</v>
      </c>
      <c r="K8" s="49" t="s">
        <v>112</v>
      </c>
      <c r="L8" s="49"/>
      <c r="M8" s="49" t="s">
        <v>125</v>
      </c>
      <c r="N8" s="49" t="s">
        <v>126</v>
      </c>
      <c r="O8" s="50">
        <v>44260.474641203698</v>
      </c>
      <c r="P8" s="49" t="s">
        <v>138</v>
      </c>
      <c r="Q8" s="49" t="s">
        <v>107</v>
      </c>
      <c r="R8" s="51">
        <v>38400.6</v>
      </c>
      <c r="S8" s="49" t="s">
        <v>139</v>
      </c>
      <c r="T8" s="52" t="s">
        <v>109</v>
      </c>
      <c r="U8" s="53">
        <v>48.32</v>
      </c>
      <c r="V8" s="53">
        <v>16.96</v>
      </c>
      <c r="W8" s="54">
        <v>31.36</v>
      </c>
      <c r="X8" s="55">
        <v>0</v>
      </c>
      <c r="Y8" s="55">
        <v>31.22</v>
      </c>
      <c r="Z8" s="55">
        <v>0.14000000000000001</v>
      </c>
      <c r="AA8" s="55">
        <v>31.22</v>
      </c>
      <c r="AB8" s="56">
        <v>1</v>
      </c>
    </row>
    <row r="9" spans="1:28" x14ac:dyDescent="0.25">
      <c r="A9" s="76" t="s">
        <v>184</v>
      </c>
      <c r="B9" s="48">
        <v>0.313266875</v>
      </c>
      <c r="C9" s="49" t="s">
        <v>140</v>
      </c>
      <c r="D9" s="49" t="s">
        <v>98</v>
      </c>
      <c r="E9" s="49" t="s">
        <v>99</v>
      </c>
      <c r="F9" s="49" t="s">
        <v>111</v>
      </c>
      <c r="G9" s="49" t="s">
        <v>112</v>
      </c>
      <c r="H9" s="49" t="s">
        <v>113</v>
      </c>
      <c r="I9" s="49" t="s">
        <v>112</v>
      </c>
      <c r="J9" s="49" t="s">
        <v>114</v>
      </c>
      <c r="K9" s="49" t="s">
        <v>112</v>
      </c>
      <c r="L9" s="49"/>
      <c r="M9" s="49" t="s">
        <v>141</v>
      </c>
      <c r="N9" s="49" t="s">
        <v>142</v>
      </c>
      <c r="O9" s="50">
        <v>44260.863206018497</v>
      </c>
      <c r="P9" s="49" t="s">
        <v>143</v>
      </c>
      <c r="Q9" s="49" t="s">
        <v>107</v>
      </c>
      <c r="R9" s="51">
        <v>47035.199999999997</v>
      </c>
      <c r="S9" s="49" t="s">
        <v>144</v>
      </c>
      <c r="T9" s="52" t="s">
        <v>109</v>
      </c>
      <c r="U9" s="53">
        <v>56.98</v>
      </c>
      <c r="V9" s="53">
        <v>18.82</v>
      </c>
      <c r="W9" s="54">
        <v>38.159999999999997</v>
      </c>
      <c r="X9" s="55">
        <v>0</v>
      </c>
      <c r="Y9" s="55">
        <v>38.24</v>
      </c>
      <c r="Z9" s="55">
        <v>-0.08</v>
      </c>
      <c r="AA9" s="55">
        <v>38.159999999999997</v>
      </c>
      <c r="AB9" s="56">
        <v>1</v>
      </c>
    </row>
    <row r="10" spans="1:28" x14ac:dyDescent="0.25">
      <c r="A10" s="76" t="s">
        <v>185</v>
      </c>
      <c r="B10" s="48">
        <v>0.67227499999999996</v>
      </c>
      <c r="C10" s="49" t="s">
        <v>145</v>
      </c>
      <c r="D10" s="49" t="s">
        <v>98</v>
      </c>
      <c r="E10" s="49" t="s">
        <v>99</v>
      </c>
      <c r="F10" s="49" t="s">
        <v>111</v>
      </c>
      <c r="G10" s="49" t="s">
        <v>112</v>
      </c>
      <c r="H10" s="49" t="s">
        <v>113</v>
      </c>
      <c r="I10" s="49" t="s">
        <v>112</v>
      </c>
      <c r="J10" s="49" t="s">
        <v>114</v>
      </c>
      <c r="K10" s="49" t="s">
        <v>112</v>
      </c>
      <c r="L10" s="49"/>
      <c r="M10" s="49" t="s">
        <v>146</v>
      </c>
      <c r="N10" s="49" t="s">
        <v>147</v>
      </c>
      <c r="O10" s="50">
        <v>44260.895590277803</v>
      </c>
      <c r="P10" s="49" t="s">
        <v>148</v>
      </c>
      <c r="Q10" s="49" t="s">
        <v>107</v>
      </c>
      <c r="R10" s="51">
        <v>46764.6</v>
      </c>
      <c r="S10" s="49" t="s">
        <v>149</v>
      </c>
      <c r="T10" s="52" t="s">
        <v>109</v>
      </c>
      <c r="U10" s="53">
        <v>57.12</v>
      </c>
      <c r="V10" s="53">
        <v>19.260000000000002</v>
      </c>
      <c r="W10" s="54">
        <v>37.86</v>
      </c>
      <c r="X10" s="55">
        <v>0</v>
      </c>
      <c r="Y10" s="55">
        <v>38.020000000000003</v>
      </c>
      <c r="Z10" s="55">
        <v>-0.16</v>
      </c>
      <c r="AA10" s="55">
        <v>37.86</v>
      </c>
      <c r="AB10" s="56">
        <v>1</v>
      </c>
    </row>
    <row r="11" spans="1:28" x14ac:dyDescent="0.25">
      <c r="A11" s="76" t="s">
        <v>185</v>
      </c>
      <c r="B11" s="48">
        <v>8.1904282407407394E-3</v>
      </c>
      <c r="C11" s="49" t="s">
        <v>150</v>
      </c>
      <c r="D11" s="49" t="s">
        <v>98</v>
      </c>
      <c r="E11" s="49" t="s">
        <v>99</v>
      </c>
      <c r="F11" s="49" t="s">
        <v>111</v>
      </c>
      <c r="G11" s="49" t="s">
        <v>112</v>
      </c>
      <c r="H11" s="49" t="s">
        <v>113</v>
      </c>
      <c r="I11" s="49" t="s">
        <v>112</v>
      </c>
      <c r="J11" s="49" t="s">
        <v>114</v>
      </c>
      <c r="K11" s="49" t="s">
        <v>112</v>
      </c>
      <c r="L11" s="49"/>
      <c r="M11" s="49" t="s">
        <v>151</v>
      </c>
      <c r="N11" s="49" t="s">
        <v>152</v>
      </c>
      <c r="O11" s="50">
        <v>44261.710405092599</v>
      </c>
      <c r="P11" s="49" t="s">
        <v>153</v>
      </c>
      <c r="Q11" s="49" t="s">
        <v>107</v>
      </c>
      <c r="R11" s="51">
        <v>62508.6</v>
      </c>
      <c r="S11" s="49" t="s">
        <v>154</v>
      </c>
      <c r="T11" s="52" t="s">
        <v>109</v>
      </c>
      <c r="U11" s="53">
        <v>74</v>
      </c>
      <c r="V11" s="53">
        <v>23.22</v>
      </c>
      <c r="W11" s="54">
        <v>50.78</v>
      </c>
      <c r="X11" s="55">
        <v>0</v>
      </c>
      <c r="Y11" s="55">
        <v>50.82</v>
      </c>
      <c r="Z11" s="55">
        <v>-0.04</v>
      </c>
      <c r="AA11" s="55">
        <v>50.78</v>
      </c>
      <c r="AB11" s="56">
        <v>1</v>
      </c>
    </row>
    <row r="12" spans="1:28" x14ac:dyDescent="0.25">
      <c r="A12" s="76" t="s">
        <v>185</v>
      </c>
      <c r="B12" s="48">
        <v>7.6068171296296297E-2</v>
      </c>
      <c r="C12" s="49" t="s">
        <v>155</v>
      </c>
      <c r="D12" s="49" t="s">
        <v>98</v>
      </c>
      <c r="E12" s="49" t="s">
        <v>99</v>
      </c>
      <c r="F12" s="49" t="s">
        <v>111</v>
      </c>
      <c r="G12" s="49" t="s">
        <v>112</v>
      </c>
      <c r="H12" s="49" t="s">
        <v>113</v>
      </c>
      <c r="I12" s="49" t="s">
        <v>112</v>
      </c>
      <c r="J12" s="49" t="s">
        <v>114</v>
      </c>
      <c r="K12" s="49" t="s">
        <v>112</v>
      </c>
      <c r="L12" s="49"/>
      <c r="M12" s="49" t="s">
        <v>125</v>
      </c>
      <c r="N12" s="49" t="s">
        <v>126</v>
      </c>
      <c r="O12" s="50">
        <v>44261.7124189815</v>
      </c>
      <c r="P12" s="49" t="s">
        <v>156</v>
      </c>
      <c r="Q12" s="49" t="s">
        <v>107</v>
      </c>
      <c r="R12" s="51">
        <v>38572.800000000003</v>
      </c>
      <c r="S12" s="49" t="s">
        <v>157</v>
      </c>
      <c r="T12" s="52" t="s">
        <v>109</v>
      </c>
      <c r="U12" s="53">
        <v>48.28</v>
      </c>
      <c r="V12" s="53">
        <v>16.940000000000001</v>
      </c>
      <c r="W12" s="54">
        <v>31.34</v>
      </c>
      <c r="X12" s="55">
        <v>0</v>
      </c>
      <c r="Y12" s="55">
        <v>31.36</v>
      </c>
      <c r="Z12" s="55">
        <v>-0.02</v>
      </c>
      <c r="AA12" s="55">
        <v>31.34</v>
      </c>
      <c r="AB12" s="56">
        <v>1</v>
      </c>
    </row>
    <row r="13" spans="1:28" x14ac:dyDescent="0.25">
      <c r="A13" s="76" t="s">
        <v>185</v>
      </c>
      <c r="B13" s="48">
        <v>0.47099805555555602</v>
      </c>
      <c r="C13" s="49" t="s">
        <v>158</v>
      </c>
      <c r="D13" s="49" t="s">
        <v>98</v>
      </c>
      <c r="E13" s="49" t="s">
        <v>99</v>
      </c>
      <c r="F13" s="49" t="s">
        <v>111</v>
      </c>
      <c r="G13" s="49" t="s">
        <v>112</v>
      </c>
      <c r="H13" s="49" t="s">
        <v>113</v>
      </c>
      <c r="I13" s="49" t="s">
        <v>112</v>
      </c>
      <c r="J13" s="49" t="s">
        <v>114</v>
      </c>
      <c r="K13" s="49" t="s">
        <v>112</v>
      </c>
      <c r="L13" s="49"/>
      <c r="M13" s="49" t="s">
        <v>159</v>
      </c>
      <c r="N13" s="49" t="s">
        <v>160</v>
      </c>
      <c r="O13" s="50">
        <v>44261.718009259297</v>
      </c>
      <c r="P13" s="49" t="s">
        <v>161</v>
      </c>
      <c r="Q13" s="49" t="s">
        <v>107</v>
      </c>
      <c r="R13" s="51">
        <v>57539.4</v>
      </c>
      <c r="S13" s="49" t="s">
        <v>162</v>
      </c>
      <c r="T13" s="52" t="s">
        <v>109</v>
      </c>
      <c r="U13" s="53">
        <v>73.56</v>
      </c>
      <c r="V13" s="53">
        <v>26.84</v>
      </c>
      <c r="W13" s="54">
        <v>46.72</v>
      </c>
      <c r="X13" s="55">
        <v>0</v>
      </c>
      <c r="Y13" s="55">
        <v>46.78</v>
      </c>
      <c r="Z13" s="55">
        <v>-0.06</v>
      </c>
      <c r="AA13" s="55">
        <v>46.72</v>
      </c>
      <c r="AB13" s="56">
        <v>1</v>
      </c>
    </row>
    <row r="14" spans="1:28" x14ac:dyDescent="0.25">
      <c r="A14" s="76" t="s">
        <v>186</v>
      </c>
      <c r="B14" s="48">
        <v>0.585955949074074</v>
      </c>
      <c r="C14" s="49" t="s">
        <v>163</v>
      </c>
      <c r="D14" s="49" t="s">
        <v>98</v>
      </c>
      <c r="E14" s="49" t="s">
        <v>99</v>
      </c>
      <c r="F14" s="49" t="s">
        <v>111</v>
      </c>
      <c r="G14" s="49" t="s">
        <v>112</v>
      </c>
      <c r="H14" s="49" t="s">
        <v>113</v>
      </c>
      <c r="I14" s="49" t="s">
        <v>112</v>
      </c>
      <c r="J14" s="49" t="s">
        <v>114</v>
      </c>
      <c r="K14" s="49" t="s">
        <v>112</v>
      </c>
      <c r="L14" s="49"/>
      <c r="M14" s="49" t="s">
        <v>164</v>
      </c>
      <c r="N14" s="49" t="s">
        <v>165</v>
      </c>
      <c r="O14" s="50">
        <v>44261.829456018502</v>
      </c>
      <c r="P14" s="49" t="s">
        <v>166</v>
      </c>
      <c r="Q14" s="49" t="s">
        <v>107</v>
      </c>
      <c r="R14" s="51">
        <v>38203.800000000003</v>
      </c>
      <c r="S14" s="49" t="s">
        <v>167</v>
      </c>
      <c r="T14" s="52" t="s">
        <v>109</v>
      </c>
      <c r="U14" s="53">
        <v>48.2</v>
      </c>
      <c r="V14" s="53">
        <v>17.18</v>
      </c>
      <c r="W14" s="54">
        <v>31.02</v>
      </c>
      <c r="X14" s="55">
        <v>0</v>
      </c>
      <c r="Y14" s="55">
        <v>31.06</v>
      </c>
      <c r="Z14" s="55">
        <v>-0.04</v>
      </c>
      <c r="AA14" s="55">
        <v>31.02</v>
      </c>
      <c r="AB14" s="56">
        <v>1</v>
      </c>
    </row>
    <row r="15" spans="1:28" x14ac:dyDescent="0.25">
      <c r="A15" s="76" t="s">
        <v>186</v>
      </c>
      <c r="B15" s="48">
        <v>0.74350722222222199</v>
      </c>
      <c r="C15" s="49" t="s">
        <v>168</v>
      </c>
      <c r="D15" s="49" t="s">
        <v>98</v>
      </c>
      <c r="E15" s="49" t="s">
        <v>99</v>
      </c>
      <c r="F15" s="49" t="s">
        <v>111</v>
      </c>
      <c r="G15" s="49" t="s">
        <v>112</v>
      </c>
      <c r="H15" s="49" t="s">
        <v>113</v>
      </c>
      <c r="I15" s="49" t="s">
        <v>112</v>
      </c>
      <c r="J15" s="49" t="s">
        <v>114</v>
      </c>
      <c r="K15" s="49" t="s">
        <v>112</v>
      </c>
      <c r="L15" s="49"/>
      <c r="M15" s="49" t="s">
        <v>169</v>
      </c>
      <c r="N15" s="49" t="s">
        <v>170</v>
      </c>
      <c r="O15" s="50">
        <v>44262.539247685199</v>
      </c>
      <c r="P15" s="49" t="s">
        <v>171</v>
      </c>
      <c r="Q15" s="49" t="s">
        <v>107</v>
      </c>
      <c r="R15" s="51">
        <v>38868</v>
      </c>
      <c r="S15" s="49" t="s">
        <v>172</v>
      </c>
      <c r="T15" s="52" t="s">
        <v>109</v>
      </c>
      <c r="U15" s="53">
        <v>48.28</v>
      </c>
      <c r="V15" s="53">
        <v>16.760000000000002</v>
      </c>
      <c r="W15" s="54">
        <v>31.52</v>
      </c>
      <c r="X15" s="55">
        <v>0</v>
      </c>
      <c r="Y15" s="55">
        <v>31.6</v>
      </c>
      <c r="Z15" s="55">
        <v>-0.08</v>
      </c>
      <c r="AA15" s="55">
        <v>31.52</v>
      </c>
      <c r="AB15" s="56">
        <v>1</v>
      </c>
    </row>
    <row r="16" spans="1:28" x14ac:dyDescent="0.25">
      <c r="A16" s="76" t="s">
        <v>186</v>
      </c>
      <c r="B16" s="48">
        <v>0.74541400462963003</v>
      </c>
      <c r="C16" s="49" t="s">
        <v>173</v>
      </c>
      <c r="D16" s="49" t="s">
        <v>98</v>
      </c>
      <c r="E16" s="49" t="s">
        <v>99</v>
      </c>
      <c r="F16" s="49" t="s">
        <v>111</v>
      </c>
      <c r="G16" s="49" t="s">
        <v>112</v>
      </c>
      <c r="H16" s="49" t="s">
        <v>113</v>
      </c>
      <c r="I16" s="49" t="s">
        <v>112</v>
      </c>
      <c r="J16" s="49" t="s">
        <v>114</v>
      </c>
      <c r="K16" s="49" t="s">
        <v>112</v>
      </c>
      <c r="L16" s="49"/>
      <c r="M16" s="49" t="s">
        <v>174</v>
      </c>
      <c r="N16" s="49" t="s">
        <v>175</v>
      </c>
      <c r="O16" s="50">
        <v>44262.414189814801</v>
      </c>
      <c r="P16" s="49" t="s">
        <v>176</v>
      </c>
      <c r="Q16" s="49" t="s">
        <v>107</v>
      </c>
      <c r="R16" s="51">
        <v>38548.199999999997</v>
      </c>
      <c r="S16" s="49" t="s">
        <v>177</v>
      </c>
      <c r="T16" s="52" t="s">
        <v>109</v>
      </c>
      <c r="U16" s="53">
        <v>48.22</v>
      </c>
      <c r="V16" s="53">
        <v>16.96</v>
      </c>
      <c r="W16" s="54">
        <v>31.26</v>
      </c>
      <c r="X16" s="55">
        <v>0</v>
      </c>
      <c r="Y16" s="55">
        <v>31.34</v>
      </c>
      <c r="Z16" s="55">
        <v>-0.08</v>
      </c>
      <c r="AA16" s="55">
        <v>31.26</v>
      </c>
      <c r="AB16" s="56">
        <v>1</v>
      </c>
    </row>
    <row r="17" spans="1:28" x14ac:dyDescent="0.25">
      <c r="A17" s="76" t="s">
        <v>187</v>
      </c>
      <c r="B17" s="48">
        <v>0.83461653935185198</v>
      </c>
      <c r="C17" s="49" t="s">
        <v>178</v>
      </c>
      <c r="D17" s="49" t="s">
        <v>98</v>
      </c>
      <c r="E17" s="49" t="s">
        <v>99</v>
      </c>
      <c r="F17" s="49" t="s">
        <v>111</v>
      </c>
      <c r="G17" s="49" t="s">
        <v>112</v>
      </c>
      <c r="H17" s="49" t="s">
        <v>113</v>
      </c>
      <c r="I17" s="49" t="s">
        <v>112</v>
      </c>
      <c r="J17" s="49" t="s">
        <v>114</v>
      </c>
      <c r="K17" s="49" t="s">
        <v>112</v>
      </c>
      <c r="L17" s="49"/>
      <c r="M17" s="49" t="s">
        <v>159</v>
      </c>
      <c r="N17" s="49" t="s">
        <v>160</v>
      </c>
      <c r="O17" s="50">
        <v>44262.814629629604</v>
      </c>
      <c r="P17" s="49" t="s">
        <v>179</v>
      </c>
      <c r="Q17" s="49" t="s">
        <v>107</v>
      </c>
      <c r="R17" s="51">
        <v>57662.400000000001</v>
      </c>
      <c r="S17" s="49" t="s">
        <v>180</v>
      </c>
      <c r="T17" s="52" t="s">
        <v>109</v>
      </c>
      <c r="U17" s="53">
        <v>73.42</v>
      </c>
      <c r="V17" s="53">
        <v>26.6</v>
      </c>
      <c r="W17" s="54">
        <v>46.82</v>
      </c>
      <c r="X17" s="55">
        <v>0</v>
      </c>
      <c r="Y17" s="55">
        <v>46.88</v>
      </c>
      <c r="Z17" s="55">
        <v>-0.06</v>
      </c>
      <c r="AA17" s="55">
        <v>46.82</v>
      </c>
      <c r="AB17" s="56">
        <v>1</v>
      </c>
    </row>
  </sheetData>
  <phoneticPr fontId="16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3"/>
  <sheetViews>
    <sheetView topLeftCell="D1" zoomScale="85" zoomScaleNormal="85" workbookViewId="0">
      <selection activeCell="L4" sqref="L4"/>
    </sheetView>
  </sheetViews>
  <sheetFormatPr defaultRowHeight="15" x14ac:dyDescent="0.25"/>
  <cols>
    <col min="1" max="1" width="17" style="1" bestFit="1" customWidth="1"/>
    <col min="2" max="2" width="31" bestFit="1" customWidth="1"/>
    <col min="3" max="3" width="19.5703125" customWidth="1"/>
    <col min="4" max="4" width="42.85546875" bestFit="1" customWidth="1"/>
    <col min="6" max="6" width="18" bestFit="1" customWidth="1"/>
    <col min="8" max="8" width="28.7109375" customWidth="1"/>
    <col min="9" max="9" width="18" bestFit="1" customWidth="1"/>
    <col min="11" max="12" width="18.140625" bestFit="1" customWidth="1"/>
    <col min="13" max="14" width="5.85546875" customWidth="1"/>
  </cols>
  <sheetData>
    <row r="1" spans="1:13" x14ac:dyDescent="0.25">
      <c r="A1" t="str">
        <f>IF([1]BASE!A1="","",[1]BASE!A1)</f>
        <v>CNPJ</v>
      </c>
      <c r="B1" t="str">
        <f>IF([1]BASE!B1="","",[1]BASE!B1)</f>
        <v>FILIAL</v>
      </c>
      <c r="D1" t="s">
        <v>3</v>
      </c>
      <c r="E1" t="s">
        <v>2</v>
      </c>
      <c r="H1" t="s">
        <v>16</v>
      </c>
    </row>
    <row r="2" spans="1:13" x14ac:dyDescent="0.25">
      <c r="A2" t="str">
        <f>IF([1]BASE!A2="","",[1]BASE!A2)</f>
        <v>06315338000119</v>
      </c>
      <c r="B2" t="str">
        <f>IF([1]BASE!B2="","",[1]BASE!B2)</f>
        <v>COFCO SÃO PAULO</v>
      </c>
      <c r="D2" s="4" t="s">
        <v>0</v>
      </c>
      <c r="E2" t="s">
        <v>1</v>
      </c>
      <c r="H2" s="5" t="s">
        <v>17</v>
      </c>
      <c r="I2" t="s">
        <v>15</v>
      </c>
      <c r="L2" s="10"/>
      <c r="M2" s="10"/>
    </row>
    <row r="3" spans="1:13" x14ac:dyDescent="0.25">
      <c r="A3" t="str">
        <f>IF([1]BASE!A3="","",[1]BASE!A3)</f>
        <v>06315338000380</v>
      </c>
      <c r="B3" t="str">
        <f>IF([1]BASE!B3="","",[1]BASE!B3)</f>
        <v>COFCO SANTOS</v>
      </c>
      <c r="D3" s="4" t="s">
        <v>4</v>
      </c>
      <c r="E3" t="s">
        <v>8</v>
      </c>
      <c r="H3" s="5" t="s">
        <v>18</v>
      </c>
      <c r="I3" t="s">
        <v>19</v>
      </c>
      <c r="J3" t="s">
        <v>20</v>
      </c>
      <c r="L3" s="10"/>
      <c r="M3" s="10"/>
    </row>
    <row r="4" spans="1:13" x14ac:dyDescent="0.25">
      <c r="A4" t="str">
        <f>IF([1]BASE!A4="","",[1]BASE!A4)</f>
        <v>06315338000623</v>
      </c>
      <c r="B4" t="str">
        <f>IF([1]BASE!B4="","",[1]BASE!B4)</f>
        <v>COFCO ALFENAS</v>
      </c>
      <c r="D4" s="4" t="s">
        <v>5</v>
      </c>
      <c r="E4" t="s">
        <v>9</v>
      </c>
      <c r="H4" s="5" t="s">
        <v>18</v>
      </c>
      <c r="I4" s="6" t="s">
        <v>21</v>
      </c>
      <c r="J4" t="s">
        <v>22</v>
      </c>
      <c r="L4" s="12" t="s">
        <v>26</v>
      </c>
      <c r="M4" s="11"/>
    </row>
    <row r="5" spans="1:13" x14ac:dyDescent="0.25">
      <c r="A5" t="str">
        <f>IF([1]BASE!A5="","",[1]BASE!A5)</f>
        <v>06315338000542</v>
      </c>
      <c r="B5" t="str">
        <f>IF([1]BASE!B5="","",[1]BASE!B5)</f>
        <v>COFCO LONDRINA</v>
      </c>
      <c r="D5" s="4" t="s">
        <v>6</v>
      </c>
      <c r="E5" t="s">
        <v>10</v>
      </c>
      <c r="H5" s="7" t="s">
        <v>27</v>
      </c>
      <c r="I5" s="1" t="s">
        <v>24</v>
      </c>
      <c r="K5" t="s">
        <v>112</v>
      </c>
      <c r="L5" s="12" t="s">
        <v>41</v>
      </c>
      <c r="M5" s="11" t="s">
        <v>29</v>
      </c>
    </row>
    <row r="6" spans="1:13" x14ac:dyDescent="0.25">
      <c r="A6" t="str">
        <f>IF([1]BASE!A6="","",[1]BASE!A6)</f>
        <v>29332398001206</v>
      </c>
      <c r="B6" t="str">
        <f>IF([1]BASE!B6="","",[1]BASE!B6)</f>
        <v>COFCO RONDONÓPOLIS</v>
      </c>
      <c r="D6" s="4" t="s">
        <v>7</v>
      </c>
      <c r="E6" t="s">
        <v>11</v>
      </c>
      <c r="H6" s="7" t="s">
        <v>30</v>
      </c>
      <c r="I6" s="8" t="s">
        <v>31</v>
      </c>
      <c r="K6" s="39" t="str">
        <f>SUBSTITUTE(SUBSTITUTE(SUBSTITUTE(K5,".",""),"-",""),"/","")</f>
        <v>06315338019480</v>
      </c>
      <c r="L6" s="57" t="s">
        <v>101</v>
      </c>
      <c r="M6" s="46">
        <v>1</v>
      </c>
    </row>
    <row r="7" spans="1:13" x14ac:dyDescent="0.25">
      <c r="A7" t="str">
        <f>IF([1]BASE!A7="","",[1]BASE!A7)</f>
        <v>06315338000208</v>
      </c>
      <c r="B7" t="str">
        <f>IF([1]BASE!B7="","",[1]BASE!B7)</f>
        <v>COFCO CUIABÁ</v>
      </c>
      <c r="D7" s="4" t="s">
        <v>13</v>
      </c>
      <c r="E7" t="s">
        <v>14</v>
      </c>
      <c r="H7" s="5" t="s">
        <v>25</v>
      </c>
      <c r="I7" t="s">
        <v>23</v>
      </c>
      <c r="K7">
        <f>IFERROR(VLOOKUP(K6,F12:G109,2,0),1)</f>
        <v>1</v>
      </c>
      <c r="L7" s="58" t="s">
        <v>112</v>
      </c>
      <c r="M7" s="47">
        <v>15</v>
      </c>
    </row>
    <row r="8" spans="1:13" x14ac:dyDescent="0.25">
      <c r="A8" t="str">
        <f>IF([1]BASE!A8="","",[1]BASE!A8)</f>
        <v>29332398003675</v>
      </c>
      <c r="B8" t="str">
        <f>IF([1]BASE!B8="","",[1]BASE!B8)</f>
        <v>COFCO PASSO FUNDO</v>
      </c>
      <c r="D8" s="4" t="s">
        <v>32</v>
      </c>
      <c r="E8" t="s">
        <v>33</v>
      </c>
    </row>
    <row r="9" spans="1:13" x14ac:dyDescent="0.25">
      <c r="A9" t="str">
        <f>IF([1]BASE!A9="","",[1]BASE!A9)</f>
        <v>06315338001603</v>
      </c>
      <c r="B9" t="str">
        <f>IF([1]BASE!B9="","",[1]BASE!B9)</f>
        <v>COFCO MARINGÁ</v>
      </c>
      <c r="D9" s="4" t="s">
        <v>34</v>
      </c>
      <c r="E9" t="s">
        <v>35</v>
      </c>
    </row>
    <row r="10" spans="1:13" x14ac:dyDescent="0.25">
      <c r="A10" t="str">
        <f>IF([1]BASE!A10="","",[1]BASE!A10)</f>
        <v>29332398000307</v>
      </c>
      <c r="B10" t="str">
        <f>IF([1]BASE!B10="","",[1]BASE!B10)</f>
        <v>COFCO CAMPO VERDE</v>
      </c>
    </row>
    <row r="11" spans="1:13" x14ac:dyDescent="0.25">
      <c r="A11" t="str">
        <f>IF([1]BASE!A11="","",[1]BASE!A11)</f>
        <v>06315338001786</v>
      </c>
      <c r="B11" t="str">
        <f>IF([1]BASE!B11="","",[1]BASE!B11)</f>
        <v>COFCO JAPURA</v>
      </c>
    </row>
    <row r="12" spans="1:13" x14ac:dyDescent="0.25">
      <c r="A12" t="str">
        <f>IF([1]BASE!A12="","",[1]BASE!A12)</f>
        <v>29332398000730</v>
      </c>
      <c r="B12" t="str">
        <f>IF([1]BASE!B12="","",[1]BASE!B12)</f>
        <v>COFCO NOVA MARINGA</v>
      </c>
      <c r="D12" t="str">
        <f>IF([1]BASE!D12="","",[1]BASE!D12)</f>
        <v>06315338000119</v>
      </c>
      <c r="E12">
        <f>IF([1]BASE!E12="","",[1]BASE!E12)</f>
        <v>100</v>
      </c>
      <c r="F12" t="str">
        <f>IF([1]BASE!F12="","",[1]BASE!F12)</f>
        <v>06315338000119</v>
      </c>
      <c r="G12">
        <f>IF([1]BASE!G12="","",[1]BASE!G12)</f>
        <v>1</v>
      </c>
      <c r="H12" t="str">
        <f>IF([1]BASE!H12="","",[1]BASE!H12)</f>
        <v>COFCO SÃO PAULO</v>
      </c>
    </row>
    <row r="13" spans="1:13" x14ac:dyDescent="0.25">
      <c r="A13" t="str">
        <f>IF([1]BASE!A13="","",[1]BASE!A13)</f>
        <v>29332398000498</v>
      </c>
      <c r="B13" t="str">
        <f>IF([1]BASE!B13="","",[1]BASE!B13)</f>
        <v>COFCO SORRISO</v>
      </c>
      <c r="D13" t="str">
        <f>IF([1]BASE!D13="","",[1]BASE!D13)</f>
        <v>06315338000380</v>
      </c>
      <c r="E13">
        <f>IF([1]BASE!E13="","",[1]BASE!E13)</f>
        <v>101</v>
      </c>
      <c r="F13" t="str">
        <f>IF([1]BASE!F13="","",[1]BASE!F13)</f>
        <v>06315338000380</v>
      </c>
      <c r="G13">
        <f>IF([1]BASE!G13="","",[1]BASE!G13)</f>
        <v>1</v>
      </c>
      <c r="H13" t="str">
        <f>IF([1]BASE!H13="","",[1]BASE!H13)</f>
        <v>COFCO SANTOS</v>
      </c>
    </row>
    <row r="14" spans="1:13" x14ac:dyDescent="0.25">
      <c r="A14" t="str">
        <f>IF([1]BASE!A14="","",[1]BASE!A14)</f>
        <v>29332398003403</v>
      </c>
      <c r="B14" t="str">
        <f>IF([1]BASE!B14="","",[1]BASE!B14)</f>
        <v>COFCO LUIS ED. MAGALHÃES</v>
      </c>
      <c r="D14" t="str">
        <f>IF([1]BASE!D14="","",[1]BASE!D14)</f>
        <v>06315338000623</v>
      </c>
      <c r="E14">
        <f>IF([1]BASE!E14="","",[1]BASE!E14)</f>
        <v>102</v>
      </c>
      <c r="F14" t="str">
        <f>IF([1]BASE!F14="","",[1]BASE!F14)</f>
        <v>06315338000623</v>
      </c>
      <c r="G14">
        <f>IF([1]BASE!G14="","",[1]BASE!G14)</f>
        <v>2</v>
      </c>
      <c r="H14" t="str">
        <f>IF([1]BASE!H14="","",[1]BASE!H14)</f>
        <v>COFCO ALFENAS</v>
      </c>
    </row>
    <row r="15" spans="1:13" x14ac:dyDescent="0.25">
      <c r="A15" t="str">
        <f>IF([1]BASE!A15="","",[1]BASE!A15)</f>
        <v>06315338002677</v>
      </c>
      <c r="B15" t="str">
        <f>IF([1]BASE!B15="","",[1]BASE!B15)</f>
        <v>COFCO RONDONÓPOLIS/CHUSHING</v>
      </c>
      <c r="D15" t="str">
        <f>IF([1]BASE!D15="","",[1]BASE!D15)</f>
        <v>06315338000542</v>
      </c>
      <c r="E15">
        <f>IF([1]BASE!E15="","",[1]BASE!E15)</f>
        <v>103</v>
      </c>
      <c r="F15" t="str">
        <f>IF([1]BASE!F15="","",[1]BASE!F15)</f>
        <v>06315338000542</v>
      </c>
      <c r="G15">
        <f>IF([1]BASE!G15="","",[1]BASE!G15)</f>
        <v>1</v>
      </c>
      <c r="H15" t="str">
        <f>IF([1]BASE!H15="","",[1]BASE!H15)</f>
        <v>COFCO LONDRINA</v>
      </c>
    </row>
    <row r="16" spans="1:13" x14ac:dyDescent="0.25">
      <c r="A16" t="str">
        <f>IF([1]BASE!A16="","",[1]BASE!A16)</f>
        <v>06315338002839</v>
      </c>
      <c r="B16" t="str">
        <f>IF([1]BASE!B16="","",[1]BASE!B16)</f>
        <v>COFCO JATAI</v>
      </c>
      <c r="D16" t="str">
        <f>IF([1]BASE!D16="","",[1]BASE!D16)</f>
        <v>29332398001206</v>
      </c>
      <c r="E16">
        <f>IF([1]BASE!E16="","",[1]BASE!E16)</f>
        <v>906</v>
      </c>
      <c r="F16" t="str">
        <f>IF([1]BASE!F16="","",[1]BASE!F16)</f>
        <v>29332398001206</v>
      </c>
      <c r="G16">
        <f>IF([1]BASE!G16="","",[1]BASE!G16)</f>
        <v>1</v>
      </c>
      <c r="H16" t="str">
        <f>IF([1]BASE!H16="","",[1]BASE!H16)</f>
        <v>COFCO RONDONÓPOLIS</v>
      </c>
    </row>
    <row r="17" spans="1:8" x14ac:dyDescent="0.25">
      <c r="A17" t="str">
        <f>IF([1]BASE!A17="","",[1]BASE!A17)</f>
        <v>29332398001389</v>
      </c>
      <c r="B17" t="str">
        <f>IF([1]BASE!B17="","",[1]BASE!B17)</f>
        <v>COFCO LUCAS R. V. /NOVA MUTUM</v>
      </c>
      <c r="D17" t="str">
        <f>IF([1]BASE!D17="","",[1]BASE!D17)</f>
        <v>06315338000208</v>
      </c>
      <c r="E17">
        <f>IF([1]BASE!E17="","",[1]BASE!E17)</f>
        <v>107</v>
      </c>
      <c r="F17" t="str">
        <f>IF([1]BASE!F17="","",[1]BASE!F17)</f>
        <v>06315338000208</v>
      </c>
      <c r="G17">
        <f>IF([1]BASE!G17="","",[1]BASE!G17)</f>
        <v>1</v>
      </c>
      <c r="H17" t="str">
        <f>IF([1]BASE!H17="","",[1]BASE!H17)</f>
        <v>COFCO CUIABÁ</v>
      </c>
    </row>
    <row r="18" spans="1:8" x14ac:dyDescent="0.25">
      <c r="A18" t="str">
        <f>IF([1]BASE!A18="","",[1]BASE!A18)</f>
        <v>29332398000811</v>
      </c>
      <c r="B18" t="str">
        <f>IF([1]BASE!B18="","",[1]BASE!B18)</f>
        <v>COFCO PRMAVERA DO LESTE</v>
      </c>
      <c r="D18" t="str">
        <f>IF([1]BASE!D18="","",[1]BASE!D18)</f>
        <v>29332398003675</v>
      </c>
      <c r="E18">
        <f>IF([1]BASE!E18="","",[1]BASE!E18)</f>
        <v>908</v>
      </c>
      <c r="F18" t="str">
        <f>IF([1]BASE!F18="","",[1]BASE!F18)</f>
        <v>29332398003675</v>
      </c>
      <c r="G18">
        <f>IF([1]BASE!G18="","",[1]BASE!G18)</f>
        <v>1</v>
      </c>
      <c r="H18" t="str">
        <f>IF([1]BASE!H18="","",[1]BASE!H18)</f>
        <v>COFCO PASSO FUNDO</v>
      </c>
    </row>
    <row r="19" spans="1:8" x14ac:dyDescent="0.25">
      <c r="A19" t="str">
        <f>IF([1]BASE!A19="","",[1]BASE!A19)</f>
        <v>06315338005005</v>
      </c>
      <c r="B19" t="str">
        <f>IF([1]BASE!B19="","",[1]BASE!B19)</f>
        <v>COFCO NOVA UBIRATA</v>
      </c>
      <c r="D19" t="str">
        <f>IF([1]BASE!D19="","",[1]BASE!D19)</f>
        <v>06315338001603</v>
      </c>
      <c r="E19">
        <f>IF([1]BASE!E19="","",[1]BASE!E19)</f>
        <v>110</v>
      </c>
      <c r="F19" t="str">
        <f>IF([1]BASE!F19="","",[1]BASE!F19)</f>
        <v>06315338001603</v>
      </c>
      <c r="G19">
        <f>IF([1]BASE!G19="","",[1]BASE!G19)</f>
        <v>1</v>
      </c>
      <c r="H19" t="str">
        <f>IF([1]BASE!H19="","",[1]BASE!H19)</f>
        <v>COFCO MARINGÁ</v>
      </c>
    </row>
    <row r="20" spans="1:8" x14ac:dyDescent="0.25">
      <c r="A20" t="str">
        <f>IF([1]BASE!A20="","",[1]BASE!A20)</f>
        <v>06315338000269</v>
      </c>
      <c r="B20" t="str">
        <f>IF([1]BASE!B20="","",[1]BASE!B20)</f>
        <v>COFCO NORTELANDIA</v>
      </c>
      <c r="D20" t="str">
        <f>IF([1]BASE!D20="","",[1]BASE!D20)</f>
        <v>29332398000307</v>
      </c>
      <c r="E20">
        <f>IF([1]BASE!E20="","",[1]BASE!E20)</f>
        <v>911</v>
      </c>
      <c r="F20" t="str">
        <f>IF([1]BASE!F20="","",[1]BASE!F20)</f>
        <v>29332398000307</v>
      </c>
      <c r="G20">
        <f>IF([1]BASE!G20="","",[1]BASE!G20)</f>
        <v>1</v>
      </c>
      <c r="H20" t="str">
        <f>IF([1]BASE!H20="","",[1]BASE!H20)</f>
        <v>COFCO CAMPO VERDE</v>
      </c>
    </row>
    <row r="21" spans="1:8" x14ac:dyDescent="0.25">
      <c r="A21" t="str">
        <f>IF([1]BASE!A21="","",[1]BASE!A21)</f>
        <v>06315338003053</v>
      </c>
      <c r="B21" t="str">
        <f>IF([1]BASE!B21="","",[1]BASE!B21)</f>
        <v>COFCO PONTA GROSSA</v>
      </c>
      <c r="D21" t="str">
        <f>IF([1]BASE!D21="","",[1]BASE!D21)</f>
        <v>06315338001786</v>
      </c>
      <c r="E21">
        <f>IF([1]BASE!E21="","",[1]BASE!E21)</f>
        <v>112</v>
      </c>
      <c r="F21" t="str">
        <f>IF([1]BASE!F21="","",[1]BASE!F21)</f>
        <v>06315338001786</v>
      </c>
      <c r="G21">
        <f>IF([1]BASE!G21="","",[1]BASE!G21)</f>
        <v>1</v>
      </c>
      <c r="H21" t="str">
        <f>IF([1]BASE!H21="","",[1]BASE!H21)</f>
        <v>COFCO JAPURA</v>
      </c>
    </row>
    <row r="22" spans="1:8" x14ac:dyDescent="0.25">
      <c r="A22" t="str">
        <f>IF([1]BASE!A22="","",[1]BASE!A22)</f>
        <v>06315338003134</v>
      </c>
      <c r="B22" t="str">
        <f>IF([1]BASE!B22="","",[1]BASE!B22)</f>
        <v>COFCO SINOP</v>
      </c>
      <c r="D22" t="str">
        <f>IF([1]BASE!D22="","",[1]BASE!D22)</f>
        <v>29332398000730</v>
      </c>
      <c r="E22">
        <f>IF([1]BASE!E22="","",[1]BASE!E22)</f>
        <v>914</v>
      </c>
      <c r="F22" t="str">
        <f>IF([1]BASE!F22="","",[1]BASE!F22)</f>
        <v>29332398000730</v>
      </c>
      <c r="G22">
        <f>IF([1]BASE!G22="","",[1]BASE!G22)</f>
        <v>1</v>
      </c>
      <c r="H22" t="str">
        <f>IF([1]BASE!H22="","",[1]BASE!H22)</f>
        <v>COFCO NOVA MARINGA</v>
      </c>
    </row>
    <row r="23" spans="1:8" x14ac:dyDescent="0.25">
      <c r="A23" t="str">
        <f>IF([1]BASE!A23="","",[1]BASE!A23)</f>
        <v>29332398004213</v>
      </c>
      <c r="B23" t="str">
        <f>IF([1]BASE!B23="","",[1]BASE!B23)</f>
        <v xml:space="preserve">COFCO </v>
      </c>
      <c r="D23" t="str">
        <f>IF([1]BASE!D23="","",[1]BASE!D23)</f>
        <v>29332398000498</v>
      </c>
      <c r="E23">
        <f>IF([1]BASE!E23="","",[1]BASE!E23)</f>
        <v>915</v>
      </c>
      <c r="F23" t="str">
        <f>IF([1]BASE!F23="","",[1]BASE!F23)</f>
        <v>29332398000498</v>
      </c>
      <c r="G23">
        <f>IF([1]BASE!G23="","",[1]BASE!G23)</f>
        <v>1</v>
      </c>
      <c r="H23" t="str">
        <f>IF([1]BASE!H23="","",[1]BASE!H23)</f>
        <v>COFCO SORRISO</v>
      </c>
    </row>
    <row r="24" spans="1:8" x14ac:dyDescent="0.25">
      <c r="A24" t="str">
        <f>IF([1]BASE!A24="","",[1]BASE!A24)</f>
        <v>06315338016546</v>
      </c>
      <c r="B24" t="str">
        <f>IF([1]BASE!B24="","",[1]BASE!B24)</f>
        <v>COFCO FELIZ NATAL</v>
      </c>
      <c r="D24" t="str">
        <f>IF([1]BASE!D24="","",[1]BASE!D24)</f>
        <v>29332398003403</v>
      </c>
      <c r="E24">
        <f>IF([1]BASE!E24="","",[1]BASE!E24)</f>
        <v>916</v>
      </c>
      <c r="F24" t="str">
        <f>IF([1]BASE!F24="","",[1]BASE!F24)</f>
        <v>29332398003403</v>
      </c>
      <c r="G24">
        <f>IF([1]BASE!G24="","",[1]BASE!G24)</f>
        <v>1</v>
      </c>
      <c r="H24" t="str">
        <f>IF([1]BASE!H24="","",[1]BASE!H24)</f>
        <v>COFCO LUIS ED. MAGALHÃES</v>
      </c>
    </row>
    <row r="25" spans="1:8" x14ac:dyDescent="0.25">
      <c r="A25" t="str">
        <f>IF([1]BASE!A25="","",[1]BASE!A25)</f>
        <v>29332398004132</v>
      </c>
      <c r="B25" t="str">
        <f>IF([1]BASE!B25="","",[1]BASE!B25)</f>
        <v>COFCO ITAITUBA</v>
      </c>
      <c r="D25" t="str">
        <f>IF([1]BASE!D25="","",[1]BASE!D25)</f>
        <v>06315338002677</v>
      </c>
      <c r="E25">
        <f>IF([1]BASE!E25="","",[1]BASE!E25)</f>
        <v>930</v>
      </c>
      <c r="F25" t="str">
        <f>IF([1]BASE!F25="","",[1]BASE!F25)</f>
        <v>06315338002677</v>
      </c>
      <c r="G25">
        <f>IF([1]BASE!G25="","",[1]BASE!G25)</f>
        <v>1</v>
      </c>
      <c r="H25" t="str">
        <f>IF([1]BASE!H25="","",[1]BASE!H25)</f>
        <v>COFCO RONDONÓPOLIS/CHUSHING</v>
      </c>
    </row>
    <row r="26" spans="1:8" x14ac:dyDescent="0.25">
      <c r="A26" t="str">
        <f>IF([1]BASE!A26="","",[1]BASE!A26)</f>
        <v>06315338016970</v>
      </c>
      <c r="B26" t="str">
        <f>IF([1]BASE!B26="","",[1]BASE!B26)</f>
        <v>COFCO NOVO MUNDO</v>
      </c>
      <c r="D26" t="str">
        <f>IF([1]BASE!D26="","",[1]BASE!D26)</f>
        <v>06315338002839</v>
      </c>
      <c r="E26">
        <f>IF([1]BASE!E26="","",[1]BASE!E26)</f>
        <v>131</v>
      </c>
      <c r="F26" t="str">
        <f>IF([1]BASE!F26="","",[1]BASE!F26)</f>
        <v>06315338002839</v>
      </c>
      <c r="G26">
        <f>IF([1]BASE!G26="","",[1]BASE!G26)</f>
        <v>2</v>
      </c>
      <c r="H26" t="str">
        <f>IF([1]BASE!H26="","",[1]BASE!H26)</f>
        <v>COFCO JATAI</v>
      </c>
    </row>
    <row r="27" spans="1:8" x14ac:dyDescent="0.25">
      <c r="A27" t="str">
        <f>IF([1]BASE!A27="","",[1]BASE!A27)</f>
        <v>29332398000579</v>
      </c>
      <c r="B27" t="str">
        <f>IF([1]BASE!B27="","",[1]BASE!B27)</f>
        <v>COFCO ITANHANGÁ</v>
      </c>
      <c r="D27" t="str">
        <f>IF([1]BASE!D27="","",[1]BASE!D27)</f>
        <v>29332398001389</v>
      </c>
      <c r="E27">
        <f>IF([1]BASE!E27="","",[1]BASE!E27)</f>
        <v>932</v>
      </c>
      <c r="F27" t="str">
        <f>IF([1]BASE!F27="","",[1]BASE!F27)</f>
        <v>29332398001389</v>
      </c>
      <c r="G27">
        <f>IF([1]BASE!G27="","",[1]BASE!G27)</f>
        <v>1</v>
      </c>
      <c r="H27" t="str">
        <f>IF([1]BASE!H27="","",[1]BASE!H27)</f>
        <v>COFCO LUCAS R. V. /NOVA MUTUM</v>
      </c>
    </row>
    <row r="28" spans="1:8" x14ac:dyDescent="0.25">
      <c r="A28" t="str">
        <f>IF([1]BASE!A28="","",[1]BASE!A28)</f>
        <v>06315338017194</v>
      </c>
      <c r="B28" t="str">
        <f>IF([1]BASE!B28="","",[1]BASE!B28)</f>
        <v>COFCO MARCELANDIA</v>
      </c>
      <c r="D28" t="str">
        <f>IF([1]BASE!D28="","",[1]BASE!D28)</f>
        <v>29332398000811</v>
      </c>
      <c r="E28">
        <f>IF([1]BASE!E28="","",[1]BASE!E28)</f>
        <v>934</v>
      </c>
      <c r="F28" t="str">
        <f>IF([1]BASE!F28="","",[1]BASE!F28)</f>
        <v>29332398000811</v>
      </c>
      <c r="G28">
        <f>IF([1]BASE!G28="","",[1]BASE!G28)</f>
        <v>1</v>
      </c>
      <c r="H28" t="str">
        <f>IF([1]BASE!H28="","",[1]BASE!H28)</f>
        <v>COFCO PRMAVERA DO LESTE</v>
      </c>
    </row>
    <row r="29" spans="1:8" x14ac:dyDescent="0.25">
      <c r="A29" t="str">
        <f>IF([1]BASE!A29="","",[1]BASE!A29)</f>
        <v>06315338017275</v>
      </c>
      <c r="B29" t="str">
        <f>IF([1]BASE!B29="","",[1]BASE!B29)</f>
        <v>COFCO CATALÃO</v>
      </c>
      <c r="D29" t="str">
        <f>IF([1]BASE!D29="","",[1]BASE!D29)</f>
        <v>06315338005005</v>
      </c>
      <c r="E29">
        <f>IF([1]BASE!E29="","",[1]BASE!E29)</f>
        <v>135</v>
      </c>
      <c r="F29" t="str">
        <f>IF([1]BASE!F29="","",[1]BASE!F29)</f>
        <v>06315338005005</v>
      </c>
      <c r="G29">
        <f>IF([1]BASE!G29="","",[1]BASE!G29)</f>
        <v>1</v>
      </c>
      <c r="H29" t="str">
        <f>IF([1]BASE!H29="","",[1]BASE!H29)</f>
        <v>COFCO NOVA UBIRATA</v>
      </c>
    </row>
    <row r="30" spans="1:8" x14ac:dyDescent="0.25">
      <c r="A30" t="str">
        <f>IF([1]BASE!A30="","",[1]BASE!A30)</f>
        <v>29332398004051</v>
      </c>
      <c r="B30" t="str">
        <f>IF([1]BASE!B30="","",[1]BASE!B30)</f>
        <v>COFCO PARAGOMINAS</v>
      </c>
      <c r="D30" t="str">
        <f>IF([1]BASE!D30="","",[1]BASE!D30)</f>
        <v>06315338000269</v>
      </c>
      <c r="E30">
        <f>IF([1]BASE!E30="","",[1]BASE!E30)</f>
        <v>136</v>
      </c>
      <c r="F30" t="str">
        <f>IF([1]BASE!F30="","",[1]BASE!F30)</f>
        <v>06315338000269</v>
      </c>
      <c r="G30">
        <f>IF([1]BASE!G30="","",[1]BASE!G30)</f>
        <v>1</v>
      </c>
      <c r="H30" t="str">
        <f>IF([1]BASE!H30="","",[1]BASE!H30)</f>
        <v>COFCO NORTELANDIA</v>
      </c>
    </row>
    <row r="31" spans="1:8" x14ac:dyDescent="0.25">
      <c r="A31" t="str">
        <f>IF([1]BASE!A31="","",[1]BASE!A31)</f>
        <v>06315338017437</v>
      </c>
      <c r="B31" t="str">
        <f>IF([1]BASE!B31="","",[1]BASE!B31)</f>
        <v>COFCO TRÊS CORAÇÕES</v>
      </c>
      <c r="D31" t="str">
        <f>IF([1]BASE!D31="","",[1]BASE!D31)</f>
        <v>06315338003053</v>
      </c>
      <c r="E31">
        <f>IF([1]BASE!E31="","",[1]BASE!E31)</f>
        <v>137</v>
      </c>
      <c r="F31" t="str">
        <f>IF([1]BASE!F31="","",[1]BASE!F31)</f>
        <v>06315338003053</v>
      </c>
      <c r="G31">
        <f>IF([1]BASE!G31="","",[1]BASE!G31)</f>
        <v>1</v>
      </c>
      <c r="H31" t="str">
        <f>IF([1]BASE!H31="","",[1]BASE!H31)</f>
        <v>COFCO PONTA GROSSA</v>
      </c>
    </row>
    <row r="32" spans="1:8" x14ac:dyDescent="0.25">
      <c r="A32" t="str">
        <f>IF([1]BASE!A32="","",[1]BASE!A32)</f>
        <v>29332398001036</v>
      </c>
      <c r="B32" t="str">
        <f>IF([1]BASE!B32="","",[1]BASE!B32)</f>
        <v>COFCO DIAMANTINO</v>
      </c>
      <c r="D32" t="str">
        <f>IF([1]BASE!D32="","",[1]BASE!D32)</f>
        <v>06315338003134</v>
      </c>
      <c r="E32">
        <f>IF([1]BASE!E32="","",[1]BASE!E32)</f>
        <v>139</v>
      </c>
      <c r="F32" t="str">
        <f>IF([1]BASE!F32="","",[1]BASE!F32)</f>
        <v>06315338003134</v>
      </c>
      <c r="G32">
        <f>IF([1]BASE!G32="","",[1]BASE!G32)</f>
        <v>1</v>
      </c>
      <c r="H32" t="str">
        <f>IF([1]BASE!H32="","",[1]BASE!H32)</f>
        <v>COFCO SINOP</v>
      </c>
    </row>
    <row r="33" spans="1:8" x14ac:dyDescent="0.25">
      <c r="A33" t="str">
        <f>IF([1]BASE!A33="","",[1]BASE!A33)</f>
        <v>06315338018247</v>
      </c>
      <c r="B33" t="str">
        <f>IF([1]BASE!B33="","",[1]BASE!B33)</f>
        <v>COFCO SORRISO II</v>
      </c>
      <c r="D33" t="str">
        <f>IF([1]BASE!D33="","",[1]BASE!D33)</f>
        <v>29332398004213</v>
      </c>
      <c r="E33">
        <f>IF([1]BASE!E33="","",[1]BASE!E33)</f>
        <v>943</v>
      </c>
      <c r="F33" t="str">
        <f>IF([1]BASE!F33="","",[1]BASE!F33)</f>
        <v>29332398004213</v>
      </c>
      <c r="G33">
        <f>IF([1]BASE!G33="","",[1]BASE!G33)</f>
        <v>1</v>
      </c>
      <c r="H33" t="str">
        <f>IF([1]BASE!H33="","",[1]BASE!H33)</f>
        <v xml:space="preserve">COFCO </v>
      </c>
    </row>
    <row r="34" spans="1:8" x14ac:dyDescent="0.25">
      <c r="A34" t="str">
        <f>IF([1]BASE!A34="","",[1]BASE!A34)</f>
        <v>06315338018409</v>
      </c>
      <c r="B34" t="str">
        <f>IF([1]BASE!B34="","",[1]BASE!B34)</f>
        <v>COFCO NOVA UBIRATA II</v>
      </c>
      <c r="D34" t="str">
        <f>IF([1]BASE!D34="","",[1]BASE!D34)</f>
        <v>06315338016546</v>
      </c>
      <c r="E34">
        <f>IF([1]BASE!E34="","",[1]BASE!E34)</f>
        <v>144</v>
      </c>
      <c r="F34" t="str">
        <f>IF([1]BASE!F34="","",[1]BASE!F34)</f>
        <v>06315338016546</v>
      </c>
      <c r="G34">
        <f>IF([1]BASE!G34="","",[1]BASE!G34)</f>
        <v>1</v>
      </c>
      <c r="H34" t="str">
        <f>IF([1]BASE!H34="","",[1]BASE!H34)</f>
        <v>COFCO FELIZ NATAL</v>
      </c>
    </row>
    <row r="35" spans="1:8" x14ac:dyDescent="0.25">
      <c r="A35" t="str">
        <f>IF([1]BASE!A35="","",[1]BASE!A35)</f>
        <v>06315338018166</v>
      </c>
      <c r="B35" t="str">
        <f>IF([1]BASE!B35="","",[1]BASE!B35)</f>
        <v>COFCO CANARANA</v>
      </c>
      <c r="D35" t="str">
        <f>IF([1]BASE!D35="","",[1]BASE!D35)</f>
        <v>29332398004132</v>
      </c>
      <c r="E35">
        <f>IF([1]BASE!E35="","",[1]BASE!E35)</f>
        <v>946</v>
      </c>
      <c r="F35" t="str">
        <f>IF([1]BASE!F35="","",[1]BASE!F35)</f>
        <v>29332398004132</v>
      </c>
      <c r="G35">
        <f>IF([1]BASE!G35="","",[1]BASE!G35)</f>
        <v>1</v>
      </c>
      <c r="H35" t="str">
        <f>IF([1]BASE!H35="","",[1]BASE!H35)</f>
        <v>COFCO ITAITUBA</v>
      </c>
    </row>
    <row r="36" spans="1:8" x14ac:dyDescent="0.25">
      <c r="A36" t="str">
        <f>IF([1]BASE!A36="","",[1]BASE!A36)</f>
        <v>29332398000650</v>
      </c>
      <c r="B36" t="str">
        <f>IF([1]BASE!B36="","",[1]BASE!B36)</f>
        <v>COFCO IPIRANGA DO NORTE</v>
      </c>
      <c r="D36" t="str">
        <f>IF([1]BASE!D36="","",[1]BASE!D36)</f>
        <v>06315338016970</v>
      </c>
      <c r="E36">
        <f>IF([1]BASE!E36="","",[1]BASE!E36)</f>
        <v>148</v>
      </c>
      <c r="F36" t="str">
        <f>IF([1]BASE!F36="","",[1]BASE!F36)</f>
        <v>06315338016970</v>
      </c>
      <c r="G36">
        <f>IF([1]BASE!G36="","",[1]BASE!G36)</f>
        <v>1</v>
      </c>
      <c r="H36" t="str">
        <f>IF([1]BASE!H36="","",[1]BASE!H36)</f>
        <v>COFCO NOVO MUNDO</v>
      </c>
    </row>
    <row r="37" spans="1:8" x14ac:dyDescent="0.25">
      <c r="A37" t="str">
        <f>IF([1]BASE!A37="","",[1]BASE!A37)</f>
        <v>06315338018670</v>
      </c>
      <c r="B37" t="str">
        <f>IF([1]BASE!B37="","",[1]BASE!B37)</f>
        <v>COFCO SANTA CARMEM</v>
      </c>
      <c r="D37" t="str">
        <f>IF([1]BASE!D37="","",[1]BASE!D37)</f>
        <v>29332398000579</v>
      </c>
      <c r="E37">
        <f>IF([1]BASE!E37="","",[1]BASE!E37)</f>
        <v>949</v>
      </c>
      <c r="F37" t="str">
        <f>IF([1]BASE!F37="","",[1]BASE!F37)</f>
        <v>29332398000579</v>
      </c>
      <c r="G37">
        <f>IF([1]BASE!G37="","",[1]BASE!G37)</f>
        <v>1</v>
      </c>
      <c r="H37" t="str">
        <f>IF([1]BASE!H37="","",[1]BASE!H37)</f>
        <v>COFCO ITANHANGÁ</v>
      </c>
    </row>
    <row r="38" spans="1:8" x14ac:dyDescent="0.25">
      <c r="A38" t="str">
        <f>IF([1]BASE!A38="","",[1]BASE!A38)</f>
        <v>06315338018328</v>
      </c>
      <c r="B38" t="str">
        <f>IF([1]BASE!B38="","",[1]BASE!B38)</f>
        <v>COFCO NOVA SANTA HELENA</v>
      </c>
      <c r="D38" t="str">
        <f>IF([1]BASE!D38="","",[1]BASE!D38)</f>
        <v>06315338017194</v>
      </c>
      <c r="E38">
        <f>IF([1]BASE!E38="","",[1]BASE!E38)</f>
        <v>179</v>
      </c>
      <c r="F38" t="str">
        <f>IF([1]BASE!F38="","",[1]BASE!F38)</f>
        <v>06315338017194</v>
      </c>
      <c r="G38">
        <f>IF([1]BASE!G38="","",[1]BASE!G38)</f>
        <v>1</v>
      </c>
      <c r="H38" t="str">
        <f>IF([1]BASE!H38="","",[1]BASE!H38)</f>
        <v>COFCO MARCELANDIA</v>
      </c>
    </row>
    <row r="39" spans="1:8" x14ac:dyDescent="0.25">
      <c r="A39" t="str">
        <f>IF([1]BASE!A39="","",[1]BASE!A39)</f>
        <v>06315338017941</v>
      </c>
      <c r="B39" t="str">
        <f>IF([1]BASE!B39="","",[1]BASE!B39)</f>
        <v>COFCO CLAUDIA - NIDERA</v>
      </c>
      <c r="D39" t="str">
        <f>IF([1]BASE!D39="","",[1]BASE!D39)</f>
        <v>06315338017275</v>
      </c>
      <c r="E39">
        <f>IF([1]BASE!E39="","",[1]BASE!E39)</f>
        <v>181</v>
      </c>
      <c r="F39" t="str">
        <f>IF([1]BASE!F39="","",[1]BASE!F39)</f>
        <v>06315338017275</v>
      </c>
      <c r="G39">
        <f>IF([1]BASE!G39="","",[1]BASE!G39)</f>
        <v>1</v>
      </c>
      <c r="H39" t="str">
        <f>IF([1]BASE!H39="","",[1]BASE!H39)</f>
        <v>COFCO CATALÃO</v>
      </c>
    </row>
    <row r="40" spans="1:8" x14ac:dyDescent="0.25">
      <c r="A40" t="str">
        <f>IF([1]BASE!A40="","",[1]BASE!A40)</f>
        <v>29332398000900</v>
      </c>
      <c r="B40" t="str">
        <f>IF([1]BASE!B40="","",[1]BASE!B40)</f>
        <v>COFCO TANGARA DA SERRA</v>
      </c>
      <c r="D40" t="str">
        <f>IF([1]BASE!D40="","",[1]BASE!D40)</f>
        <v>29332398004051</v>
      </c>
      <c r="E40">
        <f>IF([1]BASE!E40="","",[1]BASE!E40)</f>
        <v>982</v>
      </c>
      <c r="F40" t="str">
        <f>IF([1]BASE!F40="","",[1]BASE!F40)</f>
        <v>29332398004051</v>
      </c>
      <c r="G40">
        <f>IF([1]BASE!G40="","",[1]BASE!G40)</f>
        <v>1</v>
      </c>
      <c r="H40" t="str">
        <f>IF([1]BASE!H40="","",[1]BASE!H40)</f>
        <v>COFCO PARAGOMINAS</v>
      </c>
    </row>
    <row r="41" spans="1:8" x14ac:dyDescent="0.25">
      <c r="A41" t="str">
        <f>IF([1]BASE!A41="","",[1]BASE!A41)</f>
        <v>29332398003756</v>
      </c>
      <c r="B41" t="str">
        <f>IF([1]BASE!B41="","",[1]BASE!B41)</f>
        <v xml:space="preserve">COFCO </v>
      </c>
      <c r="D41" t="str">
        <f>IF([1]BASE!D41="","",[1]BASE!D41)</f>
        <v>06315338017437</v>
      </c>
      <c r="E41">
        <f>IF([1]BASE!E41="","",[1]BASE!E41)</f>
        <v>183</v>
      </c>
      <c r="F41" t="str">
        <f>IF([1]BASE!F41="","",[1]BASE!F41)</f>
        <v>06315338017437</v>
      </c>
      <c r="G41">
        <f>IF([1]BASE!G41="","",[1]BASE!G41)</f>
        <v>1</v>
      </c>
      <c r="H41" t="str">
        <f>IF([1]BASE!H41="","",[1]BASE!H41)</f>
        <v>COFCO TRÊS CORAÇÕES</v>
      </c>
    </row>
    <row r="42" spans="1:8" x14ac:dyDescent="0.25">
      <c r="A42" t="str">
        <f>IF([1]BASE!A42="","",[1]BASE!A42)</f>
        <v>06315338019308</v>
      </c>
      <c r="B42" t="str">
        <f>IF([1]BASE!B42="","",[1]BASE!B42)</f>
        <v>COFCO SILVANOPOLIS</v>
      </c>
      <c r="D42" t="str">
        <f>IF([1]BASE!D42="","",[1]BASE!D42)</f>
        <v>29332398001036</v>
      </c>
      <c r="E42">
        <f>IF([1]BASE!E42="","",[1]BASE!E42)</f>
        <v>984</v>
      </c>
      <c r="F42" t="str">
        <f>IF([1]BASE!F42="","",[1]BASE!F42)</f>
        <v>29332398001036</v>
      </c>
      <c r="G42">
        <f>IF([1]BASE!G42="","",[1]BASE!G42)</f>
        <v>1</v>
      </c>
      <c r="H42" t="str">
        <f>IF([1]BASE!H42="","",[1]BASE!H42)</f>
        <v>COFCO DIAMANTINO</v>
      </c>
    </row>
    <row r="43" spans="1:8" x14ac:dyDescent="0.25">
      <c r="A43" t="str">
        <f>IF([1]BASE!A43="","",[1]BASE!A43)</f>
        <v>29332398004302</v>
      </c>
      <c r="B43" t="str">
        <f>IF([1]BASE!B43="","",[1]BASE!B43)</f>
        <v>COFCO SANTA ROSA</v>
      </c>
      <c r="D43" t="str">
        <f>IF([1]BASE!D43="","",[1]BASE!D43)</f>
        <v>06315338018247</v>
      </c>
      <c r="E43">
        <f>IF([1]BASE!E43="","",[1]BASE!E43)</f>
        <v>190</v>
      </c>
      <c r="F43" t="str">
        <f>IF([1]BASE!F43="","",[1]BASE!F43)</f>
        <v>06315338018247</v>
      </c>
      <c r="G43">
        <f>IF([1]BASE!G43="","",[1]BASE!G43)</f>
        <v>1</v>
      </c>
      <c r="H43" t="str">
        <f>IF([1]BASE!H43="","",[1]BASE!H43)</f>
        <v>COFCO SORRISO II</v>
      </c>
    </row>
    <row r="44" spans="1:8" x14ac:dyDescent="0.25">
      <c r="A44" t="str">
        <f>IF([1]BASE!A44="","",[1]BASE!A44)</f>
        <v>29332398003918</v>
      </c>
      <c r="B44" t="str">
        <f>IF([1]BASE!B44="","",[1]BASE!B44)</f>
        <v>COFCO UBERLANDIA</v>
      </c>
      <c r="D44" t="str">
        <f>IF([1]BASE!D44="","",[1]BASE!D44)</f>
        <v>06315338018409</v>
      </c>
      <c r="E44">
        <f>IF([1]BASE!E44="","",[1]BASE!E44)</f>
        <v>192</v>
      </c>
      <c r="F44" t="str">
        <f>IF([1]BASE!F44="","",[1]BASE!F44)</f>
        <v>06315338018409</v>
      </c>
      <c r="G44">
        <f>IF([1]BASE!G44="","",[1]BASE!G44)</f>
        <v>1</v>
      </c>
      <c r="H44" t="str">
        <f>IF([1]BASE!H44="","",[1]BASE!H44)</f>
        <v>COFCO NOVA UBIRATA II</v>
      </c>
    </row>
    <row r="45" spans="1:8" x14ac:dyDescent="0.25">
      <c r="A45" t="str">
        <f>IF([1]BASE!A45="","",[1]BASE!A45)</f>
        <v>29332398000226</v>
      </c>
      <c r="B45" t="str">
        <f>IF([1]BASE!B45="","",[1]BASE!B45)</f>
        <v>COFCO RONDONOPOLIS/FABRICA</v>
      </c>
      <c r="D45" t="str">
        <f>IF([1]BASE!D45="","",[1]BASE!D45)</f>
        <v>06315338018166</v>
      </c>
      <c r="E45">
        <f>IF([1]BASE!E45="","",[1]BASE!E45)</f>
        <v>193</v>
      </c>
      <c r="F45" t="str">
        <f>IF([1]BASE!F45="","",[1]BASE!F45)</f>
        <v>06315338018166</v>
      </c>
      <c r="G45">
        <f>IF([1]BASE!G45="","",[1]BASE!G45)</f>
        <v>1</v>
      </c>
      <c r="H45" t="str">
        <f>IF([1]BASE!H45="","",[1]BASE!H45)</f>
        <v>COFCO CANARANA</v>
      </c>
    </row>
    <row r="46" spans="1:8" x14ac:dyDescent="0.25">
      <c r="A46" t="str">
        <f>IF([1]BASE!A46="","",[1]BASE!A46)</f>
        <v>06315338001948</v>
      </c>
      <c r="B46" t="str">
        <f>IF([1]BASE!B46="","",[1]BASE!B46)</f>
        <v>COFCO LEN</v>
      </c>
      <c r="D46" t="str">
        <f>IF([1]BASE!D46="","",[1]BASE!D46)</f>
        <v>29332398000650</v>
      </c>
      <c r="E46">
        <f>IF([1]BASE!E46="","",[1]BASE!E46)</f>
        <v>994</v>
      </c>
      <c r="F46" t="str">
        <f>IF([1]BASE!F46="","",[1]BASE!F46)</f>
        <v>29332398000650</v>
      </c>
      <c r="G46">
        <f>IF([1]BASE!G46="","",[1]BASE!G46)</f>
        <v>1</v>
      </c>
      <c r="H46" t="str">
        <f>IF([1]BASE!H46="","",[1]BASE!H46)</f>
        <v>COFCO IPIRANGA DO NORTE</v>
      </c>
    </row>
    <row r="47" spans="1:8" x14ac:dyDescent="0.25">
      <c r="A47" t="str">
        <f>IF([1]BASE!A47="","",[1]BASE!A47)</f>
        <v>06315338019219</v>
      </c>
      <c r="B47" t="str">
        <f>IF([1]BASE!B47="","",[1]BASE!B47)</f>
        <v>COFCO UNAI</v>
      </c>
      <c r="D47" t="str">
        <f>IF([1]BASE!D47="","",[1]BASE!D47)</f>
        <v>06315338018670</v>
      </c>
      <c r="E47">
        <f>IF([1]BASE!E47="","",[1]BASE!E47)</f>
        <v>195</v>
      </c>
      <c r="F47" t="str">
        <f>IF([1]BASE!F47="","",[1]BASE!F47)</f>
        <v>06315338018670</v>
      </c>
      <c r="G47">
        <f>IF([1]BASE!G47="","",[1]BASE!G47)</f>
        <v>1</v>
      </c>
      <c r="H47" t="str">
        <f>IF([1]BASE!H47="","",[1]BASE!H47)</f>
        <v>COFCO SANTA CARMEM</v>
      </c>
    </row>
    <row r="48" spans="1:8" x14ac:dyDescent="0.25">
      <c r="A48" t="str">
        <f>IF([1]BASE!A48="","",[1]BASE!A48)</f>
        <v>06315338019480</v>
      </c>
      <c r="B48" t="str">
        <f>IF([1]BASE!B48="","",[1]BASE!B48)</f>
        <v>COFCO SANTA ROSA</v>
      </c>
      <c r="D48" t="str">
        <f>IF([1]BASE!D48="","",[1]BASE!D48)</f>
        <v>06315338018328</v>
      </c>
      <c r="E48">
        <f>IF([1]BASE!E48="","",[1]BASE!E48)</f>
        <v>196</v>
      </c>
      <c r="F48" t="str">
        <f>IF([1]BASE!F48="","",[1]BASE!F48)</f>
        <v>06315338018328</v>
      </c>
      <c r="G48">
        <f>IF([1]BASE!G48="","",[1]BASE!G48)</f>
        <v>1</v>
      </c>
      <c r="H48" t="str">
        <f>IF([1]BASE!H48="","",[1]BASE!H48)</f>
        <v>COFCO NOVA SANTA HELENA</v>
      </c>
    </row>
    <row r="49" spans="1:8" x14ac:dyDescent="0.25">
      <c r="A49" t="str">
        <f>IF([1]BASE!A49="","",[1]BASE!A49)</f>
        <v>06315338017780</v>
      </c>
      <c r="B49" t="str">
        <f>IF([1]BASE!B49="","",[1]BASE!B49)</f>
        <v>COFCO UBERLANDIA</v>
      </c>
      <c r="D49" t="str">
        <f>IF([1]BASE!D49="","",[1]BASE!D49)</f>
        <v>06315338017941</v>
      </c>
      <c r="E49">
        <f>IF([1]BASE!E49="","",[1]BASE!E49)</f>
        <v>197</v>
      </c>
      <c r="F49" t="str">
        <f>IF([1]BASE!F49="","",[1]BASE!F49)</f>
        <v>06315338017941</v>
      </c>
      <c r="G49">
        <f>IF([1]BASE!G49="","",[1]BASE!G49)</f>
        <v>1</v>
      </c>
      <c r="H49" t="str">
        <f>IF([1]BASE!H49="","",[1]BASE!H49)</f>
        <v>COFCO CLAUDIA - NIDERA</v>
      </c>
    </row>
    <row r="50" spans="1:8" x14ac:dyDescent="0.25">
      <c r="A50" t="str">
        <f>IF([1]BASE!A50="","",[1]BASE!A50)</f>
        <v>06315338018166</v>
      </c>
      <c r="B50" t="str">
        <f>IF([1]BASE!B50="","",[1]BASE!B50)</f>
        <v>COFCO - CANARANA</v>
      </c>
      <c r="D50" t="str">
        <f>IF([1]BASE!D50="","",[1]BASE!D50)</f>
        <v>29332398000900</v>
      </c>
      <c r="E50">
        <f>IF([1]BASE!E50="","",[1]BASE!E50)</f>
        <v>998</v>
      </c>
      <c r="F50" t="str">
        <f>IF([1]BASE!F50="","",[1]BASE!F50)</f>
        <v>29332398000900</v>
      </c>
      <c r="G50">
        <f>IF([1]BASE!G50="","",[1]BASE!G50)</f>
        <v>1</v>
      </c>
      <c r="H50" t="str">
        <f>IF([1]BASE!H50="","",[1]BASE!H50)</f>
        <v>COFCO TANGARA DA SERRA</v>
      </c>
    </row>
    <row r="51" spans="1:8" x14ac:dyDescent="0.25">
      <c r="A51" s="13" t="s">
        <v>49</v>
      </c>
      <c r="B51" t="s">
        <v>50</v>
      </c>
      <c r="D51" t="str">
        <f>IF([1]BASE!D51="","",[1]BASE!D51)</f>
        <v>29332398003756</v>
      </c>
      <c r="E51">
        <f>IF([1]BASE!E51="","",[1]BASE!E51)</f>
        <v>902</v>
      </c>
      <c r="F51" t="str">
        <f>IF([1]BASE!F51="","",[1]BASE!F51)</f>
        <v>29332398003756</v>
      </c>
      <c r="G51">
        <f>IF([1]BASE!G51="","",[1]BASE!G51)</f>
        <v>1</v>
      </c>
      <c r="H51" t="str">
        <f>IF([1]BASE!H51="","",[1]BASE!H51)</f>
        <v xml:space="preserve">COFCO </v>
      </c>
    </row>
    <row r="52" spans="1:8" x14ac:dyDescent="0.25">
      <c r="A52"/>
      <c r="D52" t="str">
        <f>IF([1]BASE!D52="","",[1]BASE!D52)</f>
        <v>06315338019308</v>
      </c>
      <c r="E52">
        <f>IF([1]BASE!E52="","",[1]BASE!E52)</f>
        <v>206</v>
      </c>
      <c r="F52" t="str">
        <f>IF([1]BASE!F52="","",[1]BASE!F52)</f>
        <v>06315338019308</v>
      </c>
      <c r="G52">
        <f>IF([1]BASE!G52="","",[1]BASE!G52)</f>
        <v>1</v>
      </c>
      <c r="H52" t="str">
        <f>IF([1]BASE!H52="","",[1]BASE!H52)</f>
        <v>COFCO SILVANOPOLIS</v>
      </c>
    </row>
    <row r="53" spans="1:8" x14ac:dyDescent="0.25">
      <c r="A53" t="str">
        <f>IF([1]BASE!A53="","",[1]BASE!A53)</f>
        <v/>
      </c>
      <c r="B53" t="str">
        <f>IF([1]BASE!B53="","",[1]BASE!B53)</f>
        <v/>
      </c>
      <c r="D53" t="str">
        <f>IF([1]BASE!D53="","",[1]BASE!D53)</f>
        <v>29332398004302</v>
      </c>
      <c r="E53">
        <f>IF([1]BASE!E53="","",[1]BASE!E53)</f>
        <v>907</v>
      </c>
      <c r="F53" t="str">
        <f>IF([1]BASE!F53="","",[1]BASE!F53)</f>
        <v>29332398004302</v>
      </c>
      <c r="G53">
        <f>IF([1]BASE!G53="","",[1]BASE!G53)</f>
        <v>1</v>
      </c>
      <c r="H53" t="str">
        <f>IF([1]BASE!H53="","",[1]BASE!H53)</f>
        <v>COFCO SANTA ROSA</v>
      </c>
    </row>
    <row r="54" spans="1:8" x14ac:dyDescent="0.25">
      <c r="A54" t="str">
        <f>IF([1]BASE!A54="","",[1]BASE!A54)</f>
        <v/>
      </c>
      <c r="B54" t="str">
        <f>IF([1]BASE!B54="","",[1]BASE!B54)</f>
        <v/>
      </c>
      <c r="D54" t="str">
        <f>IF([1]BASE!D54="","",[1]BASE!D54)</f>
        <v>29332398003918</v>
      </c>
      <c r="E54">
        <f>IF([1]BASE!E54="","",[1]BASE!E54)</f>
        <v>918</v>
      </c>
      <c r="F54" t="str">
        <f>IF([1]BASE!F54="","",[1]BASE!F54)</f>
        <v>29332398003918</v>
      </c>
      <c r="G54">
        <f>IF([1]BASE!G54="","",[1]BASE!G54)</f>
        <v>1</v>
      </c>
      <c r="H54" t="str">
        <f>IF([1]BASE!H54="","",[1]BASE!H54)</f>
        <v>COFCO UBERLANDIA</v>
      </c>
    </row>
    <row r="55" spans="1:8" x14ac:dyDescent="0.25">
      <c r="A55" t="str">
        <f>IF([1]BASE!A55="","",[1]BASE!A55)</f>
        <v/>
      </c>
      <c r="B55" t="str">
        <f>IF([1]BASE!B55="","",[1]BASE!B55)</f>
        <v/>
      </c>
      <c r="D55" t="str">
        <f>IF([1]BASE!D55="","",[1]BASE!D55)</f>
        <v>29332398000226</v>
      </c>
      <c r="E55">
        <f>IF([1]BASE!E55="","",[1]BASE!E55)</f>
        <v>930</v>
      </c>
      <c r="F55" t="str">
        <f>IF([1]BASE!F55="","",[1]BASE!F55)</f>
        <v>29332398000226</v>
      </c>
      <c r="G55">
        <f>IF([1]BASE!G55="","",[1]BASE!G55)</f>
        <v>10</v>
      </c>
      <c r="H55" t="str">
        <f>IF([1]BASE!H55="","",[1]BASE!H55)</f>
        <v>COFCO RONDONOPOLIS/FABRICA</v>
      </c>
    </row>
    <row r="56" spans="1:8" x14ac:dyDescent="0.25">
      <c r="A56" t="str">
        <f>IF([1]BASE!A56="","",[1]BASE!A56)</f>
        <v/>
      </c>
      <c r="B56" t="str">
        <f>IF([1]BASE!B56="","",[1]BASE!B56)</f>
        <v/>
      </c>
      <c r="D56" t="str">
        <f>IF([1]BASE!D56="","",[1]BASE!D56)</f>
        <v>06315338001948</v>
      </c>
      <c r="E56" t="str">
        <f>IF([1]BASE!E56="","",[1]BASE!E56)</f>
        <v/>
      </c>
      <c r="F56" t="str">
        <f>IF([1]BASE!F56="","",[1]BASE!F56)</f>
        <v>06315338001948</v>
      </c>
      <c r="G56">
        <f>IF([1]BASE!G56="","",[1]BASE!G56)</f>
        <v>6</v>
      </c>
      <c r="H56" t="str">
        <f>IF([1]BASE!H56="","",[1]BASE!H56)</f>
        <v>COFCO LEN</v>
      </c>
    </row>
    <row r="57" spans="1:8" x14ac:dyDescent="0.25">
      <c r="A57" t="str">
        <f>IF([1]BASE!A57="","",[1]BASE!A57)</f>
        <v/>
      </c>
      <c r="B57" t="str">
        <f>IF([1]BASE!B57="","",[1]BASE!B57)</f>
        <v/>
      </c>
      <c r="D57" t="str">
        <f>IF([1]BASE!D57="","",[1]BASE!D57)</f>
        <v>06315338019219</v>
      </c>
      <c r="E57" t="str">
        <f>IF([1]BASE!E57="","",[1]BASE!E57)</f>
        <v/>
      </c>
      <c r="F57" t="str">
        <f>IF([1]BASE!F57="","",[1]BASE!F57)</f>
        <v>06315338019219</v>
      </c>
      <c r="G57">
        <f>IF([1]BASE!G57="","",[1]BASE!G57)</f>
        <v>1</v>
      </c>
      <c r="H57" t="str">
        <f>IF([1]BASE!H57="","",[1]BASE!H57)</f>
        <v>COFCO UNAI</v>
      </c>
    </row>
    <row r="58" spans="1:8" x14ac:dyDescent="0.25">
      <c r="A58" t="str">
        <f>IF([1]BASE!A58="","",[1]BASE!A58)</f>
        <v/>
      </c>
      <c r="B58" t="str">
        <f>IF([1]BASE!B58="","",[1]BASE!B58)</f>
        <v/>
      </c>
      <c r="D58" t="str">
        <f>IF([1]BASE!D58="","",[1]BASE!D58)</f>
        <v>06315338019480</v>
      </c>
      <c r="E58" t="str">
        <f>IF([1]BASE!E58="","",[1]BASE!E58)</f>
        <v/>
      </c>
      <c r="F58" t="str">
        <f>IF([1]BASE!F58="","",[1]BASE!F58)</f>
        <v>06315338019480</v>
      </c>
      <c r="G58">
        <f>IF([1]BASE!G58="","",[1]BASE!G58)</f>
        <v>1</v>
      </c>
      <c r="H58" t="str">
        <f>IF([1]BASE!H58="","",[1]BASE!H58)</f>
        <v>COFCO SANTA ROSA</v>
      </c>
    </row>
    <row r="59" spans="1:8" x14ac:dyDescent="0.25">
      <c r="A59" t="str">
        <f>IF([1]BASE!A59="","",[1]BASE!A59)</f>
        <v/>
      </c>
      <c r="B59" t="str">
        <f>IF([1]BASE!B59="","",[1]BASE!B59)</f>
        <v/>
      </c>
      <c r="D59" t="str">
        <f>IF([1]BASE!D59="","",[1]BASE!D59)</f>
        <v>06315338017780</v>
      </c>
      <c r="E59" t="str">
        <f>IF([1]BASE!E59="","",[1]BASE!E59)</f>
        <v/>
      </c>
      <c r="F59" t="str">
        <f>IF([1]BASE!F59="","",[1]BASE!F59)</f>
        <v>06315338017780</v>
      </c>
      <c r="G59">
        <f>IF([1]BASE!G59="","",[1]BASE!G59)</f>
        <v>1</v>
      </c>
      <c r="H59" t="str">
        <f>IF([1]BASE!H59="","",[1]BASE!H59)</f>
        <v>COFCO UBERLANDIA</v>
      </c>
    </row>
    <row r="60" spans="1:8" x14ac:dyDescent="0.25">
      <c r="A60" t="str">
        <f>IF([1]BASE!A60="","",[1]BASE!A60)</f>
        <v/>
      </c>
      <c r="B60" t="str">
        <f>IF([1]BASE!B60="","",[1]BASE!B60)</f>
        <v/>
      </c>
      <c r="D60" t="str">
        <f>IF([1]BASE!D60="","",[1]BASE!D60)</f>
        <v>06315338018166</v>
      </c>
      <c r="E60" t="str">
        <f>IF([1]BASE!E60="","",[1]BASE!E60)</f>
        <v/>
      </c>
      <c r="F60" t="str">
        <f>IF([1]BASE!F60="","",[1]BASE!F60)</f>
        <v>06315338018166</v>
      </c>
      <c r="G60">
        <f>IF([1]BASE!G60="","",[1]BASE!G60)</f>
        <v>1</v>
      </c>
      <c r="H60" t="str">
        <f>IF([1]BASE!H60="","",[1]BASE!H60)</f>
        <v>COFCO - CANARANA</v>
      </c>
    </row>
    <row r="61" spans="1:8" x14ac:dyDescent="0.25">
      <c r="A61" t="str">
        <f>IF([1]BASE!A61="","",[1]BASE!A61)</f>
        <v/>
      </c>
      <c r="B61" t="str">
        <f>IF([1]BASE!B61="","",[1]BASE!B61)</f>
        <v/>
      </c>
      <c r="D61" t="str">
        <f>IF([1]BASE!D61="","",[1]BASE!D61)</f>
        <v>03315338002839</v>
      </c>
      <c r="E61" t="str">
        <f>IF([1]BASE!E61="","",[1]BASE!E61)</f>
        <v/>
      </c>
      <c r="F61" t="str">
        <f>IF([1]BASE!F61="","",[1]BASE!F61)</f>
        <v>03315338002839</v>
      </c>
      <c r="G61">
        <f>IF([1]BASE!G61="","",[1]BASE!G61)</f>
        <v>1</v>
      </c>
      <c r="H61" t="str">
        <f>IF([1]BASE!H61="","",[1]BASE!H61)</f>
        <v>COFCO - BOM JESUS DE GOIAS</v>
      </c>
    </row>
    <row r="62" spans="1:8" x14ac:dyDescent="0.25">
      <c r="A62" t="str">
        <f>IF([1]BASE!A62="","",[1]BASE!A62)</f>
        <v/>
      </c>
      <c r="B62" t="str">
        <f>IF([1]BASE!B62="","",[1]BASE!B62)</f>
        <v/>
      </c>
      <c r="D62" t="str">
        <f>IF([1]BASE!D62="","",[1]BASE!D62)</f>
        <v>06315338020659</v>
      </c>
      <c r="E62" t="str">
        <f>IF([1]BASE!E62="","",[1]BASE!E62)</f>
        <v/>
      </c>
      <c r="F62" t="str">
        <f>IF([1]BASE!F62="","",[1]BASE!F62)</f>
        <v>06315338020659</v>
      </c>
      <c r="G62">
        <f>IF([1]BASE!G62="","",[1]BASE!G62)</f>
        <v>1</v>
      </c>
      <c r="H62" t="str">
        <f>IF([1]BASE!H62="","",[1]BASE!H62)</f>
        <v>COFCO - NOVA MUTUM</v>
      </c>
    </row>
    <row r="63" spans="1:8" x14ac:dyDescent="0.25">
      <c r="A63" t="str">
        <f>IF([1]BASE!A63="","",[1]BASE!A63)</f>
        <v/>
      </c>
      <c r="B63" t="str">
        <f>IF([1]BASE!B63="","",[1]BASE!B63)</f>
        <v/>
      </c>
      <c r="D63" t="str">
        <f>IF([1]BASE!D63="","",[1]BASE!D63)</f>
        <v>06315338017356</v>
      </c>
      <c r="E63" t="str">
        <f>IF([1]BASE!E63="","",[1]BASE!E63)</f>
        <v/>
      </c>
      <c r="F63" t="str">
        <f>IF([1]BASE!F63="","",[1]BASE!F63)</f>
        <v>06315338017356</v>
      </c>
      <c r="G63">
        <f>IF([1]BASE!G63="","",[1]BASE!G63)</f>
        <v>1</v>
      </c>
      <c r="H63" t="str">
        <f>IF([1]BASE!H63="","",[1]BASE!H63)</f>
        <v/>
      </c>
    </row>
    <row r="64" spans="1:8" x14ac:dyDescent="0.25">
      <c r="A64" t="str">
        <f>IF([1]BASE!A64="","",[1]BASE!A64)</f>
        <v/>
      </c>
      <c r="B64" t="str">
        <f>IF([1]BASE!B64="","",[1]BASE!B64)</f>
        <v/>
      </c>
      <c r="D64" t="str">
        <f>IF([1]BASE!D64="","",[1]BASE!D64)</f>
        <v/>
      </c>
      <c r="E64" t="str">
        <f>IF([1]BASE!E64="","",[1]BASE!E64)</f>
        <v/>
      </c>
      <c r="F64" t="str">
        <f>IF([1]BASE!F64="","",[1]BASE!F64)</f>
        <v/>
      </c>
      <c r="G64" t="str">
        <f>IF([1]BASE!G64="","",[1]BASE!G64)</f>
        <v/>
      </c>
      <c r="H64" t="str">
        <f>IF([1]BASE!H64="","",[1]BASE!H64)</f>
        <v/>
      </c>
    </row>
    <row r="65" spans="1:8" x14ac:dyDescent="0.25">
      <c r="A65" t="str">
        <f>IF([1]BASE!A65="","",[1]BASE!A65)</f>
        <v/>
      </c>
      <c r="B65" t="str">
        <f>IF([1]BASE!B65="","",[1]BASE!B65)</f>
        <v/>
      </c>
      <c r="D65" t="str">
        <f>IF([1]BASE!D65="","",[1]BASE!D65)</f>
        <v/>
      </c>
      <c r="E65" t="str">
        <f>IF([1]BASE!E65="","",[1]BASE!E65)</f>
        <v/>
      </c>
      <c r="F65" t="str">
        <f>IF([1]BASE!F65="","",[1]BASE!F65)</f>
        <v/>
      </c>
      <c r="G65" t="str">
        <f>IF([1]BASE!G65="","",[1]BASE!G65)</f>
        <v/>
      </c>
      <c r="H65" t="str">
        <f>IF([1]BASE!H65="","",[1]BASE!H65)</f>
        <v/>
      </c>
    </row>
    <row r="66" spans="1:8" x14ac:dyDescent="0.25">
      <c r="A66" t="str">
        <f>IF([1]BASE!A66="","",[1]BASE!A66)</f>
        <v/>
      </c>
      <c r="B66" t="str">
        <f>IF([1]BASE!B66="","",[1]BASE!B66)</f>
        <v/>
      </c>
      <c r="D66" t="str">
        <f>IF([1]BASE!D66="","",[1]BASE!D66)</f>
        <v/>
      </c>
      <c r="E66" t="str">
        <f>IF([1]BASE!E66="","",[1]BASE!E66)</f>
        <v/>
      </c>
      <c r="F66" t="str">
        <f>IF([1]BASE!F66="","",[1]BASE!F66)</f>
        <v/>
      </c>
      <c r="G66" t="str">
        <f>IF([1]BASE!G66="","",[1]BASE!G66)</f>
        <v/>
      </c>
      <c r="H66" t="str">
        <f>IF([1]BASE!H66="","",[1]BASE!H66)</f>
        <v/>
      </c>
    </row>
    <row r="67" spans="1:8" x14ac:dyDescent="0.25">
      <c r="A67" t="str">
        <f>IF([1]BASE!A67="","",[1]BASE!A67)</f>
        <v/>
      </c>
      <c r="B67" t="str">
        <f>IF([1]BASE!B67="","",[1]BASE!B67)</f>
        <v/>
      </c>
      <c r="D67" t="str">
        <f>IF([1]BASE!D67="","",[1]BASE!D67)</f>
        <v/>
      </c>
      <c r="E67" t="str">
        <f>IF([1]BASE!E67="","",[1]BASE!E67)</f>
        <v/>
      </c>
      <c r="F67" t="str">
        <f>IF([1]BASE!F67="","",[1]BASE!F67)</f>
        <v/>
      </c>
      <c r="G67" t="str">
        <f>IF([1]BASE!G67="","",[1]BASE!G67)</f>
        <v/>
      </c>
      <c r="H67" t="str">
        <f>IF([1]BASE!H67="","",[1]BASE!H67)</f>
        <v/>
      </c>
    </row>
    <row r="68" spans="1:8" x14ac:dyDescent="0.25">
      <c r="A68" t="str">
        <f>IF([1]BASE!A68="","",[1]BASE!A68)</f>
        <v/>
      </c>
      <c r="B68" t="str">
        <f>IF([1]BASE!B68="","",[1]BASE!B68)</f>
        <v/>
      </c>
      <c r="D68" t="str">
        <f>IF([1]BASE!D68="","",[1]BASE!D68)</f>
        <v/>
      </c>
      <c r="E68" t="str">
        <f>IF([1]BASE!E68="","",[1]BASE!E68)</f>
        <v/>
      </c>
      <c r="F68" t="str">
        <f>IF([1]BASE!F68="","",[1]BASE!F68)</f>
        <v/>
      </c>
      <c r="G68" t="str">
        <f>IF([1]BASE!G68="","",[1]BASE!G68)</f>
        <v/>
      </c>
      <c r="H68" t="str">
        <f>IF([1]BASE!H68="","",[1]BASE!H68)</f>
        <v/>
      </c>
    </row>
    <row r="69" spans="1:8" x14ac:dyDescent="0.25">
      <c r="A69" t="str">
        <f>IF([1]BASE!A69="","",[1]BASE!A69)</f>
        <v/>
      </c>
      <c r="B69" t="str">
        <f>IF([1]BASE!B69="","",[1]BASE!B69)</f>
        <v/>
      </c>
      <c r="D69" t="str">
        <f>IF([1]BASE!D69="","",[1]BASE!D69)</f>
        <v/>
      </c>
      <c r="E69" t="str">
        <f>IF([1]BASE!E69="","",[1]BASE!E69)</f>
        <v/>
      </c>
      <c r="F69" t="str">
        <f>IF([1]BASE!F69="","",[1]BASE!F69)</f>
        <v/>
      </c>
      <c r="G69" t="str">
        <f>IF([1]BASE!G69="","",[1]BASE!G69)</f>
        <v/>
      </c>
      <c r="H69" t="str">
        <f>IF([1]BASE!H69="","",[1]BASE!H69)</f>
        <v/>
      </c>
    </row>
    <row r="70" spans="1:8" x14ac:dyDescent="0.25">
      <c r="A70" t="str">
        <f>IF([1]BASE!A70="","",[1]BASE!A70)</f>
        <v/>
      </c>
      <c r="B70" t="str">
        <f>IF([1]BASE!B70="","",[1]BASE!B70)</f>
        <v/>
      </c>
      <c r="D70" t="str">
        <f>IF([1]BASE!D70="","",[1]BASE!D70)</f>
        <v/>
      </c>
      <c r="E70" t="str">
        <f>IF([1]BASE!E70="","",[1]BASE!E70)</f>
        <v/>
      </c>
      <c r="F70" t="str">
        <f>IF([1]BASE!F70="","",[1]BASE!F70)</f>
        <v/>
      </c>
      <c r="G70" t="str">
        <f>IF([1]BASE!G70="","",[1]BASE!G70)</f>
        <v/>
      </c>
      <c r="H70" t="str">
        <f>IF([1]BASE!H70="","",[1]BASE!H70)</f>
        <v/>
      </c>
    </row>
    <row r="71" spans="1:8" x14ac:dyDescent="0.25">
      <c r="A71" t="str">
        <f>IF([1]BASE!A71="","",[1]BASE!A71)</f>
        <v/>
      </c>
      <c r="B71" t="str">
        <f>IF([1]BASE!B71="","",[1]BASE!B71)</f>
        <v/>
      </c>
      <c r="D71" t="str">
        <f>IF([1]BASE!D71="","",[1]BASE!D71)</f>
        <v/>
      </c>
      <c r="E71" t="str">
        <f>IF([1]BASE!E71="","",[1]BASE!E71)</f>
        <v/>
      </c>
      <c r="F71" t="str">
        <f>IF([1]BASE!F71="","",[1]BASE!F71)</f>
        <v/>
      </c>
      <c r="G71" t="str">
        <f>IF([1]BASE!G71="","",[1]BASE!G71)</f>
        <v/>
      </c>
      <c r="H71" t="str">
        <f>IF([1]BASE!H71="","",[1]BASE!H71)</f>
        <v/>
      </c>
    </row>
    <row r="72" spans="1:8" x14ac:dyDescent="0.25">
      <c r="A72" t="str">
        <f>IF([1]BASE!A72="","",[1]BASE!A72)</f>
        <v/>
      </c>
      <c r="B72" t="str">
        <f>IF([1]BASE!B72="","",[1]BASE!B72)</f>
        <v/>
      </c>
      <c r="D72" t="str">
        <f>IF([1]BASE!D72="","",[1]BASE!D72)</f>
        <v/>
      </c>
      <c r="E72" t="str">
        <f>IF([1]BASE!E72="","",[1]BASE!E72)</f>
        <v/>
      </c>
      <c r="F72" t="str">
        <f>IF([1]BASE!F72="","",[1]BASE!F72)</f>
        <v/>
      </c>
      <c r="G72" t="str">
        <f>IF([1]BASE!G72="","",[1]BASE!G72)</f>
        <v/>
      </c>
      <c r="H72" t="str">
        <f>IF([1]BASE!H72="","",[1]BASE!H72)</f>
        <v/>
      </c>
    </row>
    <row r="73" spans="1:8" x14ac:dyDescent="0.25">
      <c r="A73" t="str">
        <f>IF([1]BASE!A73="","",[1]BASE!A73)</f>
        <v/>
      </c>
      <c r="B73" t="str">
        <f>IF([1]BASE!B73="","",[1]BASE!B73)</f>
        <v/>
      </c>
      <c r="D73" t="str">
        <f>IF([1]BASE!D73="","",[1]BASE!D73)</f>
        <v/>
      </c>
      <c r="E73" t="str">
        <f>IF([1]BASE!E73="","",[1]BASE!E73)</f>
        <v/>
      </c>
      <c r="F73" t="str">
        <f>IF([1]BASE!F73="","",[1]BASE!F73)</f>
        <v/>
      </c>
      <c r="G73" t="str">
        <f>IF([1]BASE!G73="","",[1]BASE!G73)</f>
        <v/>
      </c>
      <c r="H73" t="str">
        <f>IF([1]BASE!H73="","",[1]BASE!H73)</f>
        <v/>
      </c>
    </row>
    <row r="74" spans="1:8" x14ac:dyDescent="0.25">
      <c r="A74" t="str">
        <f>IF([1]BASE!A74="","",[1]BASE!A74)</f>
        <v/>
      </c>
      <c r="B74" t="str">
        <f>IF([1]BASE!B74="","",[1]BASE!B74)</f>
        <v/>
      </c>
      <c r="D74" t="str">
        <f>IF([1]BASE!D74="","",[1]BASE!D74)</f>
        <v/>
      </c>
      <c r="E74" t="str">
        <f>IF([1]BASE!E74="","",[1]BASE!E74)</f>
        <v/>
      </c>
      <c r="F74" t="str">
        <f>IF([1]BASE!F74="","",[1]BASE!F74)</f>
        <v/>
      </c>
      <c r="G74" t="str">
        <f>IF([1]BASE!G74="","",[1]BASE!G74)</f>
        <v/>
      </c>
      <c r="H74" t="str">
        <f>IF([1]BASE!H74="","",[1]BASE!H74)</f>
        <v/>
      </c>
    </row>
    <row r="75" spans="1:8" x14ac:dyDescent="0.25">
      <c r="A75" t="str">
        <f>IF([1]BASE!A75="","",[1]BASE!A75)</f>
        <v/>
      </c>
      <c r="B75" t="str">
        <f>IF([1]BASE!B75="","",[1]BASE!B75)</f>
        <v/>
      </c>
      <c r="D75" t="str">
        <f>IF([1]BASE!D75="","",[1]BASE!D75)</f>
        <v/>
      </c>
      <c r="E75" t="str">
        <f>IF([1]BASE!E75="","",[1]BASE!E75)</f>
        <v/>
      </c>
      <c r="F75" t="str">
        <f>IF([1]BASE!F75="","",[1]BASE!F75)</f>
        <v/>
      </c>
      <c r="G75" t="str">
        <f>IF([1]BASE!G75="","",[1]BASE!G75)</f>
        <v/>
      </c>
      <c r="H75" t="str">
        <f>IF([1]BASE!H75="","",[1]BASE!H75)</f>
        <v/>
      </c>
    </row>
    <row r="76" spans="1:8" x14ac:dyDescent="0.25">
      <c r="A76" t="str">
        <f>IF([1]BASE!A76="","",[1]BASE!A76)</f>
        <v/>
      </c>
      <c r="B76" t="str">
        <f>IF([1]BASE!B76="","",[1]BASE!B76)</f>
        <v/>
      </c>
      <c r="D76" t="str">
        <f>IF([1]BASE!D76="","",[1]BASE!D76)</f>
        <v/>
      </c>
      <c r="E76" t="str">
        <f>IF([1]BASE!E76="","",[1]BASE!E76)</f>
        <v/>
      </c>
      <c r="F76" t="str">
        <f>IF([1]BASE!F76="","",[1]BASE!F76)</f>
        <v/>
      </c>
      <c r="G76" t="str">
        <f>IF([1]BASE!G76="","",[1]BASE!G76)</f>
        <v/>
      </c>
      <c r="H76" t="str">
        <f>IF([1]BASE!H76="","",[1]BASE!H76)</f>
        <v/>
      </c>
    </row>
    <row r="77" spans="1:8" x14ac:dyDescent="0.25">
      <c r="A77" t="str">
        <f>IF([1]BASE!A77="","",[1]BASE!A77)</f>
        <v/>
      </c>
      <c r="B77" t="str">
        <f>IF([1]BASE!B77="","",[1]BASE!B77)</f>
        <v/>
      </c>
      <c r="D77" t="str">
        <f>IF([1]BASE!D77="","",[1]BASE!D77)</f>
        <v/>
      </c>
      <c r="E77" t="str">
        <f>IF([1]BASE!E77="","",[1]BASE!E77)</f>
        <v/>
      </c>
      <c r="F77" t="str">
        <f>IF([1]BASE!F77="","",[1]BASE!F77)</f>
        <v/>
      </c>
      <c r="G77" t="str">
        <f>IF([1]BASE!G77="","",[1]BASE!G77)</f>
        <v/>
      </c>
      <c r="H77" t="str">
        <f>IF([1]BASE!H77="","",[1]BASE!H77)</f>
        <v/>
      </c>
    </row>
    <row r="78" spans="1:8" x14ac:dyDescent="0.25">
      <c r="A78" t="str">
        <f>IF([1]BASE!A78="","",[1]BASE!A78)</f>
        <v/>
      </c>
      <c r="B78" t="str">
        <f>IF([1]BASE!B78="","",[1]BASE!B78)</f>
        <v/>
      </c>
      <c r="D78" t="str">
        <f>IF([1]BASE!D78="","",[1]BASE!D78)</f>
        <v/>
      </c>
      <c r="E78" t="str">
        <f>IF([1]BASE!E78="","",[1]BASE!E78)</f>
        <v/>
      </c>
      <c r="F78" t="str">
        <f>IF([1]BASE!F78="","",[1]BASE!F78)</f>
        <v/>
      </c>
      <c r="G78" t="str">
        <f>IF([1]BASE!G78="","",[1]BASE!G78)</f>
        <v/>
      </c>
      <c r="H78" t="str">
        <f>IF([1]BASE!H78="","",[1]BASE!H78)</f>
        <v/>
      </c>
    </row>
    <row r="79" spans="1:8" x14ac:dyDescent="0.25">
      <c r="A79" t="str">
        <f>IF([1]BASE!A79="","",[1]BASE!A79)</f>
        <v/>
      </c>
      <c r="B79" t="str">
        <f>IF([1]BASE!B79="","",[1]BASE!B79)</f>
        <v/>
      </c>
      <c r="D79" s="13"/>
      <c r="F79" s="13"/>
    </row>
    <row r="80" spans="1:8" x14ac:dyDescent="0.25">
      <c r="A80" t="str">
        <f>IF([1]BASE!A80="","",[1]BASE!A80)</f>
        <v/>
      </c>
      <c r="B80" t="str">
        <f>IF([1]BASE!B80="","",[1]BASE!B80)</f>
        <v/>
      </c>
    </row>
    <row r="81" spans="1:8" x14ac:dyDescent="0.25">
      <c r="A81" t="str">
        <f>IF([1]BASE!A81="","",[1]BASE!A81)</f>
        <v/>
      </c>
      <c r="B81" t="str">
        <f>IF([1]BASE!B81="","",[1]BASE!B81)</f>
        <v/>
      </c>
    </row>
    <row r="82" spans="1:8" x14ac:dyDescent="0.25">
      <c r="A82" t="str">
        <f>IF([1]BASE!A82="","",[1]BASE!A82)</f>
        <v/>
      </c>
      <c r="B82" t="str">
        <f>IF([1]BASE!B82="","",[1]BASE!B82)</f>
        <v/>
      </c>
    </row>
    <row r="83" spans="1:8" x14ac:dyDescent="0.25">
      <c r="A83" t="str">
        <f>IF([1]BASE!A83="","",[1]BASE!A83)</f>
        <v/>
      </c>
      <c r="B83" t="str">
        <f>IF([1]BASE!B83="","",[1]BASE!B83)</f>
        <v/>
      </c>
      <c r="D83" t="str">
        <f>IF([1]BASE!D83="","",[1]BASE!D83)</f>
        <v/>
      </c>
      <c r="E83" t="str">
        <f>IF([1]BASE!E83="","",[1]BASE!E83)</f>
        <v/>
      </c>
      <c r="F83" t="str">
        <f>IF([1]BASE!F83="","",[1]BASE!F83)</f>
        <v/>
      </c>
      <c r="G83" t="str">
        <f>IF([1]BASE!G83="","",[1]BASE!G83)</f>
        <v/>
      </c>
      <c r="H83" t="str">
        <f>IF([1]BASE!H83="","",[1]BASE!H83)</f>
        <v/>
      </c>
    </row>
    <row r="84" spans="1:8" x14ac:dyDescent="0.25">
      <c r="A84" t="str">
        <f>IF([1]BASE!A84="","",[1]BASE!A84)</f>
        <v/>
      </c>
      <c r="B84" t="str">
        <f>IF([1]BASE!B84="","",[1]BASE!B84)</f>
        <v/>
      </c>
      <c r="D84" t="str">
        <f>IF([1]BASE!D84="","",[1]BASE!D84)</f>
        <v/>
      </c>
      <c r="E84" t="str">
        <f>IF([1]BASE!E84="","",[1]BASE!E84)</f>
        <v/>
      </c>
      <c r="F84" t="str">
        <f>IF([1]BASE!F84="","",[1]BASE!F84)</f>
        <v/>
      </c>
      <c r="G84" t="str">
        <f>IF([1]BASE!G84="","",[1]BASE!G84)</f>
        <v/>
      </c>
      <c r="H84" t="str">
        <f>IF([1]BASE!H84="","",[1]BASE!H84)</f>
        <v/>
      </c>
    </row>
    <row r="85" spans="1:8" x14ac:dyDescent="0.25">
      <c r="A85" t="str">
        <f>IF([1]BASE!A85="","",[1]BASE!A85)</f>
        <v/>
      </c>
      <c r="B85" t="str">
        <f>IF([1]BASE!B85="","",[1]BASE!B85)</f>
        <v/>
      </c>
      <c r="D85" t="str">
        <f>IF([1]BASE!D85="","",[1]BASE!D85)</f>
        <v/>
      </c>
      <c r="E85" t="str">
        <f>IF([1]BASE!E85="","",[1]BASE!E85)</f>
        <v/>
      </c>
      <c r="F85" t="str">
        <f>IF([1]BASE!F85="","",[1]BASE!F85)</f>
        <v/>
      </c>
      <c r="G85" t="str">
        <f>IF([1]BASE!G85="","",[1]BASE!G85)</f>
        <v/>
      </c>
      <c r="H85" t="str">
        <f>IF([1]BASE!H85="","",[1]BASE!H85)</f>
        <v/>
      </c>
    </row>
    <row r="86" spans="1:8" x14ac:dyDescent="0.25">
      <c r="A86" t="str">
        <f>IF([1]BASE!A86="","",[1]BASE!A86)</f>
        <v/>
      </c>
      <c r="B86" t="str">
        <f>IF([1]BASE!B86="","",[1]BASE!B86)</f>
        <v/>
      </c>
      <c r="D86" t="str">
        <f>IF([1]BASE!D86="","",[1]BASE!D86)</f>
        <v/>
      </c>
      <c r="E86" t="str">
        <f>IF([1]BASE!E86="","",[1]BASE!E86)</f>
        <v/>
      </c>
      <c r="F86" t="str">
        <f>IF([1]BASE!F86="","",[1]BASE!F86)</f>
        <v/>
      </c>
      <c r="G86" t="str">
        <f>IF([1]BASE!G86="","",[1]BASE!G86)</f>
        <v/>
      </c>
      <c r="H86" t="str">
        <f>IF([1]BASE!H86="","",[1]BASE!H86)</f>
        <v/>
      </c>
    </row>
    <row r="87" spans="1:8" x14ac:dyDescent="0.25">
      <c r="A87" t="str">
        <f>IF([1]BASE!A87="","",[1]BASE!A87)</f>
        <v/>
      </c>
      <c r="B87" t="str">
        <f>IF([1]BASE!B87="","",[1]BASE!B87)</f>
        <v/>
      </c>
      <c r="D87" t="str">
        <f>IF([1]BASE!D87="","",[1]BASE!D87)</f>
        <v/>
      </c>
      <c r="E87" t="str">
        <f>IF([1]BASE!E87="","",[1]BASE!E87)</f>
        <v/>
      </c>
      <c r="F87" t="str">
        <f>IF([1]BASE!F87="","",[1]BASE!F87)</f>
        <v/>
      </c>
      <c r="G87" t="str">
        <f>IF([1]BASE!G87="","",[1]BASE!G87)</f>
        <v/>
      </c>
      <c r="H87" t="str">
        <f>IF([1]BASE!H87="","",[1]BASE!H87)</f>
        <v/>
      </c>
    </row>
    <row r="88" spans="1:8" x14ac:dyDescent="0.25">
      <c r="A88" t="str">
        <f>IF([1]BASE!A88="","",[1]BASE!A88)</f>
        <v/>
      </c>
      <c r="B88" t="str">
        <f>IF([1]BASE!B88="","",[1]BASE!B88)</f>
        <v/>
      </c>
      <c r="D88" t="str">
        <f>IF([1]BASE!D88="","",[1]BASE!D88)</f>
        <v/>
      </c>
      <c r="E88" t="str">
        <f>IF([1]BASE!E88="","",[1]BASE!E88)</f>
        <v/>
      </c>
      <c r="F88" t="str">
        <f>IF([1]BASE!F88="","",[1]BASE!F88)</f>
        <v/>
      </c>
      <c r="G88" t="str">
        <f>IF([1]BASE!G88="","",[1]BASE!G88)</f>
        <v/>
      </c>
      <c r="H88" t="str">
        <f>IF([1]BASE!H88="","",[1]BASE!H88)</f>
        <v/>
      </c>
    </row>
    <row r="89" spans="1:8" x14ac:dyDescent="0.25">
      <c r="A89" t="str">
        <f>IF([1]BASE!A89="","",[1]BASE!A89)</f>
        <v/>
      </c>
      <c r="B89" t="str">
        <f>IF([1]BASE!B89="","",[1]BASE!B89)</f>
        <v/>
      </c>
      <c r="D89" t="str">
        <f>IF([1]BASE!D89="","",[1]BASE!D89)</f>
        <v/>
      </c>
      <c r="E89" t="str">
        <f>IF([1]BASE!E89="","",[1]BASE!E89)</f>
        <v/>
      </c>
      <c r="F89" t="str">
        <f>IF([1]BASE!F89="","",[1]BASE!F89)</f>
        <v/>
      </c>
      <c r="G89" t="str">
        <f>IF([1]BASE!G89="","",[1]BASE!G89)</f>
        <v/>
      </c>
      <c r="H89" t="str">
        <f>IF([1]BASE!H89="","",[1]BASE!H89)</f>
        <v/>
      </c>
    </row>
    <row r="90" spans="1:8" x14ac:dyDescent="0.25">
      <c r="A90" t="str">
        <f>IF([1]BASE!A90="","",[1]BASE!A90)</f>
        <v/>
      </c>
      <c r="B90" t="str">
        <f>IF([1]BASE!B90="","",[1]BASE!B90)</f>
        <v/>
      </c>
      <c r="D90" t="str">
        <f>IF([1]BASE!D90="","",[1]BASE!D90)</f>
        <v/>
      </c>
      <c r="E90" t="str">
        <f>IF([1]BASE!E90="","",[1]BASE!E90)</f>
        <v/>
      </c>
      <c r="F90" t="str">
        <f>IF([1]BASE!F90="","",[1]BASE!F90)</f>
        <v/>
      </c>
      <c r="G90" t="str">
        <f>IF([1]BASE!G90="","",[1]BASE!G90)</f>
        <v/>
      </c>
      <c r="H90" t="str">
        <f>IF([1]BASE!H90="","",[1]BASE!H90)</f>
        <v/>
      </c>
    </row>
    <row r="91" spans="1:8" x14ac:dyDescent="0.25">
      <c r="A91" t="str">
        <f>IF([1]BASE!A91="","",[1]BASE!A91)</f>
        <v/>
      </c>
      <c r="B91" t="str">
        <f>IF([1]BASE!B91="","",[1]BASE!B91)</f>
        <v/>
      </c>
      <c r="D91" t="str">
        <f>IF([1]BASE!D91="","",[1]BASE!D91)</f>
        <v/>
      </c>
      <c r="E91" t="str">
        <f>IF([1]BASE!E91="","",[1]BASE!E91)</f>
        <v/>
      </c>
      <c r="F91" t="str">
        <f>IF([1]BASE!F91="","",[1]BASE!F91)</f>
        <v/>
      </c>
      <c r="G91" t="str">
        <f>IF([1]BASE!G91="","",[1]BASE!G91)</f>
        <v/>
      </c>
      <c r="H91" t="str">
        <f>IF([1]BASE!H91="","",[1]BASE!H91)</f>
        <v/>
      </c>
    </row>
    <row r="92" spans="1:8" x14ac:dyDescent="0.25">
      <c r="A92" t="str">
        <f>IF([1]BASE!A92="","",[1]BASE!A92)</f>
        <v/>
      </c>
      <c r="B92" t="str">
        <f>IF([1]BASE!B92="","",[1]BASE!B92)</f>
        <v/>
      </c>
      <c r="D92" t="str">
        <f>IF([1]BASE!D92="","",[1]BASE!D92)</f>
        <v/>
      </c>
      <c r="E92" t="str">
        <f>IF([1]BASE!E92="","",[1]BASE!E92)</f>
        <v/>
      </c>
      <c r="F92" t="str">
        <f>IF([1]BASE!F92="","",[1]BASE!F92)</f>
        <v/>
      </c>
      <c r="G92" t="str">
        <f>IF([1]BASE!G92="","",[1]BASE!G92)</f>
        <v/>
      </c>
      <c r="H92" t="str">
        <f>IF([1]BASE!H92="","",[1]BASE!H92)</f>
        <v/>
      </c>
    </row>
    <row r="93" spans="1:8" x14ac:dyDescent="0.25">
      <c r="A93" t="str">
        <f>IF([1]BASE!A93="","",[1]BASE!A93)</f>
        <v/>
      </c>
      <c r="B93" t="str">
        <f>IF([1]BASE!B93="","",[1]BASE!B93)</f>
        <v/>
      </c>
      <c r="D93" t="str">
        <f>IF([1]BASE!D93="","",[1]BASE!D93)</f>
        <v/>
      </c>
      <c r="E93" t="str">
        <f>IF([1]BASE!E93="","",[1]BASE!E93)</f>
        <v/>
      </c>
      <c r="F93" t="str">
        <f>IF([1]BASE!F93="","",[1]BASE!F93)</f>
        <v/>
      </c>
      <c r="G93" t="str">
        <f>IF([1]BASE!G93="","",[1]BASE!G93)</f>
        <v/>
      </c>
      <c r="H93" t="str">
        <f>IF([1]BASE!H93="","",[1]BASE!H93)</f>
        <v/>
      </c>
    </row>
    <row r="94" spans="1:8" x14ac:dyDescent="0.25">
      <c r="A94" t="str">
        <f>IF([1]BASE!A94="","",[1]BASE!A94)</f>
        <v/>
      </c>
      <c r="B94" t="str">
        <f>IF([1]BASE!B94="","",[1]BASE!B94)</f>
        <v/>
      </c>
      <c r="D94" t="str">
        <f>IF([1]BASE!D94="","",[1]BASE!D94)</f>
        <v/>
      </c>
      <c r="E94" t="str">
        <f>IF([1]BASE!E94="","",[1]BASE!E94)</f>
        <v/>
      </c>
      <c r="F94" t="str">
        <f>IF([1]BASE!F94="","",[1]BASE!F94)</f>
        <v/>
      </c>
      <c r="G94" t="str">
        <f>IF([1]BASE!G94="","",[1]BASE!G94)</f>
        <v/>
      </c>
      <c r="H94" t="str">
        <f>IF([1]BASE!H94="","",[1]BASE!H94)</f>
        <v/>
      </c>
    </row>
    <row r="95" spans="1:8" x14ac:dyDescent="0.25">
      <c r="A95" t="str">
        <f>IF([1]BASE!A95="","",[1]BASE!A95)</f>
        <v/>
      </c>
      <c r="B95" t="str">
        <f>IF([1]BASE!B95="","",[1]BASE!B95)</f>
        <v/>
      </c>
      <c r="D95" t="str">
        <f>IF([1]BASE!D95="","",[1]BASE!D95)</f>
        <v/>
      </c>
      <c r="E95" t="str">
        <f>IF([1]BASE!E95="","",[1]BASE!E95)</f>
        <v/>
      </c>
      <c r="F95" t="str">
        <f>IF([1]BASE!F95="","",[1]BASE!F95)</f>
        <v/>
      </c>
      <c r="G95" t="str">
        <f>IF([1]BASE!G95="","",[1]BASE!G95)</f>
        <v/>
      </c>
      <c r="H95" t="str">
        <f>IF([1]BASE!H95="","",[1]BASE!H95)</f>
        <v/>
      </c>
    </row>
    <row r="96" spans="1:8" x14ac:dyDescent="0.25">
      <c r="A96" t="str">
        <f>IF([1]BASE!A96="","",[1]BASE!A96)</f>
        <v/>
      </c>
      <c r="B96" t="str">
        <f>IF([1]BASE!B96="","",[1]BASE!B96)</f>
        <v/>
      </c>
      <c r="D96" t="str">
        <f>IF([1]BASE!D96="","",[1]BASE!D96)</f>
        <v/>
      </c>
      <c r="E96" t="str">
        <f>IF([1]BASE!E96="","",[1]BASE!E96)</f>
        <v/>
      </c>
      <c r="F96" t="str">
        <f>IF([1]BASE!F96="","",[1]BASE!F96)</f>
        <v/>
      </c>
      <c r="G96" t="str">
        <f>IF([1]BASE!G96="","",[1]BASE!G96)</f>
        <v/>
      </c>
      <c r="H96" t="str">
        <f>IF([1]BASE!H96="","",[1]BASE!H96)</f>
        <v/>
      </c>
    </row>
    <row r="97" spans="1:8" x14ac:dyDescent="0.25">
      <c r="A97" t="str">
        <f>IF([1]BASE!A97="","",[1]BASE!A97)</f>
        <v/>
      </c>
      <c r="B97" t="str">
        <f>IF([1]BASE!B97="","",[1]BASE!B97)</f>
        <v/>
      </c>
      <c r="D97" t="str">
        <f>IF([1]BASE!D97="","",[1]BASE!D97)</f>
        <v/>
      </c>
      <c r="E97" t="str">
        <f>IF([1]BASE!E97="","",[1]BASE!E97)</f>
        <v/>
      </c>
      <c r="F97" t="str">
        <f>IF([1]BASE!F97="","",[1]BASE!F97)</f>
        <v/>
      </c>
      <c r="G97" t="str">
        <f>IF([1]BASE!G97="","",[1]BASE!G97)</f>
        <v/>
      </c>
      <c r="H97" t="str">
        <f>IF([1]BASE!H97="","",[1]BASE!H97)</f>
        <v/>
      </c>
    </row>
    <row r="98" spans="1:8" x14ac:dyDescent="0.25">
      <c r="A98" t="str">
        <f>IF([1]BASE!A98="","",[1]BASE!A98)</f>
        <v/>
      </c>
      <c r="B98" t="str">
        <f>IF([1]BASE!B98="","",[1]BASE!B98)</f>
        <v/>
      </c>
      <c r="D98" t="str">
        <f>IF([1]BASE!D98="","",[1]BASE!D98)</f>
        <v/>
      </c>
      <c r="E98" t="str">
        <f>IF([1]BASE!E98="","",[1]BASE!E98)</f>
        <v/>
      </c>
      <c r="F98" t="str">
        <f>IF([1]BASE!F98="","",[1]BASE!F98)</f>
        <v/>
      </c>
      <c r="G98" t="str">
        <f>IF([1]BASE!G98="","",[1]BASE!G98)</f>
        <v/>
      </c>
      <c r="H98" t="str">
        <f>IF([1]BASE!H98="","",[1]BASE!H98)</f>
        <v/>
      </c>
    </row>
    <row r="99" spans="1:8" x14ac:dyDescent="0.25">
      <c r="A99" t="str">
        <f>IF([1]BASE!A99="","",[1]BASE!A99)</f>
        <v/>
      </c>
      <c r="B99" t="str">
        <f>IF([1]BASE!B99="","",[1]BASE!B99)</f>
        <v/>
      </c>
      <c r="D99" t="str">
        <f>IF([1]BASE!D99="","",[1]BASE!D99)</f>
        <v/>
      </c>
      <c r="E99" t="str">
        <f>IF([1]BASE!E99="","",[1]BASE!E99)</f>
        <v/>
      </c>
      <c r="F99" t="str">
        <f>IF([1]BASE!F99="","",[1]BASE!F99)</f>
        <v/>
      </c>
      <c r="G99" t="str">
        <f>IF([1]BASE!G99="","",[1]BASE!G99)</f>
        <v/>
      </c>
      <c r="H99" t="str">
        <f>IF([1]BASE!H99="","",[1]BASE!H99)</f>
        <v/>
      </c>
    </row>
    <row r="100" spans="1:8" x14ac:dyDescent="0.25">
      <c r="A100" t="str">
        <f>IF([1]BASE!A100="","",[1]BASE!A100)</f>
        <v/>
      </c>
      <c r="B100" t="str">
        <f>IF([1]BASE!B100="","",[1]BASE!B100)</f>
        <v/>
      </c>
      <c r="D100" t="str">
        <f>IF([1]BASE!D100="","",[1]BASE!D100)</f>
        <v/>
      </c>
      <c r="E100" t="str">
        <f>IF([1]BASE!E100="","",[1]BASE!E100)</f>
        <v/>
      </c>
      <c r="F100" t="str">
        <f>IF([1]BASE!F100="","",[1]BASE!F100)</f>
        <v/>
      </c>
      <c r="G100" t="str">
        <f>IF([1]BASE!G100="","",[1]BASE!G100)</f>
        <v/>
      </c>
      <c r="H100" t="str">
        <f>IF([1]BASE!H100="","",[1]BASE!H100)</f>
        <v/>
      </c>
    </row>
    <row r="101" spans="1:8" x14ac:dyDescent="0.25">
      <c r="A101" t="str">
        <f>IF([1]BASE!A101="","",[1]BASE!A101)</f>
        <v/>
      </c>
      <c r="B101" t="str">
        <f>IF([1]BASE!B101="","",[1]BASE!B101)</f>
        <v/>
      </c>
      <c r="D101" t="str">
        <f>IF([1]BASE!D101="","",[1]BASE!D101)</f>
        <v/>
      </c>
      <c r="E101" t="str">
        <f>IF([1]BASE!E101="","",[1]BASE!E101)</f>
        <v/>
      </c>
      <c r="F101" t="str">
        <f>IF([1]BASE!F101="","",[1]BASE!F101)</f>
        <v/>
      </c>
      <c r="G101" t="str">
        <f>IF([1]BASE!G101="","",[1]BASE!G101)</f>
        <v/>
      </c>
      <c r="H101" t="str">
        <f>IF([1]BASE!H101="","",[1]BASE!H101)</f>
        <v/>
      </c>
    </row>
    <row r="102" spans="1:8" x14ac:dyDescent="0.25">
      <c r="D102" t="str">
        <f>IF([1]BASE!D102="","",[1]BASE!D102)</f>
        <v/>
      </c>
      <c r="E102" t="str">
        <f>IF([1]BASE!E102="","",[1]BASE!E102)</f>
        <v/>
      </c>
      <c r="F102" t="str">
        <f>IF([1]BASE!F102="","",[1]BASE!F102)</f>
        <v/>
      </c>
      <c r="G102" t="str">
        <f>IF([1]BASE!G102="","",[1]BASE!G102)</f>
        <v/>
      </c>
      <c r="H102" t="str">
        <f>IF([1]BASE!H102="","",[1]BASE!H102)</f>
        <v/>
      </c>
    </row>
    <row r="103" spans="1:8" x14ac:dyDescent="0.25">
      <c r="D103" t="str">
        <f>IF([1]BASE!D103="","",[1]BASE!D103)</f>
        <v/>
      </c>
      <c r="E103" t="str">
        <f>IF([1]BASE!E103="","",[1]BASE!E103)</f>
        <v/>
      </c>
      <c r="F103" t="str">
        <f>IF([1]BASE!F103="","",[1]BASE!F103)</f>
        <v/>
      </c>
      <c r="G103" t="str">
        <f>IF([1]BASE!G103="","",[1]BASE!G103)</f>
        <v/>
      </c>
      <c r="H103" t="str">
        <f>IF([1]BASE!H103="","",[1]BASE!H103)</f>
        <v/>
      </c>
    </row>
    <row r="104" spans="1:8" x14ac:dyDescent="0.25">
      <c r="D104" t="str">
        <f>IF([1]BASE!D104="","",[1]BASE!D104)</f>
        <v/>
      </c>
      <c r="E104" t="str">
        <f>IF([1]BASE!E104="","",[1]BASE!E104)</f>
        <v/>
      </c>
      <c r="F104" t="str">
        <f>IF([1]BASE!F104="","",[1]BASE!F104)</f>
        <v/>
      </c>
      <c r="G104" t="str">
        <f>IF([1]BASE!G104="","",[1]BASE!G104)</f>
        <v/>
      </c>
      <c r="H104" t="str">
        <f>IF([1]BASE!H104="","",[1]BASE!H104)</f>
        <v/>
      </c>
    </row>
    <row r="105" spans="1:8" x14ac:dyDescent="0.25">
      <c r="D105" t="str">
        <f>IF([1]BASE!D105="","",[1]BASE!D105)</f>
        <v/>
      </c>
      <c r="E105" t="str">
        <f>IF([1]BASE!E105="","",[1]BASE!E105)</f>
        <v/>
      </c>
      <c r="F105" t="str">
        <f>IF([1]BASE!F105="","",[1]BASE!F105)</f>
        <v/>
      </c>
      <c r="G105" t="str">
        <f>IF([1]BASE!G105="","",[1]BASE!G105)</f>
        <v/>
      </c>
      <c r="H105" t="str">
        <f>IF([1]BASE!H105="","",[1]BASE!H105)</f>
        <v/>
      </c>
    </row>
    <row r="106" spans="1:8" x14ac:dyDescent="0.25">
      <c r="D106" t="str">
        <f>IF([1]BASE!D106="","",[1]BASE!D106)</f>
        <v/>
      </c>
      <c r="E106" t="str">
        <f>IF([1]BASE!E106="","",[1]BASE!E106)</f>
        <v/>
      </c>
      <c r="F106" t="str">
        <f>IF([1]BASE!F106="","",[1]BASE!F106)</f>
        <v/>
      </c>
      <c r="G106" t="str">
        <f>IF([1]BASE!G106="","",[1]BASE!G106)</f>
        <v/>
      </c>
      <c r="H106" t="str">
        <f>IF([1]BASE!H106="","",[1]BASE!H106)</f>
        <v/>
      </c>
    </row>
    <row r="107" spans="1:8" x14ac:dyDescent="0.25">
      <c r="D107" t="str">
        <f>IF([1]BASE!D107="","",[1]BASE!D107)</f>
        <v/>
      </c>
      <c r="E107" t="str">
        <f>IF([1]BASE!E107="","",[1]BASE!E107)</f>
        <v/>
      </c>
      <c r="F107" t="str">
        <f>IF([1]BASE!F107="","",[1]BASE!F107)</f>
        <v/>
      </c>
      <c r="G107" t="str">
        <f>IF([1]BASE!G107="","",[1]BASE!G107)</f>
        <v/>
      </c>
      <c r="H107" t="str">
        <f>IF([1]BASE!H107="","",[1]BASE!H107)</f>
        <v/>
      </c>
    </row>
    <row r="108" spans="1:8" x14ac:dyDescent="0.25">
      <c r="D108" t="str">
        <f>IF([1]BASE!D108="","",[1]BASE!D108)</f>
        <v/>
      </c>
      <c r="E108" t="str">
        <f>IF([1]BASE!E108="","",[1]BASE!E108)</f>
        <v/>
      </c>
      <c r="F108" t="str">
        <f>IF([1]BASE!F108="","",[1]BASE!F108)</f>
        <v/>
      </c>
      <c r="G108" t="str">
        <f>IF([1]BASE!G108="","",[1]BASE!G108)</f>
        <v/>
      </c>
      <c r="H108" t="str">
        <f>IF([1]BASE!H108="","",[1]BASE!H108)</f>
        <v/>
      </c>
    </row>
    <row r="109" spans="1:8" x14ac:dyDescent="0.25">
      <c r="D109" t="str">
        <f>IF([1]BASE!D109="","",[1]BASE!D109)</f>
        <v/>
      </c>
      <c r="E109" t="str">
        <f>IF([1]BASE!E109="","",[1]BASE!E109)</f>
        <v/>
      </c>
      <c r="F109" t="str">
        <f>IF([1]BASE!F109="","",[1]BASE!F109)</f>
        <v/>
      </c>
      <c r="G109" t="str">
        <f>IF([1]BASE!G109="","",[1]BASE!G109)</f>
        <v/>
      </c>
      <c r="H109" t="str">
        <f>IF([1]BASE!H109="","",[1]BASE!H109)</f>
        <v/>
      </c>
    </row>
    <row r="110" spans="1:8" x14ac:dyDescent="0.25">
      <c r="D110" t="str">
        <f>IF([1]BASE!D110="","",[1]BASE!D110)</f>
        <v/>
      </c>
      <c r="E110" t="str">
        <f>IF([1]BASE!E110="","",[1]BASE!E110)</f>
        <v/>
      </c>
      <c r="F110" t="str">
        <f>IF([1]BASE!F110="","",[1]BASE!F110)</f>
        <v/>
      </c>
      <c r="G110" t="str">
        <f>IF([1]BASE!G110="","",[1]BASE!G110)</f>
        <v/>
      </c>
      <c r="H110" t="str">
        <f>IF([1]BASE!H110="","",[1]BASE!H110)</f>
        <v/>
      </c>
    </row>
    <row r="111" spans="1:8" x14ac:dyDescent="0.25">
      <c r="D111" t="str">
        <f>IF([1]BASE!D111="","",[1]BASE!D111)</f>
        <v/>
      </c>
      <c r="E111" t="str">
        <f>IF([1]BASE!E111="","",[1]BASE!E111)</f>
        <v/>
      </c>
      <c r="F111" t="str">
        <f>IF([1]BASE!F111="","",[1]BASE!F111)</f>
        <v/>
      </c>
      <c r="G111" t="str">
        <f>IF([1]BASE!G111="","",[1]BASE!G111)</f>
        <v/>
      </c>
      <c r="H111" t="str">
        <f>IF([1]BASE!H111="","",[1]BASE!H111)</f>
        <v/>
      </c>
    </row>
    <row r="112" spans="1:8" x14ac:dyDescent="0.25">
      <c r="D112" t="str">
        <f>IF([1]BASE!D112="","",[1]BASE!D112)</f>
        <v/>
      </c>
      <c r="E112" t="str">
        <f>IF([1]BASE!E112="","",[1]BASE!E112)</f>
        <v/>
      </c>
      <c r="F112" t="str">
        <f>IF([1]BASE!F112="","",[1]BASE!F112)</f>
        <v/>
      </c>
      <c r="G112" t="str">
        <f>IF([1]BASE!G112="","",[1]BASE!G112)</f>
        <v/>
      </c>
      <c r="H112" t="str">
        <f>IF([1]BASE!H112="","",[1]BASE!H112)</f>
        <v/>
      </c>
    </row>
    <row r="113" spans="4:8" x14ac:dyDescent="0.25">
      <c r="D113" t="str">
        <f>IF([1]BASE!D113="","",[1]BASE!D113)</f>
        <v/>
      </c>
      <c r="E113" t="str">
        <f>IF([1]BASE!E113="","",[1]BASE!E113)</f>
        <v/>
      </c>
      <c r="F113" t="str">
        <f>IF([1]BASE!F113="","",[1]BASE!F113)</f>
        <v/>
      </c>
      <c r="G113" t="str">
        <f>IF([1]BASE!G113="","",[1]BASE!G113)</f>
        <v/>
      </c>
      <c r="H113" t="str">
        <f>IF([1]BASE!H113="","",[1]BASE!H113)</f>
        <v/>
      </c>
    </row>
    <row r="114" spans="4:8" x14ac:dyDescent="0.25">
      <c r="D114" t="str">
        <f>IF([1]BASE!D114="","",[1]BASE!D114)</f>
        <v/>
      </c>
      <c r="E114" t="str">
        <f>IF([1]BASE!E114="","",[1]BASE!E114)</f>
        <v/>
      </c>
      <c r="F114" t="str">
        <f>IF([1]BASE!F114="","",[1]BASE!F114)</f>
        <v/>
      </c>
      <c r="G114" t="str">
        <f>IF([1]BASE!G114="","",[1]BASE!G114)</f>
        <v/>
      </c>
      <c r="H114" t="str">
        <f>IF([1]BASE!H114="","",[1]BASE!H114)</f>
        <v/>
      </c>
    </row>
    <row r="115" spans="4:8" x14ac:dyDescent="0.25">
      <c r="D115" t="str">
        <f>IF([1]BASE!D115="","",[1]BASE!D115)</f>
        <v/>
      </c>
      <c r="E115" t="str">
        <f>IF([1]BASE!E115="","",[1]BASE!E115)</f>
        <v/>
      </c>
      <c r="F115" t="str">
        <f>IF([1]BASE!F115="","",[1]BASE!F115)</f>
        <v/>
      </c>
      <c r="G115" t="str">
        <f>IF([1]BASE!G115="","",[1]BASE!G115)</f>
        <v/>
      </c>
      <c r="H115" t="str">
        <f>IF([1]BASE!H115="","",[1]BASE!H115)</f>
        <v/>
      </c>
    </row>
    <row r="116" spans="4:8" x14ac:dyDescent="0.25">
      <c r="D116" t="str">
        <f>IF([1]BASE!D116="","",[1]BASE!D116)</f>
        <v/>
      </c>
      <c r="E116" t="str">
        <f>IF([1]BASE!E116="","",[1]BASE!E116)</f>
        <v/>
      </c>
      <c r="F116" t="str">
        <f>IF([1]BASE!F116="","",[1]BASE!F116)</f>
        <v/>
      </c>
      <c r="G116" t="str">
        <f>IF([1]BASE!G116="","",[1]BASE!G116)</f>
        <v/>
      </c>
      <c r="H116" t="str">
        <f>IF([1]BASE!H116="","",[1]BASE!H116)</f>
        <v/>
      </c>
    </row>
    <row r="117" spans="4:8" x14ac:dyDescent="0.25">
      <c r="D117" t="str">
        <f>IF([1]BASE!D117="","",[1]BASE!D117)</f>
        <v/>
      </c>
      <c r="E117" t="str">
        <f>IF([1]BASE!E117="","",[1]BASE!E117)</f>
        <v/>
      </c>
      <c r="F117" t="str">
        <f>IF([1]BASE!F117="","",[1]BASE!F117)</f>
        <v/>
      </c>
      <c r="G117" t="str">
        <f>IF([1]BASE!G117="","",[1]BASE!G117)</f>
        <v/>
      </c>
      <c r="H117" t="str">
        <f>IF([1]BASE!H117="","",[1]BASE!H117)</f>
        <v/>
      </c>
    </row>
    <row r="118" spans="4:8" x14ac:dyDescent="0.25">
      <c r="D118" t="str">
        <f>IF([1]BASE!D118="","",[1]BASE!D118)</f>
        <v/>
      </c>
      <c r="E118" t="str">
        <f>IF([1]BASE!E118="","",[1]BASE!E118)</f>
        <v/>
      </c>
      <c r="F118" t="str">
        <f>IF([1]BASE!F118="","",[1]BASE!F118)</f>
        <v/>
      </c>
      <c r="G118" t="str">
        <f>IF([1]BASE!G118="","",[1]BASE!G118)</f>
        <v/>
      </c>
      <c r="H118" t="str">
        <f>IF([1]BASE!H118="","",[1]BASE!H118)</f>
        <v/>
      </c>
    </row>
    <row r="119" spans="4:8" x14ac:dyDescent="0.25">
      <c r="D119" t="str">
        <f>IF([1]BASE!D119="","",[1]BASE!D119)</f>
        <v/>
      </c>
      <c r="E119" t="str">
        <f>IF([1]BASE!E119="","",[1]BASE!E119)</f>
        <v/>
      </c>
      <c r="F119" t="str">
        <f>IF([1]BASE!F119="","",[1]BASE!F119)</f>
        <v/>
      </c>
      <c r="G119" t="str">
        <f>IF([1]BASE!G119="","",[1]BASE!G119)</f>
        <v/>
      </c>
      <c r="H119" t="str">
        <f>IF([1]BASE!H119="","",[1]BASE!H119)</f>
        <v/>
      </c>
    </row>
    <row r="120" spans="4:8" x14ac:dyDescent="0.25">
      <c r="D120" t="str">
        <f>IF([1]BASE!D120="","",[1]BASE!D120)</f>
        <v/>
      </c>
      <c r="E120" t="str">
        <f>IF([1]BASE!E120="","",[1]BASE!E120)</f>
        <v/>
      </c>
      <c r="F120" t="str">
        <f>IF([1]BASE!F120="","",[1]BASE!F120)</f>
        <v/>
      </c>
      <c r="G120" t="str">
        <f>IF([1]BASE!G120="","",[1]BASE!G120)</f>
        <v/>
      </c>
      <c r="H120" t="str">
        <f>IF([1]BASE!H120="","",[1]BASE!H120)</f>
        <v/>
      </c>
    </row>
    <row r="121" spans="4:8" x14ac:dyDescent="0.25">
      <c r="D121" t="str">
        <f>IF([1]BASE!D121="","",[1]BASE!D121)</f>
        <v/>
      </c>
      <c r="E121" t="str">
        <f>IF([1]BASE!E121="","",[1]BASE!E121)</f>
        <v/>
      </c>
      <c r="F121" t="str">
        <f>IF([1]BASE!F121="","",[1]BASE!F121)</f>
        <v/>
      </c>
      <c r="G121" t="str">
        <f>IF([1]BASE!G121="","",[1]BASE!G121)</f>
        <v/>
      </c>
      <c r="H121" t="str">
        <f>IF([1]BASE!H121="","",[1]BASE!H121)</f>
        <v/>
      </c>
    </row>
    <row r="122" spans="4:8" x14ac:dyDescent="0.25">
      <c r="D122" t="str">
        <f>IF([1]BASE!D122="","",[1]BASE!D122)</f>
        <v/>
      </c>
      <c r="E122" t="str">
        <f>IF([1]BASE!E122="","",[1]BASE!E122)</f>
        <v/>
      </c>
      <c r="F122" t="str">
        <f>IF([1]BASE!F122="","",[1]BASE!F122)</f>
        <v/>
      </c>
      <c r="G122" t="str">
        <f>IF([1]BASE!G122="","",[1]BASE!G122)</f>
        <v/>
      </c>
      <c r="H122" t="str">
        <f>IF([1]BASE!H122="","",[1]BASE!H122)</f>
        <v/>
      </c>
    </row>
    <row r="123" spans="4:8" x14ac:dyDescent="0.25">
      <c r="D123" t="str">
        <f>IF([1]BASE!D123="","",[1]BASE!D123)</f>
        <v/>
      </c>
      <c r="E123" t="str">
        <f>IF([1]BASE!E123="","",[1]BASE!E123)</f>
        <v/>
      </c>
      <c r="F123" t="str">
        <f>IF([1]BASE!F123="","",[1]BASE!F123)</f>
        <v/>
      </c>
      <c r="G123" t="str">
        <f>IF([1]BASE!G123="","",[1]BASE!G123)</f>
        <v/>
      </c>
      <c r="H123" t="str">
        <f>IF([1]BASE!H123="","",[1]BASE!H123)</f>
        <v/>
      </c>
    </row>
    <row r="124" spans="4:8" x14ac:dyDescent="0.25">
      <c r="D124" t="str">
        <f>IF([1]BASE!D124="","",[1]BASE!D124)</f>
        <v/>
      </c>
      <c r="E124" t="str">
        <f>IF([1]BASE!E124="","",[1]BASE!E124)</f>
        <v/>
      </c>
      <c r="F124" t="str">
        <f>IF([1]BASE!F124="","",[1]BASE!F124)</f>
        <v/>
      </c>
      <c r="G124" t="str">
        <f>IF([1]BASE!G124="","",[1]BASE!G124)</f>
        <v/>
      </c>
      <c r="H124" t="str">
        <f>IF([1]BASE!H124="","",[1]BASE!H124)</f>
        <v/>
      </c>
    </row>
    <row r="125" spans="4:8" x14ac:dyDescent="0.25">
      <c r="D125" t="str">
        <f>IF([1]BASE!D125="","",[1]BASE!D125)</f>
        <v/>
      </c>
      <c r="E125" t="str">
        <f>IF([1]BASE!E125="","",[1]BASE!E125)</f>
        <v/>
      </c>
      <c r="F125" t="str">
        <f>IF([1]BASE!F125="","",[1]BASE!F125)</f>
        <v/>
      </c>
      <c r="G125" t="str">
        <f>IF([1]BASE!G125="","",[1]BASE!G125)</f>
        <v/>
      </c>
      <c r="H125" t="str">
        <f>IF([1]BASE!H125="","",[1]BASE!H125)</f>
        <v/>
      </c>
    </row>
    <row r="126" spans="4:8" x14ac:dyDescent="0.25">
      <c r="D126" t="str">
        <f>IF([1]BASE!D126="","",[1]BASE!D126)</f>
        <v/>
      </c>
      <c r="E126" t="str">
        <f>IF([1]BASE!E126="","",[1]BASE!E126)</f>
        <v/>
      </c>
      <c r="F126" t="str">
        <f>IF([1]BASE!F126="","",[1]BASE!F126)</f>
        <v/>
      </c>
      <c r="G126" t="str">
        <f>IF([1]BASE!G126="","",[1]BASE!G126)</f>
        <v/>
      </c>
      <c r="H126" t="str">
        <f>IF([1]BASE!H126="","",[1]BASE!H126)</f>
        <v/>
      </c>
    </row>
    <row r="127" spans="4:8" x14ac:dyDescent="0.25">
      <c r="D127" t="str">
        <f>IF([1]BASE!D127="","",[1]BASE!D127)</f>
        <v/>
      </c>
      <c r="E127" t="str">
        <f>IF([1]BASE!E127="","",[1]BASE!E127)</f>
        <v/>
      </c>
      <c r="F127" t="str">
        <f>IF([1]BASE!F127="","",[1]BASE!F127)</f>
        <v/>
      </c>
      <c r="G127" t="str">
        <f>IF([1]BASE!G127="","",[1]BASE!G127)</f>
        <v/>
      </c>
      <c r="H127" t="str">
        <f>IF([1]BASE!H127="","",[1]BASE!H127)</f>
        <v/>
      </c>
    </row>
    <row r="128" spans="4:8" x14ac:dyDescent="0.25">
      <c r="D128" t="str">
        <f>IF([1]BASE!D128="","",[1]BASE!D128)</f>
        <v/>
      </c>
      <c r="E128" t="str">
        <f>IF([1]BASE!E128="","",[1]BASE!E128)</f>
        <v/>
      </c>
      <c r="F128" t="str">
        <f>IF([1]BASE!F128="","",[1]BASE!F128)</f>
        <v/>
      </c>
      <c r="G128" t="str">
        <f>IF([1]BASE!G128="","",[1]BASE!G128)</f>
        <v/>
      </c>
      <c r="H128" t="str">
        <f>IF([1]BASE!H128="","",[1]BASE!H128)</f>
        <v/>
      </c>
    </row>
    <row r="129" spans="4:8" x14ac:dyDescent="0.25">
      <c r="D129" t="str">
        <f>IF([1]BASE!D129="","",[1]BASE!D129)</f>
        <v/>
      </c>
      <c r="E129" t="str">
        <f>IF([1]BASE!E129="","",[1]BASE!E129)</f>
        <v/>
      </c>
      <c r="F129" t="str">
        <f>IF([1]BASE!F129="","",[1]BASE!F129)</f>
        <v/>
      </c>
      <c r="G129" t="str">
        <f>IF([1]BASE!G129="","",[1]BASE!G129)</f>
        <v/>
      </c>
      <c r="H129" t="str">
        <f>IF([1]BASE!H129="","",[1]BASE!H129)</f>
        <v/>
      </c>
    </row>
    <row r="130" spans="4:8" x14ac:dyDescent="0.25">
      <c r="D130" t="str">
        <f>IF([1]BASE!D130="","",[1]BASE!D130)</f>
        <v/>
      </c>
      <c r="E130" t="str">
        <f>IF([1]BASE!E130="","",[1]BASE!E130)</f>
        <v/>
      </c>
      <c r="F130" t="str">
        <f>IF([1]BASE!F130="","",[1]BASE!F130)</f>
        <v/>
      </c>
      <c r="G130" t="str">
        <f>IF([1]BASE!G130="","",[1]BASE!G130)</f>
        <v/>
      </c>
      <c r="H130" t="str">
        <f>IF([1]BASE!H130="","",[1]BASE!H130)</f>
        <v/>
      </c>
    </row>
    <row r="131" spans="4:8" x14ac:dyDescent="0.25">
      <c r="D131" t="str">
        <f>IF([1]BASE!D131="","",[1]BASE!D131)</f>
        <v/>
      </c>
      <c r="E131" t="str">
        <f>IF([1]BASE!E131="","",[1]BASE!E131)</f>
        <v/>
      </c>
      <c r="F131" t="str">
        <f>IF([1]BASE!F131="","",[1]BASE!F131)</f>
        <v/>
      </c>
      <c r="G131" t="str">
        <f>IF([1]BASE!G131="","",[1]BASE!G131)</f>
        <v/>
      </c>
      <c r="H131" t="str">
        <f>IF([1]BASE!H131="","",[1]BASE!H131)</f>
        <v/>
      </c>
    </row>
    <row r="132" spans="4:8" x14ac:dyDescent="0.25">
      <c r="D132" t="str">
        <f>IF([1]BASE!D132="","",[1]BASE!D132)</f>
        <v/>
      </c>
      <c r="E132" t="str">
        <f>IF([1]BASE!E132="","",[1]BASE!E132)</f>
        <v/>
      </c>
      <c r="F132" t="str">
        <f>IF([1]BASE!F132="","",[1]BASE!F132)</f>
        <v/>
      </c>
      <c r="G132" t="str">
        <f>IF([1]BASE!G132="","",[1]BASE!G132)</f>
        <v/>
      </c>
      <c r="H132" t="str">
        <f>IF([1]BASE!H132="","",[1]BASE!H132)</f>
        <v/>
      </c>
    </row>
    <row r="133" spans="4:8" x14ac:dyDescent="0.25">
      <c r="D133" t="str">
        <f>IF([1]BASE!D133="","",[1]BASE!D133)</f>
        <v/>
      </c>
      <c r="E133" t="str">
        <f>IF([1]BASE!E133="","",[1]BASE!E133)</f>
        <v/>
      </c>
      <c r="F133" t="str">
        <f>IF([1]BASE!F133="","",[1]BASE!F133)</f>
        <v/>
      </c>
      <c r="G133" t="str">
        <f>IF([1]BASE!G133="","",[1]BASE!G133)</f>
        <v/>
      </c>
      <c r="H133" t="str">
        <f>IF([1]BASE!H133="","",[1]BASE!H133)</f>
        <v/>
      </c>
    </row>
    <row r="134" spans="4:8" x14ac:dyDescent="0.25">
      <c r="D134" t="str">
        <f>IF([1]BASE!D134="","",[1]BASE!D134)</f>
        <v/>
      </c>
      <c r="E134" t="str">
        <f>IF([1]BASE!E134="","",[1]BASE!E134)</f>
        <v/>
      </c>
      <c r="F134" t="str">
        <f>IF([1]BASE!F134="","",[1]BASE!F134)</f>
        <v/>
      </c>
      <c r="G134" t="str">
        <f>IF([1]BASE!G134="","",[1]BASE!G134)</f>
        <v/>
      </c>
      <c r="H134" t="str">
        <f>IF([1]BASE!H134="","",[1]BASE!H134)</f>
        <v/>
      </c>
    </row>
    <row r="135" spans="4:8" x14ac:dyDescent="0.25">
      <c r="D135" t="str">
        <f>IF([1]BASE!D135="","",[1]BASE!D135)</f>
        <v/>
      </c>
      <c r="E135" t="str">
        <f>IF([1]BASE!E135="","",[1]BASE!E135)</f>
        <v/>
      </c>
      <c r="F135" t="str">
        <f>IF([1]BASE!F135="","",[1]BASE!F135)</f>
        <v/>
      </c>
      <c r="G135" t="str">
        <f>IF([1]BASE!G135="","",[1]BASE!G135)</f>
        <v/>
      </c>
      <c r="H135" t="str">
        <f>IF([1]BASE!H135="","",[1]BASE!H135)</f>
        <v/>
      </c>
    </row>
    <row r="136" spans="4:8" x14ac:dyDescent="0.25">
      <c r="D136" t="str">
        <f>IF([1]BASE!D136="","",[1]BASE!D136)</f>
        <v/>
      </c>
      <c r="E136" t="str">
        <f>IF([1]BASE!E136="","",[1]BASE!E136)</f>
        <v/>
      </c>
      <c r="F136" t="str">
        <f>IF([1]BASE!F136="","",[1]BASE!F136)</f>
        <v/>
      </c>
      <c r="G136" t="str">
        <f>IF([1]BASE!G136="","",[1]BASE!G136)</f>
        <v/>
      </c>
      <c r="H136" t="str">
        <f>IF([1]BASE!H136="","",[1]BASE!H136)</f>
        <v/>
      </c>
    </row>
    <row r="137" spans="4:8" x14ac:dyDescent="0.25">
      <c r="D137" t="str">
        <f>IF([1]BASE!D137="","",[1]BASE!D137)</f>
        <v/>
      </c>
      <c r="E137" t="str">
        <f>IF([1]BASE!E137="","",[1]BASE!E137)</f>
        <v/>
      </c>
      <c r="F137" t="str">
        <f>IF([1]BASE!F137="","",[1]BASE!F137)</f>
        <v/>
      </c>
      <c r="G137" t="str">
        <f>IF([1]BASE!G137="","",[1]BASE!G137)</f>
        <v/>
      </c>
      <c r="H137" t="str">
        <f>IF([1]BASE!H137="","",[1]BASE!H137)</f>
        <v/>
      </c>
    </row>
    <row r="138" spans="4:8" x14ac:dyDescent="0.25">
      <c r="D138" t="str">
        <f>IF([1]BASE!D138="","",[1]BASE!D138)</f>
        <v/>
      </c>
      <c r="E138" t="str">
        <f>IF([1]BASE!E138="","",[1]BASE!E138)</f>
        <v/>
      </c>
      <c r="F138" t="str">
        <f>IF([1]BASE!F138="","",[1]BASE!F138)</f>
        <v/>
      </c>
      <c r="G138" t="str">
        <f>IF([1]BASE!G138="","",[1]BASE!G138)</f>
        <v/>
      </c>
      <c r="H138" t="str">
        <f>IF([1]BASE!H138="","",[1]BASE!H138)</f>
        <v/>
      </c>
    </row>
    <row r="139" spans="4:8" x14ac:dyDescent="0.25">
      <c r="D139" t="str">
        <f>IF([1]BASE!D139="","",[1]BASE!D139)</f>
        <v/>
      </c>
      <c r="E139" t="str">
        <f>IF([1]BASE!E139="","",[1]BASE!E139)</f>
        <v/>
      </c>
      <c r="F139" t="str">
        <f>IF([1]BASE!F139="","",[1]BASE!F139)</f>
        <v/>
      </c>
      <c r="G139" t="str">
        <f>IF([1]BASE!G139="","",[1]BASE!G139)</f>
        <v/>
      </c>
      <c r="H139" t="str">
        <f>IF([1]BASE!H139="","",[1]BASE!H139)</f>
        <v/>
      </c>
    </row>
    <row r="140" spans="4:8" x14ac:dyDescent="0.25">
      <c r="D140" t="str">
        <f>IF([1]BASE!D140="","",[1]BASE!D140)</f>
        <v/>
      </c>
      <c r="E140" t="str">
        <f>IF([1]BASE!E140="","",[1]BASE!E140)</f>
        <v/>
      </c>
      <c r="F140" t="str">
        <f>IF([1]BASE!F140="","",[1]BASE!F140)</f>
        <v/>
      </c>
      <c r="G140" t="str">
        <f>IF([1]BASE!G140="","",[1]BASE!G140)</f>
        <v/>
      </c>
      <c r="H140" t="str">
        <f>IF([1]BASE!H140="","",[1]BASE!H140)</f>
        <v/>
      </c>
    </row>
    <row r="141" spans="4:8" x14ac:dyDescent="0.25">
      <c r="D141" t="str">
        <f>IF([1]BASE!D141="","",[1]BASE!D141)</f>
        <v/>
      </c>
      <c r="E141" t="str">
        <f>IF([1]BASE!E141="","",[1]BASE!E141)</f>
        <v/>
      </c>
      <c r="F141" t="str">
        <f>IF([1]BASE!F141="","",[1]BASE!F141)</f>
        <v/>
      </c>
      <c r="G141" t="str">
        <f>IF([1]BASE!G141="","",[1]BASE!G141)</f>
        <v/>
      </c>
      <c r="H141" t="str">
        <f>IF([1]BASE!H141="","",[1]BASE!H141)</f>
        <v/>
      </c>
    </row>
    <row r="142" spans="4:8" x14ac:dyDescent="0.25">
      <c r="D142" t="str">
        <f>IF([1]BASE!D142="","",[1]BASE!D142)</f>
        <v/>
      </c>
      <c r="E142" t="str">
        <f>IF([1]BASE!E142="","",[1]BASE!E142)</f>
        <v/>
      </c>
      <c r="F142" t="str">
        <f>IF([1]BASE!F142="","",[1]BASE!F142)</f>
        <v/>
      </c>
      <c r="G142" t="str">
        <f>IF([1]BASE!G142="","",[1]BASE!G142)</f>
        <v/>
      </c>
      <c r="H142" t="str">
        <f>IF([1]BASE!H142="","",[1]BASE!H142)</f>
        <v/>
      </c>
    </row>
    <row r="143" spans="4:8" x14ac:dyDescent="0.25">
      <c r="D143" t="str">
        <f>IF([1]BASE!D143="","",[1]BASE!D143)</f>
        <v/>
      </c>
      <c r="E143" t="str">
        <f>IF([1]BASE!E143="","",[1]BASE!E143)</f>
        <v/>
      </c>
      <c r="F143" t="str">
        <f>IF([1]BASE!F143="","",[1]BASE!F143)</f>
        <v/>
      </c>
      <c r="G143" t="str">
        <f>IF([1]BASE!G143="","",[1]BASE!G143)</f>
        <v/>
      </c>
      <c r="H143" t="str">
        <f>IF([1]BASE!H143="","",[1]BASE!H143)</f>
        <v/>
      </c>
    </row>
    <row r="144" spans="4:8" x14ac:dyDescent="0.25">
      <c r="D144" t="str">
        <f>IF([1]BASE!D144="","",[1]BASE!D144)</f>
        <v/>
      </c>
      <c r="E144" t="str">
        <f>IF([1]BASE!E144="","",[1]BASE!E144)</f>
        <v/>
      </c>
      <c r="F144" t="str">
        <f>IF([1]BASE!F144="","",[1]BASE!F144)</f>
        <v/>
      </c>
      <c r="G144" t="str">
        <f>IF([1]BASE!G144="","",[1]BASE!G144)</f>
        <v/>
      </c>
      <c r="H144" t="str">
        <f>IF([1]BASE!H144="","",[1]BASE!H144)</f>
        <v/>
      </c>
    </row>
    <row r="145" spans="4:8" x14ac:dyDescent="0.25">
      <c r="D145" t="str">
        <f>IF([1]BASE!D145="","",[1]BASE!D145)</f>
        <v/>
      </c>
      <c r="E145" t="str">
        <f>IF([1]BASE!E145="","",[1]BASE!E145)</f>
        <v/>
      </c>
      <c r="F145" t="str">
        <f>IF([1]BASE!F145="","",[1]BASE!F145)</f>
        <v/>
      </c>
      <c r="G145" t="str">
        <f>IF([1]BASE!G145="","",[1]BASE!G145)</f>
        <v/>
      </c>
      <c r="H145" t="str">
        <f>IF([1]BASE!H145="","",[1]BASE!H145)</f>
        <v/>
      </c>
    </row>
    <row r="146" spans="4:8" x14ac:dyDescent="0.25">
      <c r="D146" t="str">
        <f>IF([1]BASE!D146="","",[1]BASE!D146)</f>
        <v/>
      </c>
      <c r="E146" t="str">
        <f>IF([1]BASE!E146="","",[1]BASE!E146)</f>
        <v/>
      </c>
      <c r="F146" t="str">
        <f>IF([1]BASE!F146="","",[1]BASE!F146)</f>
        <v/>
      </c>
      <c r="G146" t="str">
        <f>IF([1]BASE!G146="","",[1]BASE!G146)</f>
        <v/>
      </c>
      <c r="H146" t="str">
        <f>IF([1]BASE!H146="","",[1]BASE!H146)</f>
        <v/>
      </c>
    </row>
    <row r="147" spans="4:8" x14ac:dyDescent="0.25">
      <c r="D147" t="str">
        <f>IF([1]BASE!D147="","",[1]BASE!D147)</f>
        <v/>
      </c>
      <c r="E147" t="str">
        <f>IF([1]BASE!E147="","",[1]BASE!E147)</f>
        <v/>
      </c>
      <c r="F147" t="str">
        <f>IF([1]BASE!F147="","",[1]BASE!F147)</f>
        <v/>
      </c>
      <c r="G147" t="str">
        <f>IF([1]BASE!G147="","",[1]BASE!G147)</f>
        <v/>
      </c>
      <c r="H147" t="str">
        <f>IF([1]BASE!H147="","",[1]BASE!H147)</f>
        <v/>
      </c>
    </row>
    <row r="148" spans="4:8" x14ac:dyDescent="0.25">
      <c r="D148" t="str">
        <f>IF([1]BASE!D148="","",[1]BASE!D148)</f>
        <v/>
      </c>
      <c r="E148" t="str">
        <f>IF([1]BASE!E148="","",[1]BASE!E148)</f>
        <v/>
      </c>
      <c r="F148" t="str">
        <f>IF([1]BASE!F148="","",[1]BASE!F148)</f>
        <v/>
      </c>
      <c r="G148" t="str">
        <f>IF([1]BASE!G148="","",[1]BASE!G148)</f>
        <v/>
      </c>
      <c r="H148" t="str">
        <f>IF([1]BASE!H148="","",[1]BASE!H148)</f>
        <v/>
      </c>
    </row>
    <row r="149" spans="4:8" x14ac:dyDescent="0.25">
      <c r="D149" t="str">
        <f>IF([1]BASE!D149="","",[1]BASE!D149)</f>
        <v/>
      </c>
      <c r="E149" t="str">
        <f>IF([1]BASE!E149="","",[1]BASE!E149)</f>
        <v/>
      </c>
      <c r="F149" t="str">
        <f>IF([1]BASE!F149="","",[1]BASE!F149)</f>
        <v/>
      </c>
      <c r="G149" t="str">
        <f>IF([1]BASE!G149="","",[1]BASE!G149)</f>
        <v/>
      </c>
      <c r="H149" t="str">
        <f>IF([1]BASE!H149="","",[1]BASE!H149)</f>
        <v/>
      </c>
    </row>
    <row r="150" spans="4:8" x14ac:dyDescent="0.25">
      <c r="D150" t="str">
        <f>IF([1]BASE!D150="","",[1]BASE!D150)</f>
        <v/>
      </c>
      <c r="E150" t="str">
        <f>IF([1]BASE!E150="","",[1]BASE!E150)</f>
        <v/>
      </c>
      <c r="F150" t="str">
        <f>IF([1]BASE!F150="","",[1]BASE!F150)</f>
        <v/>
      </c>
      <c r="G150" t="str">
        <f>IF([1]BASE!G150="","",[1]BASE!G150)</f>
        <v/>
      </c>
      <c r="H150" t="str">
        <f>IF([1]BASE!H150="","",[1]BASE!H150)</f>
        <v/>
      </c>
    </row>
    <row r="151" spans="4:8" x14ac:dyDescent="0.25">
      <c r="D151" t="str">
        <f>IF([1]BASE!D151="","",[1]BASE!D151)</f>
        <v/>
      </c>
      <c r="E151" t="str">
        <f>IF([1]BASE!E151="","",[1]BASE!E151)</f>
        <v/>
      </c>
      <c r="F151" t="str">
        <f>IF([1]BASE!F151="","",[1]BASE!F151)</f>
        <v/>
      </c>
      <c r="G151" t="str">
        <f>IF([1]BASE!G151="","",[1]BASE!G151)</f>
        <v/>
      </c>
      <c r="H151" t="str">
        <f>IF([1]BASE!H151="","",[1]BASE!H151)</f>
        <v/>
      </c>
    </row>
    <row r="152" spans="4:8" x14ac:dyDescent="0.25">
      <c r="D152" t="str">
        <f>IF([1]BASE!D152="","",[1]BASE!D152)</f>
        <v/>
      </c>
      <c r="E152" t="str">
        <f>IF([1]BASE!E152="","",[1]BASE!E152)</f>
        <v/>
      </c>
      <c r="F152" t="str">
        <f>IF([1]BASE!F152="","",[1]BASE!F152)</f>
        <v/>
      </c>
      <c r="G152" t="str">
        <f>IF([1]BASE!G152="","",[1]BASE!G152)</f>
        <v/>
      </c>
      <c r="H152" t="str">
        <f>IF([1]BASE!H152="","",[1]BASE!H152)</f>
        <v/>
      </c>
    </row>
    <row r="153" spans="4:8" x14ac:dyDescent="0.25">
      <c r="D153" t="str">
        <f>IF([1]BASE!D153="","",[1]BASE!D153)</f>
        <v/>
      </c>
      <c r="E153" t="str">
        <f>IF([1]BASE!E153="","",[1]BASE!E153)</f>
        <v/>
      </c>
      <c r="F153" t="str">
        <f>IF([1]BASE!F153="","",[1]BASE!F153)</f>
        <v/>
      </c>
      <c r="G153" t="str">
        <f>IF([1]BASE!G153="","",[1]BASE!G153)</f>
        <v/>
      </c>
      <c r="H153" t="str">
        <f>IF([1]BASE!H153="","",[1]BASE!H153)</f>
        <v/>
      </c>
    </row>
    <row r="154" spans="4:8" x14ac:dyDescent="0.25">
      <c r="D154" t="str">
        <f>IF([1]BASE!D154="","",[1]BASE!D154)</f>
        <v/>
      </c>
      <c r="E154" t="str">
        <f>IF([1]BASE!E154="","",[1]BASE!E154)</f>
        <v/>
      </c>
      <c r="F154" t="str">
        <f>IF([1]BASE!F154="","",[1]BASE!F154)</f>
        <v/>
      </c>
      <c r="G154" t="str">
        <f>IF([1]BASE!G154="","",[1]BASE!G154)</f>
        <v/>
      </c>
      <c r="H154" t="str">
        <f>IF([1]BASE!H154="","",[1]BASE!H154)</f>
        <v/>
      </c>
    </row>
    <row r="155" spans="4:8" x14ac:dyDescent="0.25">
      <c r="D155" t="str">
        <f>IF([1]BASE!D155="","",[1]BASE!D155)</f>
        <v/>
      </c>
      <c r="E155" t="str">
        <f>IF([1]BASE!E155="","",[1]BASE!E155)</f>
        <v/>
      </c>
      <c r="F155" t="str">
        <f>IF([1]BASE!F155="","",[1]BASE!F155)</f>
        <v/>
      </c>
      <c r="G155" t="str">
        <f>IF([1]BASE!G155="","",[1]BASE!G155)</f>
        <v/>
      </c>
      <c r="H155" t="str">
        <f>IF([1]BASE!H155="","",[1]BASE!H155)</f>
        <v/>
      </c>
    </row>
    <row r="156" spans="4:8" x14ac:dyDescent="0.25">
      <c r="D156" t="str">
        <f>IF([1]BASE!D156="","",[1]BASE!D156)</f>
        <v/>
      </c>
      <c r="E156" t="str">
        <f>IF([1]BASE!E156="","",[1]BASE!E156)</f>
        <v/>
      </c>
      <c r="F156" t="str">
        <f>IF([1]BASE!F156="","",[1]BASE!F156)</f>
        <v/>
      </c>
      <c r="G156" t="str">
        <f>IF([1]BASE!G156="","",[1]BASE!G156)</f>
        <v/>
      </c>
      <c r="H156" t="str">
        <f>IF([1]BASE!H156="","",[1]BASE!H156)</f>
        <v/>
      </c>
    </row>
    <row r="157" spans="4:8" x14ac:dyDescent="0.25">
      <c r="D157" t="str">
        <f>IF([1]BASE!D157="","",[1]BASE!D157)</f>
        <v/>
      </c>
      <c r="E157" t="str">
        <f>IF([1]BASE!E157="","",[1]BASE!E157)</f>
        <v/>
      </c>
      <c r="F157" t="str">
        <f>IF([1]BASE!F157="","",[1]BASE!F157)</f>
        <v/>
      </c>
      <c r="G157" t="str">
        <f>IF([1]BASE!G157="","",[1]BASE!G157)</f>
        <v/>
      </c>
      <c r="H157" t="str">
        <f>IF([1]BASE!H157="","",[1]BASE!H157)</f>
        <v/>
      </c>
    </row>
    <row r="158" spans="4:8" x14ac:dyDescent="0.25">
      <c r="D158" t="str">
        <f>IF([1]BASE!D158="","",[1]BASE!D158)</f>
        <v/>
      </c>
      <c r="E158" t="str">
        <f>IF([1]BASE!E158="","",[1]BASE!E158)</f>
        <v/>
      </c>
      <c r="F158" t="str">
        <f>IF([1]BASE!F158="","",[1]BASE!F158)</f>
        <v/>
      </c>
      <c r="G158" t="str">
        <f>IF([1]BASE!G158="","",[1]BASE!G158)</f>
        <v/>
      </c>
      <c r="H158" t="str">
        <f>IF([1]BASE!H158="","",[1]BASE!H158)</f>
        <v/>
      </c>
    </row>
    <row r="159" spans="4:8" x14ac:dyDescent="0.25">
      <c r="D159" t="str">
        <f>IF([1]BASE!D159="","",[1]BASE!D159)</f>
        <v/>
      </c>
      <c r="E159" t="str">
        <f>IF([1]BASE!E159="","",[1]BASE!E159)</f>
        <v/>
      </c>
      <c r="F159" t="str">
        <f>IF([1]BASE!F159="","",[1]BASE!F159)</f>
        <v/>
      </c>
      <c r="G159" t="str">
        <f>IF([1]BASE!G159="","",[1]BASE!G159)</f>
        <v/>
      </c>
      <c r="H159" t="str">
        <f>IF([1]BASE!H159="","",[1]BASE!H159)</f>
        <v/>
      </c>
    </row>
    <row r="160" spans="4:8" x14ac:dyDescent="0.25">
      <c r="D160" t="str">
        <f>IF([1]BASE!D160="","",[1]BASE!D160)</f>
        <v/>
      </c>
      <c r="E160" t="str">
        <f>IF([1]BASE!E160="","",[1]BASE!E160)</f>
        <v/>
      </c>
      <c r="F160" t="str">
        <f>IF([1]BASE!F160="","",[1]BASE!F160)</f>
        <v/>
      </c>
      <c r="G160" t="str">
        <f>IF([1]BASE!G160="","",[1]BASE!G160)</f>
        <v/>
      </c>
      <c r="H160" t="str">
        <f>IF([1]BASE!H160="","",[1]BASE!H160)</f>
        <v/>
      </c>
    </row>
    <row r="161" spans="4:8" x14ac:dyDescent="0.25">
      <c r="D161" t="str">
        <f>IF([1]BASE!D161="","",[1]BASE!D161)</f>
        <v/>
      </c>
      <c r="E161" t="str">
        <f>IF([1]BASE!E161="","",[1]BASE!E161)</f>
        <v/>
      </c>
      <c r="F161" t="str">
        <f>IF([1]BASE!F161="","",[1]BASE!F161)</f>
        <v/>
      </c>
      <c r="G161" t="str">
        <f>IF([1]BASE!G161="","",[1]BASE!G161)</f>
        <v/>
      </c>
      <c r="H161" t="str">
        <f>IF([1]BASE!H161="","",[1]BASE!H161)</f>
        <v/>
      </c>
    </row>
    <row r="162" spans="4:8" x14ac:dyDescent="0.25">
      <c r="D162" t="str">
        <f>IF([1]BASE!D162="","",[1]BASE!D162)</f>
        <v/>
      </c>
      <c r="E162" t="str">
        <f>IF([1]BASE!E162="","",[1]BASE!E162)</f>
        <v/>
      </c>
      <c r="F162" t="str">
        <f>IF([1]BASE!F162="","",[1]BASE!F162)</f>
        <v/>
      </c>
      <c r="G162" t="str">
        <f>IF([1]BASE!G162="","",[1]BASE!G162)</f>
        <v/>
      </c>
      <c r="H162" t="str">
        <f>IF([1]BASE!H162="","",[1]BASE!H162)</f>
        <v/>
      </c>
    </row>
    <row r="163" spans="4:8" x14ac:dyDescent="0.25">
      <c r="D163" t="str">
        <f>IF([1]BASE!D163="","",[1]BASE!D163)</f>
        <v/>
      </c>
      <c r="E163" t="str">
        <f>IF([1]BASE!E163="","",[1]BASE!E163)</f>
        <v/>
      </c>
      <c r="F163" t="str">
        <f>IF([1]BASE!F163="","",[1]BASE!F163)</f>
        <v/>
      </c>
      <c r="G163" t="str">
        <f>IF([1]BASE!G163="","",[1]BASE!G163)</f>
        <v/>
      </c>
      <c r="H163" t="str">
        <f>IF([1]BASE!H163="","",[1]BASE!H163)</f>
        <v/>
      </c>
    </row>
    <row r="164" spans="4:8" x14ac:dyDescent="0.25">
      <c r="D164" t="str">
        <f>IF([1]BASE!D164="","",[1]BASE!D164)</f>
        <v/>
      </c>
      <c r="E164" t="str">
        <f>IF([1]BASE!E164="","",[1]BASE!E164)</f>
        <v/>
      </c>
      <c r="F164" t="str">
        <f>IF([1]BASE!F164="","",[1]BASE!F164)</f>
        <v/>
      </c>
      <c r="G164" t="str">
        <f>IF([1]BASE!G164="","",[1]BASE!G164)</f>
        <v/>
      </c>
      <c r="H164" t="str">
        <f>IF([1]BASE!H164="","",[1]BASE!H164)</f>
        <v/>
      </c>
    </row>
    <row r="165" spans="4:8" x14ac:dyDescent="0.25">
      <c r="D165" t="str">
        <f>IF([1]BASE!D165="","",[1]BASE!D165)</f>
        <v/>
      </c>
      <c r="E165" t="str">
        <f>IF([1]BASE!E165="","",[1]BASE!E165)</f>
        <v/>
      </c>
      <c r="F165" t="str">
        <f>IF([1]BASE!F165="","",[1]BASE!F165)</f>
        <v/>
      </c>
      <c r="G165" t="str">
        <f>IF([1]BASE!G165="","",[1]BASE!G165)</f>
        <v/>
      </c>
      <c r="H165" t="str">
        <f>IF([1]BASE!H165="","",[1]BASE!H165)</f>
        <v/>
      </c>
    </row>
    <row r="166" spans="4:8" x14ac:dyDescent="0.25">
      <c r="D166" t="str">
        <f>IF([1]BASE!D166="","",[1]BASE!D166)</f>
        <v/>
      </c>
      <c r="E166" t="str">
        <f>IF([1]BASE!E166="","",[1]BASE!E166)</f>
        <v/>
      </c>
      <c r="F166" t="str">
        <f>IF([1]BASE!F166="","",[1]BASE!F166)</f>
        <v/>
      </c>
      <c r="G166" t="str">
        <f>IF([1]BASE!G166="","",[1]BASE!G166)</f>
        <v/>
      </c>
      <c r="H166" t="str">
        <f>IF([1]BASE!H166="","",[1]BASE!H166)</f>
        <v/>
      </c>
    </row>
    <row r="167" spans="4:8" x14ac:dyDescent="0.25">
      <c r="D167" t="str">
        <f>IF([1]BASE!D167="","",[1]BASE!D167)</f>
        <v/>
      </c>
      <c r="E167" t="str">
        <f>IF([1]BASE!E167="","",[1]BASE!E167)</f>
        <v/>
      </c>
      <c r="F167" t="str">
        <f>IF([1]BASE!F167="","",[1]BASE!F167)</f>
        <v/>
      </c>
      <c r="G167" t="str">
        <f>IF([1]BASE!G167="","",[1]BASE!G167)</f>
        <v/>
      </c>
      <c r="H167" t="str">
        <f>IF([1]BASE!H167="","",[1]BASE!H167)</f>
        <v/>
      </c>
    </row>
    <row r="168" spans="4:8" x14ac:dyDescent="0.25">
      <c r="D168" t="str">
        <f>IF([1]BASE!D168="","",[1]BASE!D168)</f>
        <v/>
      </c>
      <c r="E168" t="str">
        <f>IF([1]BASE!E168="","",[1]BASE!E168)</f>
        <v/>
      </c>
      <c r="F168" t="str">
        <f>IF([1]BASE!F168="","",[1]BASE!F168)</f>
        <v/>
      </c>
      <c r="G168" t="str">
        <f>IF([1]BASE!G168="","",[1]BASE!G168)</f>
        <v/>
      </c>
      <c r="H168" t="str">
        <f>IF([1]BASE!H168="","",[1]BASE!H168)</f>
        <v/>
      </c>
    </row>
    <row r="169" spans="4:8" x14ac:dyDescent="0.25">
      <c r="D169" t="str">
        <f>IF([1]BASE!D169="","",[1]BASE!D169)</f>
        <v/>
      </c>
      <c r="E169" t="str">
        <f>IF([1]BASE!E169="","",[1]BASE!E169)</f>
        <v/>
      </c>
      <c r="F169" t="str">
        <f>IF([1]BASE!F169="","",[1]BASE!F169)</f>
        <v/>
      </c>
      <c r="G169" t="str">
        <f>IF([1]BASE!G169="","",[1]BASE!G169)</f>
        <v/>
      </c>
      <c r="H169" t="str">
        <f>IF([1]BASE!H169="","",[1]BASE!H169)</f>
        <v/>
      </c>
    </row>
    <row r="170" spans="4:8" x14ac:dyDescent="0.25">
      <c r="D170" t="str">
        <f>IF([1]BASE!D170="","",[1]BASE!D170)</f>
        <v/>
      </c>
      <c r="E170" t="str">
        <f>IF([1]BASE!E170="","",[1]BASE!E170)</f>
        <v/>
      </c>
      <c r="F170" t="str">
        <f>IF([1]BASE!F170="","",[1]BASE!F170)</f>
        <v/>
      </c>
      <c r="G170" t="str">
        <f>IF([1]BASE!G170="","",[1]BASE!G170)</f>
        <v/>
      </c>
      <c r="H170" t="str">
        <f>IF([1]BASE!H170="","",[1]BASE!H170)</f>
        <v/>
      </c>
    </row>
    <row r="171" spans="4:8" x14ac:dyDescent="0.25">
      <c r="D171" t="str">
        <f>IF([1]BASE!D171="","",[1]BASE!D171)</f>
        <v/>
      </c>
      <c r="E171" t="str">
        <f>IF([1]BASE!E171="","",[1]BASE!E171)</f>
        <v/>
      </c>
      <c r="F171" t="str">
        <f>IF([1]BASE!F171="","",[1]BASE!F171)</f>
        <v/>
      </c>
      <c r="G171" t="str">
        <f>IF([1]BASE!G171="","",[1]BASE!G171)</f>
        <v/>
      </c>
      <c r="H171" t="str">
        <f>IF([1]BASE!H171="","",[1]BASE!H171)</f>
        <v/>
      </c>
    </row>
    <row r="172" spans="4:8" x14ac:dyDescent="0.25">
      <c r="D172" t="str">
        <f>IF([1]BASE!D172="","",[1]BASE!D172)</f>
        <v/>
      </c>
      <c r="E172" t="str">
        <f>IF([1]BASE!E172="","",[1]BASE!E172)</f>
        <v/>
      </c>
      <c r="F172" t="str">
        <f>IF([1]BASE!F172="","",[1]BASE!F172)</f>
        <v/>
      </c>
      <c r="G172" t="str">
        <f>IF([1]BASE!G172="","",[1]BASE!G172)</f>
        <v/>
      </c>
      <c r="H172" t="str">
        <f>IF([1]BASE!H172="","",[1]BASE!H172)</f>
        <v/>
      </c>
    </row>
    <row r="173" spans="4:8" x14ac:dyDescent="0.25">
      <c r="D173" t="str">
        <f>IF([1]BASE!D173="","",[1]BASE!D173)</f>
        <v/>
      </c>
      <c r="E173" t="str">
        <f>IF([1]BASE!E173="","",[1]BASE!E173)</f>
        <v/>
      </c>
      <c r="F173" t="str">
        <f>IF([1]BASE!F173="","",[1]BASE!F173)</f>
        <v/>
      </c>
      <c r="G173" t="str">
        <f>IF([1]BASE!G173="","",[1]BASE!G173)</f>
        <v/>
      </c>
      <c r="H173" t="str">
        <f>IF([1]BASE!H173="","",[1]BASE!H173)</f>
        <v/>
      </c>
    </row>
    <row r="174" spans="4:8" x14ac:dyDescent="0.25">
      <c r="D174" t="str">
        <f>IF([1]BASE!D174="","",[1]BASE!D174)</f>
        <v/>
      </c>
      <c r="E174" t="str">
        <f>IF([1]BASE!E174="","",[1]BASE!E174)</f>
        <v/>
      </c>
      <c r="F174" t="str">
        <f>IF([1]BASE!F174="","",[1]BASE!F174)</f>
        <v/>
      </c>
      <c r="G174" t="str">
        <f>IF([1]BASE!G174="","",[1]BASE!G174)</f>
        <v/>
      </c>
      <c r="H174" t="str">
        <f>IF([1]BASE!H174="","",[1]BASE!H174)</f>
        <v/>
      </c>
    </row>
    <row r="175" spans="4:8" x14ac:dyDescent="0.25">
      <c r="D175" t="str">
        <f>IF([1]BASE!D175="","",[1]BASE!D175)</f>
        <v/>
      </c>
      <c r="E175" t="str">
        <f>IF([1]BASE!E175="","",[1]BASE!E175)</f>
        <v/>
      </c>
      <c r="F175" t="str">
        <f>IF([1]BASE!F175="","",[1]BASE!F175)</f>
        <v/>
      </c>
      <c r="G175" t="str">
        <f>IF([1]BASE!G175="","",[1]BASE!G175)</f>
        <v/>
      </c>
      <c r="H175" t="str">
        <f>IF([1]BASE!H175="","",[1]BASE!H175)</f>
        <v/>
      </c>
    </row>
    <row r="176" spans="4:8" x14ac:dyDescent="0.25">
      <c r="D176" t="str">
        <f>IF([1]BASE!D176="","",[1]BASE!D176)</f>
        <v/>
      </c>
      <c r="E176" t="str">
        <f>IF([1]BASE!E176="","",[1]BASE!E176)</f>
        <v/>
      </c>
      <c r="F176" t="str">
        <f>IF([1]BASE!F176="","",[1]BASE!F176)</f>
        <v/>
      </c>
      <c r="G176" t="str">
        <f>IF([1]BASE!G176="","",[1]BASE!G176)</f>
        <v/>
      </c>
      <c r="H176" t="str">
        <f>IF([1]BASE!H176="","",[1]BASE!H176)</f>
        <v/>
      </c>
    </row>
    <row r="177" spans="4:8" x14ac:dyDescent="0.25">
      <c r="D177" t="str">
        <f>IF([1]BASE!D177="","",[1]BASE!D177)</f>
        <v/>
      </c>
      <c r="E177" t="str">
        <f>IF([1]BASE!E177="","",[1]BASE!E177)</f>
        <v/>
      </c>
      <c r="F177" t="str">
        <f>IF([1]BASE!F177="","",[1]BASE!F177)</f>
        <v/>
      </c>
      <c r="G177" t="str">
        <f>IF([1]BASE!G177="","",[1]BASE!G177)</f>
        <v/>
      </c>
      <c r="H177" t="str">
        <f>IF([1]BASE!H177="","",[1]BASE!H177)</f>
        <v/>
      </c>
    </row>
    <row r="178" spans="4:8" x14ac:dyDescent="0.25">
      <c r="D178" t="str">
        <f>IF([1]BASE!D178="","",[1]BASE!D178)</f>
        <v/>
      </c>
      <c r="E178" t="str">
        <f>IF([1]BASE!E178="","",[1]BASE!E178)</f>
        <v/>
      </c>
      <c r="F178" t="str">
        <f>IF([1]BASE!F178="","",[1]BASE!F178)</f>
        <v/>
      </c>
      <c r="G178" t="str">
        <f>IF([1]BASE!G178="","",[1]BASE!G178)</f>
        <v/>
      </c>
      <c r="H178" t="str">
        <f>IF([1]BASE!H178="","",[1]BASE!H178)</f>
        <v/>
      </c>
    </row>
    <row r="179" spans="4:8" x14ac:dyDescent="0.25">
      <c r="D179" t="str">
        <f>IF([1]BASE!D179="","",[1]BASE!D179)</f>
        <v/>
      </c>
      <c r="E179" t="str">
        <f>IF([1]BASE!E179="","",[1]BASE!E179)</f>
        <v/>
      </c>
      <c r="F179" t="str">
        <f>IF([1]BASE!F179="","",[1]BASE!F179)</f>
        <v/>
      </c>
      <c r="G179" t="str">
        <f>IF([1]BASE!G179="","",[1]BASE!G179)</f>
        <v/>
      </c>
      <c r="H179" t="str">
        <f>IF([1]BASE!H179="","",[1]BASE!H179)</f>
        <v/>
      </c>
    </row>
    <row r="180" spans="4:8" x14ac:dyDescent="0.25">
      <c r="D180" t="str">
        <f>IF([1]BASE!D180="","",[1]BASE!D180)</f>
        <v/>
      </c>
      <c r="E180" t="str">
        <f>IF([1]BASE!E180="","",[1]BASE!E180)</f>
        <v/>
      </c>
      <c r="F180" t="str">
        <f>IF([1]BASE!F180="","",[1]BASE!F180)</f>
        <v/>
      </c>
      <c r="G180" t="str">
        <f>IF([1]BASE!G180="","",[1]BASE!G180)</f>
        <v/>
      </c>
      <c r="H180" t="str">
        <f>IF([1]BASE!H180="","",[1]BASE!H180)</f>
        <v/>
      </c>
    </row>
    <row r="181" spans="4:8" x14ac:dyDescent="0.25">
      <c r="D181" t="str">
        <f>IF([1]BASE!D181="","",[1]BASE!D181)</f>
        <v/>
      </c>
      <c r="E181" t="str">
        <f>IF([1]BASE!E181="","",[1]BASE!E181)</f>
        <v/>
      </c>
      <c r="F181" t="str">
        <f>IF([1]BASE!F181="","",[1]BASE!F181)</f>
        <v/>
      </c>
      <c r="G181" t="str">
        <f>IF([1]BASE!G181="","",[1]BASE!G181)</f>
        <v/>
      </c>
      <c r="H181" t="str">
        <f>IF([1]BASE!H181="","",[1]BASE!H181)</f>
        <v/>
      </c>
    </row>
    <row r="182" spans="4:8" x14ac:dyDescent="0.25">
      <c r="D182" t="str">
        <f>IF([1]BASE!D182="","",[1]BASE!D182)</f>
        <v/>
      </c>
      <c r="E182" t="str">
        <f>IF([1]BASE!E182="","",[1]BASE!E182)</f>
        <v/>
      </c>
      <c r="F182" t="str">
        <f>IF([1]BASE!F182="","",[1]BASE!F182)</f>
        <v/>
      </c>
      <c r="G182" t="str">
        <f>IF([1]BASE!G182="","",[1]BASE!G182)</f>
        <v/>
      </c>
      <c r="H182" t="str">
        <f>IF([1]BASE!H182="","",[1]BASE!H182)</f>
        <v/>
      </c>
    </row>
    <row r="183" spans="4:8" x14ac:dyDescent="0.25">
      <c r="D183" t="str">
        <f>IF([1]BASE!D183="","",[1]BASE!D183)</f>
        <v/>
      </c>
      <c r="E183" t="str">
        <f>IF([1]BASE!E183="","",[1]BASE!E183)</f>
        <v/>
      </c>
      <c r="F183" t="str">
        <f>IF([1]BASE!F183="","",[1]BASE!F183)</f>
        <v/>
      </c>
      <c r="G183" t="str">
        <f>IF([1]BASE!G183="","",[1]BASE!G183)</f>
        <v/>
      </c>
      <c r="H183" t="str">
        <f>IF([1]BASE!H183="","",[1]BASE!H183)</f>
        <v/>
      </c>
    </row>
    <row r="184" spans="4:8" x14ac:dyDescent="0.25">
      <c r="D184" t="str">
        <f>IF([1]BASE!D184="","",[1]BASE!D184)</f>
        <v/>
      </c>
      <c r="E184" t="str">
        <f>IF([1]BASE!E184="","",[1]BASE!E184)</f>
        <v/>
      </c>
      <c r="F184" t="str">
        <f>IF([1]BASE!F184="","",[1]BASE!F184)</f>
        <v/>
      </c>
      <c r="G184" t="str">
        <f>IF([1]BASE!G184="","",[1]BASE!G184)</f>
        <v/>
      </c>
      <c r="H184" t="str">
        <f>IF([1]BASE!H184="","",[1]BASE!H184)</f>
        <v/>
      </c>
    </row>
    <row r="185" spans="4:8" x14ac:dyDescent="0.25">
      <c r="D185" t="str">
        <f>IF([1]BASE!D185="","",[1]BASE!D185)</f>
        <v/>
      </c>
      <c r="E185" t="str">
        <f>IF([1]BASE!E185="","",[1]BASE!E185)</f>
        <v/>
      </c>
      <c r="F185" t="str">
        <f>IF([1]BASE!F185="","",[1]BASE!F185)</f>
        <v/>
      </c>
      <c r="G185" t="str">
        <f>IF([1]BASE!G185="","",[1]BASE!G185)</f>
        <v/>
      </c>
      <c r="H185" t="str">
        <f>IF([1]BASE!H185="","",[1]BASE!H185)</f>
        <v/>
      </c>
    </row>
    <row r="186" spans="4:8" x14ac:dyDescent="0.25">
      <c r="D186" t="str">
        <f>IF([1]BASE!D186="","",[1]BASE!D186)</f>
        <v/>
      </c>
      <c r="E186" t="str">
        <f>IF([1]BASE!E186="","",[1]BASE!E186)</f>
        <v/>
      </c>
      <c r="F186" t="str">
        <f>IF([1]BASE!F186="","",[1]BASE!F186)</f>
        <v/>
      </c>
      <c r="G186" t="str">
        <f>IF([1]BASE!G186="","",[1]BASE!G186)</f>
        <v/>
      </c>
      <c r="H186" t="str">
        <f>IF([1]BASE!H186="","",[1]BASE!H186)</f>
        <v/>
      </c>
    </row>
    <row r="187" spans="4:8" x14ac:dyDescent="0.25">
      <c r="D187" t="str">
        <f>IF([1]BASE!D187="","",[1]BASE!D187)</f>
        <v/>
      </c>
      <c r="E187" t="str">
        <f>IF([1]BASE!E187="","",[1]BASE!E187)</f>
        <v/>
      </c>
      <c r="F187" t="str">
        <f>IF([1]BASE!F187="","",[1]BASE!F187)</f>
        <v/>
      </c>
      <c r="G187" t="str">
        <f>IF([1]BASE!G187="","",[1]BASE!G187)</f>
        <v/>
      </c>
      <c r="H187" t="str">
        <f>IF([1]BASE!H187="","",[1]BASE!H187)</f>
        <v/>
      </c>
    </row>
    <row r="188" spans="4:8" x14ac:dyDescent="0.25">
      <c r="D188" t="str">
        <f>IF([1]BASE!D188="","",[1]BASE!D188)</f>
        <v/>
      </c>
      <c r="E188" t="str">
        <f>IF([1]BASE!E188="","",[1]BASE!E188)</f>
        <v/>
      </c>
      <c r="F188" t="str">
        <f>IF([1]BASE!F188="","",[1]BASE!F188)</f>
        <v/>
      </c>
      <c r="G188" t="str">
        <f>IF([1]BASE!G188="","",[1]BASE!G188)</f>
        <v/>
      </c>
      <c r="H188" t="str">
        <f>IF([1]BASE!H188="","",[1]BASE!H188)</f>
        <v/>
      </c>
    </row>
    <row r="189" spans="4:8" x14ac:dyDescent="0.25">
      <c r="D189" t="str">
        <f>IF([1]BASE!D189="","",[1]BASE!D189)</f>
        <v/>
      </c>
      <c r="E189" t="str">
        <f>IF([1]BASE!E189="","",[1]BASE!E189)</f>
        <v/>
      </c>
      <c r="F189" t="str">
        <f>IF([1]BASE!F189="","",[1]BASE!F189)</f>
        <v/>
      </c>
      <c r="G189" t="str">
        <f>IF([1]BASE!G189="","",[1]BASE!G189)</f>
        <v/>
      </c>
      <c r="H189" t="str">
        <f>IF([1]BASE!H189="","",[1]BASE!H189)</f>
        <v/>
      </c>
    </row>
    <row r="190" spans="4:8" x14ac:dyDescent="0.25">
      <c r="D190" t="str">
        <f>IF([1]BASE!D190="","",[1]BASE!D190)</f>
        <v/>
      </c>
      <c r="E190" t="str">
        <f>IF([1]BASE!E190="","",[1]BASE!E190)</f>
        <v/>
      </c>
      <c r="F190" t="str">
        <f>IF([1]BASE!F190="","",[1]BASE!F190)</f>
        <v/>
      </c>
      <c r="G190" t="str">
        <f>IF([1]BASE!G190="","",[1]BASE!G190)</f>
        <v/>
      </c>
      <c r="H190" t="str">
        <f>IF([1]BASE!H190="","",[1]BASE!H190)</f>
        <v/>
      </c>
    </row>
    <row r="191" spans="4:8" x14ac:dyDescent="0.25">
      <c r="D191" t="str">
        <f>IF([1]BASE!D191="","",[1]BASE!D191)</f>
        <v/>
      </c>
      <c r="E191" t="str">
        <f>IF([1]BASE!E191="","",[1]BASE!E191)</f>
        <v/>
      </c>
      <c r="F191" t="str">
        <f>IF([1]BASE!F191="","",[1]BASE!F191)</f>
        <v/>
      </c>
      <c r="G191" t="str">
        <f>IF([1]BASE!G191="","",[1]BASE!G191)</f>
        <v/>
      </c>
      <c r="H191" t="str">
        <f>IF([1]BASE!H191="","",[1]BASE!H191)</f>
        <v/>
      </c>
    </row>
    <row r="192" spans="4:8" x14ac:dyDescent="0.25">
      <c r="D192" t="str">
        <f>IF([1]BASE!D192="","",[1]BASE!D192)</f>
        <v/>
      </c>
      <c r="E192" t="str">
        <f>IF([1]BASE!E192="","",[1]BASE!E192)</f>
        <v/>
      </c>
      <c r="F192" t="str">
        <f>IF([1]BASE!F192="","",[1]BASE!F192)</f>
        <v/>
      </c>
      <c r="G192" t="str">
        <f>IF([1]BASE!G192="","",[1]BASE!G192)</f>
        <v/>
      </c>
      <c r="H192" t="str">
        <f>IF([1]BASE!H192="","",[1]BASE!H192)</f>
        <v/>
      </c>
    </row>
    <row r="193" spans="4:8" x14ac:dyDescent="0.25">
      <c r="D193" t="str">
        <f>IF([1]BASE!D193="","",[1]BASE!D193)</f>
        <v/>
      </c>
      <c r="E193" t="str">
        <f>IF([1]BASE!E193="","",[1]BASE!E193)</f>
        <v/>
      </c>
      <c r="F193" t="str">
        <f>IF([1]BASE!F193="","",[1]BASE!F193)</f>
        <v/>
      </c>
      <c r="G193" t="str">
        <f>IF([1]BASE!G193="","",[1]BASE!G193)</f>
        <v/>
      </c>
      <c r="H193" t="str">
        <f>IF([1]BASE!H193="","",[1]BASE!H193)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2021-05-07T19:09:23Z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