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rinterSettings/printerSettings1.bin" ContentType="application/vnd.openxmlformats-officedocument.spreadsheetml.printerSettings"/>
  <Override PartName="/xl/pivotTables/pivotTable1.xml" ContentType="application/vnd.openxmlformats-officedocument.spreadsheetml.pivotTable+xml"/>
  <Override PartName="/xl/printerSettings/printerSettings2.bin" ContentType="application/vnd.openxmlformats-officedocument.spreadsheetml.printerSettings"/>
  <Override PartName="/xl/comments1.xml" ContentType="application/vnd.openxmlformats-officedocument.spreadsheetml.comments+xml"/>
  <Override PartName="/xl/printerSettings/printerSettings3.bin" ContentType="application/vnd.openxmlformats-officedocument.spreadsheetml.printerSettings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PROJETOS\GOBI\COFCO\2021\PAsta50\"/>
    </mc:Choice>
  </mc:AlternateContent>
  <xr:revisionPtr revIDLastSave="0" documentId="13_ncr:1_{D477A605-3FB9-4D4C-A4FE-0DFABD5BED6E}" xr6:coauthVersionLast="46" xr6:coauthVersionMax="46" xr10:uidLastSave="{00000000-0000-0000-0000-000000000000}"/>
  <bookViews>
    <workbookView xWindow="-120" yWindow="-120" windowWidth="24240" windowHeight="17790" activeTab="3" xr2:uid="{00000000-000D-0000-FFFF-FFFF00000000}"/>
  </bookViews>
  <sheets>
    <sheet name="Report" sheetId="1" r:id="rId1"/>
    <sheet name="FILTRO" sheetId="4" r:id="rId2"/>
    <sheet name="BASE" sheetId="3" r:id="rId3"/>
    <sheet name="LAYOUT" sheetId="2" r:id="rId4"/>
    <sheet name="Executa" sheetId="5" r:id="rId5"/>
  </sheets>
  <functionGroups builtInGroupCount="19"/>
  <definedNames>
    <definedName name="_xlnm._FilterDatabase" localSheetId="1" hidden="1">FILTRO!$A$1:$AD$102</definedName>
    <definedName name="_xlnm._FilterDatabase" localSheetId="0" hidden="1">Report!#REF!</definedName>
    <definedName name="lista_Valores">OFFSET(FILTRO!$A$1,0,0,COUNTA(FILTRO!$A:$A),COUNTA(FILTRO!$1:$1))</definedName>
  </definedNames>
  <calcPr calcId="181029"/>
  <pivotCaches>
    <pivotCache cacheId="0" r:id="rId6"/>
  </pivotCaches>
</workbook>
</file>

<file path=xl/calcChain.xml><?xml version="1.0" encoding="utf-8"?>
<calcChain xmlns="http://schemas.openxmlformats.org/spreadsheetml/2006/main">
  <c r="AD1" i="1" l="1"/>
  <c r="AD2" i="1"/>
  <c r="AD3" i="1"/>
  <c r="AD4" i="1"/>
  <c r="AD5" i="1"/>
  <c r="AD6" i="1"/>
  <c r="AD7" i="1"/>
  <c r="AD8" i="1"/>
  <c r="AD9" i="1"/>
  <c r="AD10" i="1"/>
  <c r="AD11" i="1"/>
  <c r="AD12" i="1"/>
  <c r="AD13" i="1"/>
  <c r="AD14" i="1"/>
  <c r="AD15" i="1"/>
  <c r="AD16" i="1"/>
  <c r="AD17" i="1"/>
  <c r="AD18" i="1"/>
  <c r="AD19" i="1"/>
  <c r="AD20" i="1"/>
  <c r="AD21" i="1"/>
  <c r="AD22" i="1"/>
  <c r="AD23" i="1"/>
  <c r="AD24" i="1"/>
  <c r="AD25" i="1"/>
  <c r="AD26" i="1"/>
  <c r="AD27" i="1"/>
  <c r="AD28" i="1"/>
  <c r="AD29" i="1"/>
  <c r="AD30" i="1"/>
  <c r="AD31" i="1"/>
  <c r="AD32" i="1"/>
  <c r="AD33" i="1"/>
  <c r="AD34" i="1"/>
  <c r="AD35" i="1"/>
  <c r="AD36" i="1"/>
  <c r="AD37" i="1"/>
  <c r="AD38" i="1"/>
  <c r="AD39" i="1"/>
  <c r="AD40" i="1"/>
  <c r="AD41" i="1"/>
  <c r="AD42" i="1"/>
  <c r="AD43" i="1"/>
  <c r="AD44" i="1"/>
  <c r="AD45" i="1"/>
  <c r="AD46" i="1"/>
  <c r="AD47" i="1"/>
  <c r="AD48" i="1"/>
  <c r="AD49" i="1"/>
  <c r="AD50" i="1"/>
  <c r="AD51" i="1"/>
  <c r="AD52" i="1"/>
  <c r="AD53" i="1"/>
  <c r="AD54" i="1"/>
  <c r="AD55" i="1"/>
  <c r="AD56" i="1"/>
  <c r="AD57" i="1"/>
  <c r="AD58" i="1"/>
  <c r="AD59" i="1"/>
  <c r="AD60" i="1"/>
  <c r="AD61" i="1"/>
  <c r="AD62" i="1"/>
  <c r="AD63" i="1"/>
  <c r="AD64" i="1"/>
  <c r="AD65" i="1"/>
  <c r="AD66" i="1"/>
  <c r="AD67" i="1"/>
  <c r="AD68" i="1"/>
  <c r="AD69" i="1"/>
  <c r="AD70" i="1"/>
  <c r="AD71" i="1"/>
  <c r="AD72" i="1"/>
  <c r="AD73" i="1"/>
  <c r="AD74" i="1"/>
  <c r="AD75" i="1"/>
  <c r="AD76" i="1"/>
  <c r="AD77" i="1"/>
  <c r="AD78" i="1"/>
  <c r="AD79" i="1"/>
  <c r="AD80" i="1"/>
  <c r="AD81" i="1"/>
  <c r="AD82" i="1"/>
  <c r="AD83" i="1"/>
  <c r="AD84" i="1"/>
  <c r="AD85" i="1"/>
  <c r="AD86" i="1"/>
  <c r="AD87" i="1"/>
  <c r="AD88" i="1"/>
  <c r="AD89" i="1"/>
  <c r="AD90" i="1"/>
  <c r="AD91" i="1"/>
  <c r="AD92" i="1"/>
  <c r="AD93" i="1"/>
  <c r="AD94" i="1"/>
  <c r="AD95" i="1"/>
  <c r="AD96" i="1"/>
  <c r="AD97" i="1"/>
  <c r="AD98" i="1"/>
  <c r="AD99" i="1"/>
  <c r="AD100" i="1"/>
  <c r="AD101" i="1"/>
  <c r="F7" i="2" l="1"/>
  <c r="C7" i="2"/>
  <c r="J45" i="3" l="1"/>
  <c r="J46" i="3"/>
  <c r="J47" i="3"/>
  <c r="J48" i="3"/>
  <c r="J49" i="3"/>
  <c r="J50" i="3"/>
  <c r="J51" i="3"/>
  <c r="J52" i="3"/>
  <c r="J53" i="3"/>
  <c r="J54" i="3"/>
  <c r="J10" i="3"/>
  <c r="J11" i="3" s="1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J34" i="3"/>
  <c r="J35" i="3"/>
  <c r="J36" i="3"/>
  <c r="J37" i="3"/>
  <c r="J38" i="3"/>
  <c r="J39" i="3"/>
  <c r="J40" i="3"/>
  <c r="J41" i="3"/>
  <c r="J42" i="3"/>
  <c r="J43" i="3"/>
  <c r="J44" i="3"/>
  <c r="J6" i="3"/>
  <c r="J7" i="3" s="1"/>
  <c r="J8" i="3" s="1"/>
  <c r="J9" i="3" s="1"/>
  <c r="AD1" i="4"/>
  <c r="C12" i="3" l="1"/>
  <c r="C11" i="3" l="1"/>
  <c r="C10" i="3" l="1"/>
  <c r="B10" i="2" l="1"/>
  <c r="A10" i="2" s="1"/>
  <c r="C4" i="2" l="1"/>
  <c r="C3" i="3" l="1"/>
  <c r="C4" i="3"/>
  <c r="C5" i="3"/>
  <c r="C6" i="3"/>
  <c r="C7" i="3"/>
  <c r="C8" i="3"/>
  <c r="C9" i="3"/>
  <c r="C2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edeoliveira</author>
  </authors>
  <commentList>
    <comment ref="H2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edeoliveira:</t>
        </r>
        <r>
          <rPr>
            <sz val="9"/>
            <color indexed="81"/>
            <rFont val="Tahoma"/>
            <family val="2"/>
          </rPr>
          <t xml:space="preserve">
CNPJ TBO
FABRICA OU ALL</t>
        </r>
      </text>
    </comment>
    <comment ref="H3" authorId="0" shapeId="0" xr:uid="{00000000-0006-0000-0200-000002000000}">
      <text>
        <r>
          <rPr>
            <b/>
            <sz val="9"/>
            <color indexed="81"/>
            <rFont val="Tahoma"/>
            <family val="2"/>
          </rPr>
          <t>edeoliveira:</t>
        </r>
        <r>
          <rPr>
            <sz val="9"/>
            <color indexed="81"/>
            <rFont val="Tahoma"/>
            <family val="2"/>
          </rPr>
          <t xml:space="preserve">
CNPJ TBO
FABRICA OU ALL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edeoliveira</author>
  </authors>
  <commentList>
    <comment ref="C7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edeoliveira:</t>
        </r>
        <r>
          <rPr>
            <sz val="9"/>
            <color indexed="81"/>
            <rFont val="Tahoma"/>
            <family val="2"/>
          </rPr>
          <t xml:space="preserve">
CNPJ TBO
FABRICA OU ALL</t>
        </r>
      </text>
    </comment>
  </commentList>
</comments>
</file>

<file path=xl/sharedStrings.xml><?xml version="1.0" encoding="utf-8"?>
<sst xmlns="http://schemas.openxmlformats.org/spreadsheetml/2006/main" count="2162" uniqueCount="270">
  <si>
    <t>Documento</t>
  </si>
  <si>
    <t>CNPJ</t>
  </si>
  <si>
    <t>FILIAL</t>
  </si>
  <si>
    <t>DESTINO</t>
  </si>
  <si>
    <t>TBO</t>
  </si>
  <si>
    <t>ADM - SANTOS</t>
  </si>
  <si>
    <t>02.003.402/0007-60</t>
  </si>
  <si>
    <t>56.216.872/0001-46</t>
  </si>
  <si>
    <t>ALL-TERMINAL RONDO</t>
  </si>
  <si>
    <t>soja</t>
  </si>
  <si>
    <t>TERM.XXXIX</t>
  </si>
  <si>
    <t>04.244.527/0001-12</t>
  </si>
  <si>
    <t>milho</t>
  </si>
  <si>
    <t>TERM. GRANEIS GUARUJA</t>
  </si>
  <si>
    <t>05.527.694/0001-33</t>
  </si>
  <si>
    <t>TEG</t>
  </si>
  <si>
    <t>09.079.434/0001-01</t>
  </si>
  <si>
    <t>25.278.404/0001-72</t>
  </si>
  <si>
    <t>02.933.023/0002-65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</si>
  <si>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</si>
  <si>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</si>
  <si>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</si>
  <si>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</si>
  <si>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</si>
  <si>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</si>
  <si>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</si>
  <si>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</si>
  <si>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</si>
  <si>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</si>
  <si>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</si>
  <si>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</si>
  <si>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C13</t>
  </si>
  <si>
    <t>C14</t>
  </si>
  <si>
    <t>C15</t>
  </si>
  <si>
    <t>C16</t>
  </si>
  <si>
    <t>C17</t>
  </si>
  <si>
    <t>C18</t>
  </si>
  <si>
    <t>C19</t>
  </si>
  <si>
    <t>C20</t>
  </si>
  <si>
    <t>C21</t>
  </si>
  <si>
    <t>C22</t>
  </si>
  <si>
    <t>C24</t>
  </si>
  <si>
    <t>C23</t>
  </si>
  <si>
    <t>C25</t>
  </si>
  <si>
    <t>S I S P A T</t>
  </si>
  <si>
    <t>Rateio de Transbordo</t>
  </si>
  <si>
    <t>Contrato:</t>
  </si>
  <si>
    <t>Cliente:</t>
  </si>
  <si>
    <t>Origem:</t>
  </si>
  <si>
    <t>Destino:</t>
  </si>
  <si>
    <t>Produto:</t>
  </si>
  <si>
    <t>Vagão</t>
  </si>
  <si>
    <t>Bruto</t>
  </si>
  <si>
    <t>Tara</t>
  </si>
  <si>
    <t>Líquido</t>
  </si>
  <si>
    <t>Data Saída</t>
  </si>
  <si>
    <t>Fluxo</t>
  </si>
  <si>
    <t>DCL</t>
  </si>
  <si>
    <t>Peso</t>
  </si>
  <si>
    <t>29332398000579</t>
  </si>
  <si>
    <t>29332398000811</t>
  </si>
  <si>
    <t>29332398000307</t>
  </si>
  <si>
    <t>29332398000498</t>
  </si>
  <si>
    <t>06315338000208</t>
  </si>
  <si>
    <t>06315338001190</t>
  </si>
  <si>
    <t>06315338001000</t>
  </si>
  <si>
    <t>06315338001352</t>
  </si>
  <si>
    <t>06315338000976</t>
  </si>
  <si>
    <t>06315338002677</t>
  </si>
  <si>
    <t>06315338005005</t>
  </si>
  <si>
    <t>06315338002596</t>
  </si>
  <si>
    <t>06315338003134</t>
  </si>
  <si>
    <t>06315338002758</t>
  </si>
  <si>
    <t>06315338016546</t>
  </si>
  <si>
    <t>06315338017003</t>
  </si>
  <si>
    <t>06315338017518</t>
  </si>
  <si>
    <t>29332398000226</t>
  </si>
  <si>
    <t>29332398001036</t>
  </si>
  <si>
    <t>29332398001389</t>
  </si>
  <si>
    <t>29332398000730</t>
  </si>
  <si>
    <t>inativa</t>
  </si>
  <si>
    <t>NOBLE - 4</t>
  </si>
  <si>
    <t>NOBLE - 5</t>
  </si>
  <si>
    <t>NOBLE - 6</t>
  </si>
  <si>
    <t>NOBLE - 9</t>
  </si>
  <si>
    <t>NOBLE - 1</t>
  </si>
  <si>
    <t>NOBLE - 30</t>
  </si>
  <si>
    <t>NOBLE - 2</t>
  </si>
  <si>
    <t>NOBLE - 3</t>
  </si>
  <si>
    <t>NOBLE - 7</t>
  </si>
  <si>
    <t>NOBLE - 8</t>
  </si>
  <si>
    <t>NOBLE - 11</t>
  </si>
  <si>
    <t>NOBLE - 10</t>
  </si>
  <si>
    <t>NOBLE - 12</t>
  </si>
  <si>
    <t>NOBLE - 09</t>
  </si>
  <si>
    <t>NOBLE - 13</t>
  </si>
  <si>
    <t>NOBLE - 14</t>
  </si>
  <si>
    <t>NOBLE - 15</t>
  </si>
  <si>
    <t>NOBLE - 16</t>
  </si>
  <si>
    <t>NOBLE - 17</t>
  </si>
  <si>
    <t>NOBLE - 18</t>
  </si>
  <si>
    <t>NOBLE - 19</t>
  </si>
  <si>
    <t>NOBLE - 21</t>
  </si>
  <si>
    <t>NOBLE - 22</t>
  </si>
  <si>
    <t>NOBLE - 23</t>
  </si>
  <si>
    <t>INTERALLI</t>
  </si>
  <si>
    <t>04.731.861/0001-09</t>
  </si>
  <si>
    <t>T GRAOS</t>
  </si>
  <si>
    <t>24962466001108</t>
  </si>
  <si>
    <t>ALL-TRANSP</t>
  </si>
  <si>
    <t>24962466000136</t>
  </si>
  <si>
    <t xml:space="preserve"> </t>
  </si>
  <si>
    <t>16/10/2012 20:19:41</t>
  </si>
  <si>
    <t xml:space="preserve">Contrato: NOBLT39-AC -  De 01/10/2012 00:00:01 até 10/10/2012 23:59:59 / </t>
  </si>
  <si>
    <t>Página 1 de 2</t>
  </si>
  <si>
    <t>NOBLT39-AC</t>
  </si>
  <si>
    <t>NOBLE</t>
  </si>
  <si>
    <t xml:space="preserve">NOBLE - </t>
  </si>
  <si>
    <t>Transportadora:</t>
  </si>
  <si>
    <t>24.962.466/0001-36</t>
  </si>
  <si>
    <t>SOJA EM GRAOS-Transbordo</t>
  </si>
  <si>
    <t>Valor</t>
  </si>
  <si>
    <t>Total/Parcial</t>
  </si>
  <si>
    <t>A</t>
  </si>
  <si>
    <t>06315338000119</t>
  </si>
  <si>
    <t>06315338000380</t>
  </si>
  <si>
    <t>06315338000623</t>
  </si>
  <si>
    <t>06315338000542</t>
  </si>
  <si>
    <t>06315338001514</t>
  </si>
  <si>
    <t>06315338001603</t>
  </si>
  <si>
    <t>06315338001786</t>
  </si>
  <si>
    <t>06315338001948</t>
  </si>
  <si>
    <t>06315338002839</t>
  </si>
  <si>
    <t>06315338000269</t>
  </si>
  <si>
    <t>06315338003053</t>
  </si>
  <si>
    <t>06315338016465</t>
  </si>
  <si>
    <t>06315338016708</t>
  </si>
  <si>
    <t>06315338016970</t>
  </si>
  <si>
    <t>06315338017194</t>
  </si>
  <si>
    <t>06315338017275</t>
  </si>
  <si>
    <t>06315338017356</t>
  </si>
  <si>
    <t>06315338017437</t>
  </si>
  <si>
    <t>06315338017607</t>
  </si>
  <si>
    <t>06315338018247</t>
  </si>
  <si>
    <t>06315338018409</t>
  </si>
  <si>
    <t>06315338018166</t>
  </si>
  <si>
    <t>06315338018085</t>
  </si>
  <si>
    <t>06315338018670</t>
  </si>
  <si>
    <t>06315338018328</t>
  </si>
  <si>
    <t>06315338017941</t>
  </si>
  <si>
    <t>06315338018590</t>
  </si>
  <si>
    <t>06315338020225</t>
  </si>
  <si>
    <t>06315338019308</t>
  </si>
  <si>
    <t>06315338019480</t>
  </si>
  <si>
    <t>06315338017780</t>
  </si>
  <si>
    <t>INFORMAR NOBLE</t>
  </si>
  <si>
    <t>ELEVACOES PORTUARIAS S/A</t>
  </si>
  <si>
    <t>TERMINAL 12 A S.A.</t>
  </si>
  <si>
    <t>C26</t>
  </si>
  <si>
    <t>C27</t>
  </si>
  <si>
    <t>C28</t>
  </si>
  <si>
    <t>C29</t>
  </si>
  <si>
    <t>COMPANHIA AUXILIAR DE ARMAZENS GERAIS</t>
  </si>
  <si>
    <t>61.145.488/0003-00</t>
  </si>
  <si>
    <t xml:space="preserve">Busca Pelo "Destino" </t>
  </si>
  <si>
    <t>T GRAO CARGO TERMINAL DE GRANEIS S.A</t>
  </si>
  <si>
    <t>TERMINAIS DE GRANEIS DO GUARUJA</t>
  </si>
  <si>
    <t>TRO - RONDONOPOLIS</t>
  </si>
  <si>
    <t>06315338020659</t>
  </si>
  <si>
    <t>PSS - SÃO SIMÃO</t>
  </si>
  <si>
    <t>TCS - CHAPADÃO DO SUL</t>
  </si>
  <si>
    <t>33.572.408/0002-78</t>
  </si>
  <si>
    <t>24.962.466/0005-60</t>
  </si>
  <si>
    <t>Trasnportadoras</t>
  </si>
  <si>
    <t>TAG - ALTO ARAGUAIA</t>
  </si>
  <si>
    <t>KG</t>
  </si>
  <si>
    <t>1</t>
  </si>
  <si>
    <t>ND</t>
  </si>
  <si>
    <t>TIBAJI</t>
  </si>
  <si>
    <t>TERLOGS</t>
  </si>
  <si>
    <t>04814657000143</t>
  </si>
  <si>
    <t>04.814.657/0001-43</t>
  </si>
  <si>
    <t>01.258.944/0005-50</t>
  </si>
  <si>
    <t>79613121000169</t>
  </si>
  <si>
    <t>79.613.121/0001-69</t>
  </si>
  <si>
    <t>P</t>
  </si>
  <si>
    <t>CENTRO SUL</t>
  </si>
  <si>
    <t>81.072.399/0002-07</t>
  </si>
  <si>
    <t>HFS-7165544-L</t>
  </si>
  <si>
    <t>09/04/2021</t>
  </si>
  <si>
    <t>05/04/2021</t>
  </si>
  <si>
    <t>06/04/2021</t>
  </si>
  <si>
    <t>HFE-7161140-L</t>
  </si>
  <si>
    <t>HFS-7153465-L</t>
  </si>
  <si>
    <t>HFD-6385257-L</t>
  </si>
  <si>
    <t>HFD-6385656-L</t>
  </si>
  <si>
    <t>HPE-7171358-</t>
  </si>
  <si>
    <t>HFE-0527971-</t>
  </si>
  <si>
    <t>HFE-7155239-L</t>
  </si>
  <si>
    <t>HFE-7157673-L</t>
  </si>
  <si>
    <t>HFD-6255035-</t>
  </si>
  <si>
    <t>HFE-0530476-</t>
  </si>
  <si>
    <t>FHD-6259146-J</t>
  </si>
  <si>
    <t>HFE-7155875-</t>
  </si>
  <si>
    <t>HFE-7156278-</t>
  </si>
  <si>
    <t>HFE-7155484-L</t>
  </si>
  <si>
    <t>HFE-0517682-L</t>
  </si>
  <si>
    <t>HFD-6323821-L</t>
  </si>
  <si>
    <t>07/04/2021</t>
  </si>
  <si>
    <t>HFD-6434321-L</t>
  </si>
  <si>
    <t>08/04/2021</t>
  </si>
  <si>
    <t>31/03/2021</t>
  </si>
  <si>
    <t>FHD-3055370-Z</t>
  </si>
  <si>
    <t>FHD-6453813-L</t>
  </si>
  <si>
    <t>FHD-6407153-L</t>
  </si>
  <si>
    <t>FHD-6460461-L</t>
  </si>
  <si>
    <t>FHD-6358845-L</t>
  </si>
  <si>
    <t>HFD-6382223-L</t>
  </si>
  <si>
    <t>FHD-6410022-L</t>
  </si>
  <si>
    <t>01/04/2021</t>
  </si>
  <si>
    <t>FHD-3054381-Z</t>
  </si>
  <si>
    <t>HFD-6388183-L</t>
  </si>
  <si>
    <t>03/04/2021</t>
  </si>
  <si>
    <t>FHD-6254284-J</t>
  </si>
  <si>
    <t>FHD-3058751-Z</t>
  </si>
  <si>
    <t>FHD-6369154-L</t>
  </si>
  <si>
    <t>HFD-6411541-L</t>
  </si>
  <si>
    <t>FHD-6289258-L</t>
  </si>
  <si>
    <t>FHD-6427251-J</t>
  </si>
  <si>
    <t>HPE-7169981-</t>
  </si>
  <si>
    <t>HFE-7154054-L</t>
  </si>
  <si>
    <t>HFE-7163908-</t>
  </si>
  <si>
    <t>HFE-7156987-L</t>
  </si>
  <si>
    <t>HFS7165544</t>
  </si>
  <si>
    <t>HFE7161140</t>
  </si>
  <si>
    <t>HFS7153465</t>
  </si>
  <si>
    <t>HFD6385257</t>
  </si>
  <si>
    <t>HFD6385656</t>
  </si>
  <si>
    <t>HPE7171358</t>
  </si>
  <si>
    <t>HFE0527971</t>
  </si>
  <si>
    <t>HFE7155239</t>
  </si>
  <si>
    <t>HFE7157673</t>
  </si>
  <si>
    <t>HFD6255035</t>
  </si>
  <si>
    <t>HFE0530476</t>
  </si>
  <si>
    <t>FHD6259146</t>
  </si>
  <si>
    <t>HFE7155875</t>
  </si>
  <si>
    <t>HFE7156278</t>
  </si>
  <si>
    <t>HFE7155484</t>
  </si>
  <si>
    <t>HFE0517682</t>
  </si>
  <si>
    <t>HFD6323821</t>
  </si>
  <si>
    <t>HFD6434321</t>
  </si>
  <si>
    <t>FHD3055370</t>
  </si>
  <si>
    <t>FHD6453813</t>
  </si>
  <si>
    <t>FHD6407153</t>
  </si>
  <si>
    <t>FHD6460461</t>
  </si>
  <si>
    <t>FHD6358845</t>
  </si>
  <si>
    <t>HFD6382223</t>
  </si>
  <si>
    <t>FHD6410022</t>
  </si>
  <si>
    <t>FHD3054381</t>
  </si>
  <si>
    <t>HFD6388183</t>
  </si>
  <si>
    <t>FHD6254284</t>
  </si>
  <si>
    <t>FHD3058751</t>
  </si>
  <si>
    <t>FHD6369154</t>
  </si>
  <si>
    <t>HFD6411541</t>
  </si>
  <si>
    <t>FHD6289258</t>
  </si>
  <si>
    <t>FHD6427251</t>
  </si>
  <si>
    <t>HPE7169981</t>
  </si>
  <si>
    <t>HFE7154054</t>
  </si>
  <si>
    <t>HFE7163908</t>
  </si>
  <si>
    <t>HFE7156987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</si>
</sst>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_(* #,##0.00_);_(* \(#,##0.00\);_(* &quot;-&quot;??_);_(@_)"/>
    <numFmt numFmtId="165" formatCode="000,000"/>
    <numFmt numFmtId="166" formatCode="00,000"/>
  </numFmts>
  <fonts count="27">
    <font>
      <sz val="11"/>
      <color indexed="10"/>
      <name val="Calibri"/>
      <charset val="1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indexed="8"/>
      <name val="Arial"/>
      <charset val="1"/>
    </font>
    <font>
      <b/>
      <sz val="11"/>
      <color theme="1"/>
      <name val="Calibri"/>
      <family val="2"/>
      <scheme val="minor"/>
    </font>
    <font>
      <b/>
      <sz val="11"/>
      <color indexed="8"/>
      <name val="Arial"/>
      <family val="2"/>
    </font>
    <font>
      <b/>
      <sz val="10"/>
      <color indexed="8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0"/>
      <color indexed="8"/>
      <name val="Arial"/>
      <family val="2"/>
    </font>
    <font>
      <sz val="8"/>
      <color theme="1"/>
      <name val="Calibri"/>
      <family val="2"/>
      <scheme val="minor"/>
    </font>
    <font>
      <sz val="11"/>
      <color indexed="10"/>
      <name val="Calibri"/>
      <family val="2"/>
    </font>
    <font>
      <sz val="11"/>
      <color rgb="FF9C0006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color indexed="8"/>
      <name val="Arial"/>
    </font>
    <font>
      <sz val="8"/>
      <color indexed="8"/>
      <name val="Calibri"/>
      <family val="2"/>
    </font>
    <font>
      <sz val="8"/>
      <color indexed="8"/>
      <name val="Arial"/>
      <family val="2"/>
    </font>
    <font>
      <b/>
      <sz val="10"/>
      <color rgb="FFFF0000"/>
      <name val="Arial"/>
      <family val="2"/>
    </font>
    <font>
      <sz val="11"/>
      <color rgb="FF9C6500"/>
      <name val="Calibri"/>
      <family val="2"/>
      <scheme val="minor"/>
    </font>
    <font>
      <sz val="11"/>
      <name val="Calibri"/>
      <family val="2"/>
    </font>
    <font>
      <sz val="10"/>
      <name val="Arial"/>
      <family val="2"/>
    </font>
    <font>
      <b/>
      <sz val="10"/>
      <name val="Arial"/>
      <family val="2"/>
    </font>
    <font>
      <b/>
      <sz val="11"/>
      <color theme="0"/>
      <name val="Calibri"/>
      <family val="2"/>
    </font>
    <font>
      <b/>
      <sz val="11"/>
      <color indexed="10"/>
      <name val="Calibri"/>
      <family val="2"/>
    </font>
    <font>
      <b/>
      <sz val="12"/>
      <color theme="7"/>
      <name val="Arial"/>
      <family val="2"/>
    </font>
    <font>
      <sz val="10"/>
      <color theme="7"/>
      <name val="Arial"/>
      <family val="2"/>
    </font>
    <font>
      <sz val="11"/>
      <color rgb="FF000000"/>
      <name val="SourceSansPro"/>
    </font>
  </fonts>
  <fills count="7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0.89999084444715716"/>
        <bgColor indexed="64"/>
      </patternFill>
    </fill>
  </fills>
  <borders count="3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6">
    <xf numFmtId="0" fontId="0" fillId="0" borderId="0">
      <alignment vertical="top"/>
    </xf>
    <xf numFmtId="0" fontId="9" fillId="0" borderId="0" applyNumberFormat="0" applyFill="0" applyBorder="0" applyAlignment="0" applyProtection="0"/>
    <xf numFmtId="0" fontId="10" fillId="0" borderId="0"/>
    <xf numFmtId="0" fontId="14" fillId="0" borderId="0" applyNumberFormat="0" applyFill="0" applyBorder="0" applyAlignment="0" applyProtection="0"/>
    <xf numFmtId="0" fontId="2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164" fontId="9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2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164" fontId="9" fillId="0" borderId="0" applyFont="0" applyFill="0" applyBorder="0" applyAlignment="0" applyProtection="0"/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12" fillId="2" borderId="0" applyNumberFormat="0" applyBorder="0" applyAlignment="0" applyProtection="0"/>
    <xf numFmtId="0" fontId="18" fillId="3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19" fillId="0" borderId="0"/>
    <xf numFmtId="0" fontId="2" fillId="0" borderId="0"/>
    <xf numFmtId="0" fontId="2" fillId="0" borderId="0"/>
  </cellStyleXfs>
  <cellXfs count="54">
    <xf numFmtId="0" fontId="0" fillId="0" borderId="0" xfId="0" applyProtection="1">
      <alignment vertical="top"/>
      <protection locked="0"/>
    </xf>
    <xf numFmtId="0" fontId="0" fillId="0" borderId="0" xfId="0" applyAlignment="1"/>
    <xf numFmtId="0" fontId="5" fillId="0" borderId="0" xfId="0" applyFont="1" applyAlignment="1" applyProtection="1">
      <alignment horizontal="center" vertical="top"/>
      <protection locked="0"/>
    </xf>
    <xf numFmtId="0" fontId="6" fillId="0" borderId="0" xfId="0" applyFont="1" applyAlignment="1" applyProtection="1">
      <alignment horizontal="center" vertical="top"/>
      <protection locked="0"/>
    </xf>
    <xf numFmtId="0" fontId="6" fillId="0" borderId="0" xfId="0" applyFont="1" applyAlignment="1" applyProtection="1">
      <alignment horizontal="left" vertical="top"/>
      <protection locked="0"/>
    </xf>
    <xf numFmtId="0" fontId="6" fillId="0" borderId="0" xfId="0" applyFont="1" applyAlignment="1" applyProtection="1">
      <alignment horizontal="right" vertical="top"/>
      <protection locked="0"/>
    </xf>
    <xf numFmtId="0" fontId="4" fillId="0" borderId="0" xfId="0" applyFont="1" applyAlignment="1"/>
    <xf numFmtId="49" fontId="0" fillId="0" borderId="0" xfId="0" applyNumberFormat="1" applyAlignment="1"/>
    <xf numFmtId="49" fontId="4" fillId="0" borderId="0" xfId="2" applyNumberFormat="1" applyFont="1"/>
    <xf numFmtId="0" fontId="6" fillId="0" borderId="0" xfId="0" applyFont="1" applyAlignment="1"/>
    <xf numFmtId="1" fontId="0" fillId="0" borderId="0" xfId="0" applyNumberFormat="1" applyProtection="1">
      <alignment vertical="top"/>
      <protection locked="0"/>
    </xf>
    <xf numFmtId="37" fontId="3" fillId="0" borderId="0" xfId="0" applyNumberFormat="1" applyFont="1" applyAlignment="1">
      <alignment horizontal="center" vertical="center"/>
    </xf>
    <xf numFmtId="14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49" fontId="2" fillId="0" borderId="0" xfId="4" applyNumberFormat="1"/>
    <xf numFmtId="49" fontId="13" fillId="0" borderId="0" xfId="4" applyNumberFormat="1" applyFont="1"/>
    <xf numFmtId="1" fontId="3" fillId="0" borderId="0" xfId="0" applyNumberFormat="1" applyFont="1" applyAlignment="1">
      <alignment horizontal="center" vertical="center"/>
    </xf>
    <xf numFmtId="0" fontId="21" fillId="0" borderId="0" xfId="0" applyFont="1" applyAlignment="1" applyProtection="1">
      <alignment horizontal="center" vertical="top"/>
      <protection locked="0"/>
    </xf>
    <xf numFmtId="0" fontId="0" fillId="0" borderId="0" xfId="0" applyAlignment="1" applyProtection="1">
      <alignment horizontal="left" vertical="top"/>
      <protection locked="0"/>
    </xf>
    <xf numFmtId="0" fontId="16" fillId="0" borderId="0" xfId="0" applyFont="1" applyAlignment="1"/>
    <xf numFmtId="0" fontId="20" fillId="0" borderId="0" xfId="0" applyFont="1" applyAlignment="1">
      <alignment horizontal="center"/>
    </xf>
    <xf numFmtId="0" fontId="9" fillId="0" borderId="0" xfId="0" applyFont="1" applyAlignment="1"/>
    <xf numFmtId="0" fontId="6" fillId="0" borderId="0" xfId="1" applyFont="1" applyAlignment="1" applyProtection="1">
      <alignment horizontal="left" vertical="top"/>
      <protection locked="0"/>
    </xf>
    <xf numFmtId="0" fontId="17" fillId="0" borderId="0" xfId="1" applyFont="1" applyAlignment="1" applyProtection="1">
      <alignment horizontal="left" vertical="top"/>
      <protection locked="0"/>
    </xf>
    <xf numFmtId="0" fontId="6" fillId="0" borderId="0" xfId="3" applyFont="1"/>
    <xf numFmtId="49" fontId="14" fillId="0" borderId="0" xfId="3" applyNumberFormat="1"/>
    <xf numFmtId="49" fontId="9" fillId="0" borderId="0" xfId="3" applyNumberFormat="1" applyFont="1"/>
    <xf numFmtId="0" fontId="15" fillId="0" borderId="1" xfId="11" applyFont="1" applyBorder="1" applyAlignment="1">
      <alignment horizontal="center" vertical="center" wrapText="1"/>
    </xf>
    <xf numFmtId="49" fontId="0" fillId="0" borderId="0" xfId="0" applyNumberFormat="1" applyProtection="1">
      <alignment vertical="top"/>
      <protection locked="0"/>
    </xf>
    <xf numFmtId="49" fontId="3" fillId="0" borderId="0" xfId="0" applyNumberFormat="1" applyFont="1" applyAlignment="1">
      <alignment horizontal="center" vertical="center"/>
    </xf>
    <xf numFmtId="0" fontId="0" fillId="0" borderId="0" xfId="0" pivotButton="1" applyProtection="1">
      <alignment vertical="top"/>
      <protection locked="0"/>
    </xf>
    <xf numFmtId="0" fontId="22" fillId="4" borderId="0" xfId="0" applyFont="1" applyFill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6" fillId="5" borderId="2" xfId="18" applyFont="1" applyFill="1" applyBorder="1" applyAlignment="1" applyProtection="1">
      <alignment horizontal="left" vertical="top"/>
      <protection locked="0"/>
    </xf>
    <xf numFmtId="0" fontId="2" fillId="5" borderId="2" xfId="18" applyFill="1" applyBorder="1" applyAlignment="1">
      <alignment horizontal="center"/>
    </xf>
    <xf numFmtId="0" fontId="23" fillId="0" borderId="0" xfId="0" applyFont="1" applyAlignment="1"/>
    <xf numFmtId="0" fontId="0" fillId="0" borderId="0" xfId="0" quotePrefix="1" applyAlignment="1"/>
    <xf numFmtId="0" fontId="9" fillId="0" borderId="0" xfId="3" applyNumberFormat="1" applyFont="1"/>
    <xf numFmtId="0" fontId="0" fillId="0" borderId="2" xfId="0" applyBorder="1" applyAlignment="1"/>
    <xf numFmtId="0" fontId="11" fillId="0" borderId="2" xfId="0" applyFont="1" applyBorder="1" applyAlignment="1"/>
    <xf numFmtId="0" fontId="0" fillId="0" borderId="2" xfId="0" applyFill="1" applyBorder="1" applyAlignment="1"/>
    <xf numFmtId="0" fontId="24" fillId="6" borderId="2" xfId="0" applyFont="1" applyFill="1" applyBorder="1" applyAlignment="1">
      <alignment horizontal="center" vertical="center"/>
    </xf>
    <xf numFmtId="49" fontId="25" fillId="6" borderId="2" xfId="0" applyNumberFormat="1" applyFont="1" applyFill="1" applyBorder="1" applyAlignment="1"/>
    <xf numFmtId="0" fontId="26" fillId="0" borderId="0" xfId="0" applyFont="1" applyProtection="1">
      <alignment vertical="top"/>
      <protection locked="0"/>
    </xf>
    <xf numFmtId="0" fontId="1" fillId="5" borderId="2" xfId="18" applyFont="1" applyFill="1" applyBorder="1" applyAlignment="1">
      <alignment horizontal="center"/>
    </xf>
    <xf numFmtId="0" fontId="9" fillId="0" borderId="0" xfId="1" applyAlignment="1">
      <alignment horizontal="center"/>
    </xf>
    <xf numFmtId="0" fontId="9" fillId="0" borderId="0" xfId="1" applyAlignment="1"/>
    <xf numFmtId="1" fontId="9" fillId="0" borderId="0" xfId="1" applyNumberFormat="1" applyAlignment="1"/>
    <xf numFmtId="14" fontId="9" fillId="0" borderId="0" xfId="1" applyNumberFormat="1" applyAlignment="1"/>
    <xf numFmtId="166" fontId="9" fillId="0" borderId="0" xfId="1" applyNumberFormat="1" applyAlignment="1">
      <alignment horizontal="center"/>
    </xf>
    <xf numFmtId="166" fontId="9" fillId="0" borderId="0" xfId="1" applyNumberFormat="1" applyAlignment="1"/>
    <xf numFmtId="165" fontId="9" fillId="0" borderId="0" xfId="1" applyNumberFormat="1" applyAlignment="1"/>
  </cellXfs>
  <cellStyles count="36">
    <cellStyle name="Incorreto" xfId="28" xr:uid="{00000000-0005-0000-0000-000000000000}"/>
    <cellStyle name="Neutra" xfId="29" xr:uid="{00000000-0005-0000-0000-000001000000}"/>
    <cellStyle name="Normal" xfId="0" builtinId="0"/>
    <cellStyle name="Normal 10" xfId="14" xr:uid="{00000000-0005-0000-0000-000003000000}"/>
    <cellStyle name="Normal 11" xfId="15" xr:uid="{00000000-0005-0000-0000-000004000000}"/>
    <cellStyle name="Normal 11 2" xfId="25" xr:uid="{00000000-0005-0000-0000-000005000000}"/>
    <cellStyle name="Normal 12" xfId="16" xr:uid="{00000000-0005-0000-0000-000006000000}"/>
    <cellStyle name="Normal 12 2" xfId="26" xr:uid="{00000000-0005-0000-0000-000007000000}"/>
    <cellStyle name="Normal 13" xfId="17" xr:uid="{00000000-0005-0000-0000-000008000000}"/>
    <cellStyle name="Normal 13 2" xfId="27" xr:uid="{00000000-0005-0000-0000-000009000000}"/>
    <cellStyle name="Normal 14" xfId="30" xr:uid="{00000000-0005-0000-0000-00000A000000}"/>
    <cellStyle name="Normal 15" xfId="31" xr:uid="{00000000-0005-0000-0000-00000B000000}"/>
    <cellStyle name="Normal 16" xfId="32" xr:uid="{00000000-0005-0000-0000-00000C000000}"/>
    <cellStyle name="Normal 17" xfId="34" xr:uid="{00000000-0005-0000-0000-00000D000000}"/>
    <cellStyle name="Normal 18" xfId="35" xr:uid="{00000000-0005-0000-0000-00000E000000}"/>
    <cellStyle name="Normal 19" xfId="3" xr:uid="{00000000-0005-0000-0000-00000F000000}"/>
    <cellStyle name="Normal 2" xfId="1" xr:uid="{00000000-0005-0000-0000-000010000000}"/>
    <cellStyle name="Normal 2 2" xfId="33" xr:uid="{00000000-0005-0000-0000-000011000000}"/>
    <cellStyle name="Normal 3" xfId="2" xr:uid="{00000000-0005-0000-0000-000012000000}"/>
    <cellStyle name="Normal 3 2" xfId="18" xr:uid="{00000000-0005-0000-0000-000013000000}"/>
    <cellStyle name="Normal 3 3" xfId="4" xr:uid="{00000000-0005-0000-0000-000014000000}"/>
    <cellStyle name="Normal 4" xfId="5" xr:uid="{00000000-0005-0000-0000-000015000000}"/>
    <cellStyle name="Normal 4 2" xfId="19" xr:uid="{00000000-0005-0000-0000-000016000000}"/>
    <cellStyle name="Normal 5" xfId="6" xr:uid="{00000000-0005-0000-0000-000017000000}"/>
    <cellStyle name="Normal 5 2" xfId="20" xr:uid="{00000000-0005-0000-0000-000018000000}"/>
    <cellStyle name="Normal 6" xfId="7" xr:uid="{00000000-0005-0000-0000-000019000000}"/>
    <cellStyle name="Normal 6 2" xfId="21" xr:uid="{00000000-0005-0000-0000-00001A000000}"/>
    <cellStyle name="Normal 7" xfId="8" xr:uid="{00000000-0005-0000-0000-00001B000000}"/>
    <cellStyle name="Normal 7 2" xfId="22" xr:uid="{00000000-0005-0000-0000-00001C000000}"/>
    <cellStyle name="Normal 8" xfId="9" xr:uid="{00000000-0005-0000-0000-00001D000000}"/>
    <cellStyle name="Normal 8 2" xfId="23" xr:uid="{00000000-0005-0000-0000-00001E000000}"/>
    <cellStyle name="Normal 9" xfId="10" xr:uid="{00000000-0005-0000-0000-00001F000000}"/>
    <cellStyle name="Normal_Plan1" xfId="11" xr:uid="{00000000-0005-0000-0000-000020000000}"/>
    <cellStyle name="Porcentagem 3" xfId="13" xr:uid="{00000000-0005-0000-0000-000021000000}"/>
    <cellStyle name="Vírgula 2" xfId="24" xr:uid="{00000000-0005-0000-0000-000022000000}"/>
    <cellStyle name="Vírgula 3" xfId="12" xr:uid="{00000000-0005-0000-0000-000023000000}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000000"/>
      <rgbColor rgb="00000000"/>
      <rgbColor rgb="00800000"/>
      <rgbColor rgb="00008000"/>
      <rgbColor rgb="00808000"/>
      <rgbColor rgb="00000080"/>
      <rgbColor rgb="00800080"/>
      <rgbColor rgb="00008080"/>
      <rgbColor rgb="00808080"/>
      <rgbColor rgb="00C0C0C0"/>
      <rgbColor rgb="00FF0000"/>
      <rgbColor rgb="0000FF00"/>
      <rgbColor rgb="00FFFF00"/>
      <rgbColor rgb="000000FF"/>
      <rgbColor rgb="00FF00FF"/>
      <rgbColor rgb="0000FFFF"/>
      <rgbColor rgb="00C0C0C0"/>
      <rgbColor rgb="00808080"/>
      <rgbColor rgb="00FFFFFF"/>
      <rgbColor rgb="00C0DCC0"/>
      <rgbColor rgb="00A6CAF0"/>
      <rgbColor rgb="00FFFFFF"/>
      <rgbColor rgb="00FFFFFF"/>
      <rgbColor rgb="00FFFFFF"/>
      <rgbColor rgb="00FFFFFF"/>
      <rgbColor rgb="00FFFFFF"/>
      <rgbColor rgb="00FFFFFF"/>
      <rgbColor rgb="00FFFFFF"/>
      <rgbColor rgb="00FFFFFF"/>
      <rgbColor rgb="00FFFFFF"/>
      <rgbColor rgb="00FFFFFF"/>
      <rgbColor rgb="00FFFFFF"/>
      <rgbColor rgb="00FFFFFF"/>
      <rgbColor rgb="00FFFFFF"/>
      <rgbColor rgb="00FFFFFF"/>
      <rgbColor rgb="00FFFFFF"/>
      <rgbColor rgb="00FFFFFF"/>
      <rgbColor rgb="00FFFFFF"/>
      <rgbColor rgb="00FFFFFF"/>
      <rgbColor rgb="00FFFFFF"/>
      <rgbColor rgb="00FFFFFF"/>
      <rgbColor rgb="00FFFFFF"/>
      <rgbColor rgb="00FFFFFF"/>
      <rgbColor rgb="00FFFFFF"/>
      <rgbColor rgb="00FFFFFF"/>
      <rgbColor rgb="00FFFFFF"/>
      <rgbColor rgb="00FFFFFF"/>
      <rgbColor rgb="00FFFFFF"/>
      <rgbColor rgb="00FFFFFF"/>
      <rgbColor rgb="00FFFFFF"/>
      <rgbColor rgb="00FFFFFF"/>
      <rgbColor rgb="00FFFFFF"/>
      <rgbColor rgb="00FFFFFF"/>
      <rgbColor rgb="00FFFFFF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19050</xdr:colOff>
      <xdr:row>1</xdr:row>
      <xdr:rowOff>28575</xdr:rowOff>
    </xdr:from>
    <xdr:to>
      <xdr:col>3</xdr:col>
      <xdr:colOff>581025</xdr:colOff>
      <xdr:row>3</xdr:row>
      <xdr:rowOff>171450</xdr:rowOff>
    </xdr:to>
    <xdr:sp macro="[0]!dispara_processamento" textlink="">
      <xdr:nvSpPr>
        <xdr:cNvPr id="2" name="Retângulo Arredondad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628650" y="219075"/>
          <a:ext cx="1781175" cy="523875"/>
        </a:xfrm>
        <a:prstGeom prst="roundRect">
          <a:avLst/>
        </a:prstGeom>
        <a:solidFill>
          <a:srgbClr val="C00000"/>
        </a:solidFill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/>
            <a:t>Dispara</a:t>
          </a:r>
          <a:r>
            <a:rPr lang="pt-BR" sz="1200" baseline="0"/>
            <a:t> Processamento</a:t>
          </a:r>
          <a:endParaRPr lang="pt-BR" sz="12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elson" refreshedDate="44295.661293055557" createdVersion="4" refreshedVersion="6" minRefreshableVersion="3" recordCount="101" xr:uid="{00000000-000A-0000-FFFF-FFFF05000000}">
  <cacheSource type="worksheet">
    <worksheetSource name="=lista_Valores"/>
  </cacheSource>
  <cacheFields count="30">
    <cacheField name="C1" numFmtId="0">
      <sharedItems/>
    </cacheField>
    <cacheField name="C2" numFmtId="0">
      <sharedItems count="9">
        <s v="09/04/2021"/>
        <s v="08/04/2021"/>
        <s v="TCS - CHAPADÃO DO SUL" u="1"/>
        <s v="21/03/2021" u="1"/>
        <s v="TRO - RONDONOPOLIS" u="1"/>
        <s v="PSS - SÃO SIMÃO" u="1"/>
        <s v="29/03/2021" u="1"/>
        <s v="22/03/2021" u="1"/>
        <s v="TAG - ALTO ARAGUAIA" u="1"/>
      </sharedItems>
    </cacheField>
    <cacheField name="C3" numFmtId="0">
      <sharedItems containsSemiMixedTypes="0" containsString="0" containsNumber="1" containsInteger="1" minValue="66840" maxValue="87520"/>
    </cacheField>
    <cacheField name="C4" numFmtId="0">
      <sharedItems containsSemiMixedTypes="0" containsString="0" containsNumber="1" containsInteger="1" minValue="17890" maxValue="24290"/>
    </cacheField>
    <cacheField name="C5" numFmtId="0">
      <sharedItems containsSemiMixedTypes="0" containsString="0" containsNumber="1" containsInteger="1" minValue="48150" maxValue="63890"/>
    </cacheField>
    <cacheField name="C6" numFmtId="0">
      <sharedItems/>
    </cacheField>
    <cacheField name="C7" numFmtId="0">
      <sharedItems containsSemiMixedTypes="0" containsString="0" containsNumber="1" minValue="133375.5" maxValue="176975.3"/>
    </cacheField>
    <cacheField name="C8" numFmtId="0">
      <sharedItems containsSemiMixedTypes="0" containsString="0" containsNumber="1" containsInteger="1" minValue="30" maxValue="31"/>
    </cacheField>
    <cacheField name="C9" numFmtId="0">
      <sharedItems count="1">
        <s v="06315338001603"/>
      </sharedItems>
    </cacheField>
    <cacheField name="C10" numFmtId="0">
      <sharedItems containsSemiMixedTypes="0" containsString="0" containsNumber="1" containsInteger="1" minValue="69639" maxValue="70067"/>
    </cacheField>
    <cacheField name="C11" numFmtId="0">
      <sharedItems/>
    </cacheField>
    <cacheField name="C12" numFmtId="0">
      <sharedItems/>
    </cacheField>
    <cacheField name="C13" numFmtId="0">
      <sharedItems containsSemiMixedTypes="0" containsString="0" containsNumber="1" containsInteger="1" minValue="260" maxValue="41795"/>
    </cacheField>
    <cacheField name="C14" numFmtId="0">
      <sharedItems/>
    </cacheField>
    <cacheField name="C15" numFmtId="0">
      <sharedItems containsSemiMixedTypes="0" containsString="0" containsNumber="1" containsInteger="1" minValue="260" maxValue="41795"/>
    </cacheField>
    <cacheField name="C16" numFmtId="0">
      <sharedItems count="3">
        <s v="TIBAJI"/>
        <s v="CENTRO SUL"/>
        <s v="TERLOGS" u="1"/>
      </sharedItems>
    </cacheField>
    <cacheField name="C17" numFmtId="0">
      <sharedItems containsNonDate="0" containsString="0" containsBlank="1"/>
    </cacheField>
    <cacheField name="C18" numFmtId="0">
      <sharedItems containsNonDate="0" containsString="0" containsBlank="1"/>
    </cacheField>
    <cacheField name="C19" numFmtId="0">
      <sharedItems containsNonDate="0" containsString="0" containsBlank="1"/>
    </cacheField>
    <cacheField name="C20" numFmtId="0">
      <sharedItems containsNonDate="0" containsString="0" containsBlank="1"/>
    </cacheField>
    <cacheField name="C21" numFmtId="0">
      <sharedItems containsNonDate="0" containsString="0" containsBlank="1"/>
    </cacheField>
    <cacheField name="C22" numFmtId="0">
      <sharedItems containsNonDate="0" containsString="0" containsBlank="1"/>
    </cacheField>
    <cacheField name="C23" numFmtId="0">
      <sharedItems containsNonDate="0" containsString="0" containsBlank="1"/>
    </cacheField>
    <cacheField name="C24" numFmtId="0">
      <sharedItems containsNonDate="0" containsString="0" containsBlank="1"/>
    </cacheField>
    <cacheField name="C25" numFmtId="0">
      <sharedItems containsNonDate="0" containsString="0" containsBlank="1"/>
    </cacheField>
    <cacheField name="C26" numFmtId="0">
      <sharedItems containsNonDate="0" containsString="0" containsBlank="1"/>
    </cacheField>
    <cacheField name="C27" numFmtId="0">
      <sharedItems containsNonDate="0" containsString="0" containsBlank="1"/>
    </cacheField>
    <cacheField name="C28" numFmtId="0">
      <sharedItems containsNonDate="0" containsString="0" containsBlank="1"/>
    </cacheField>
    <cacheField name="C29" numFmtId="0">
      <sharedItems containsNonDate="0" containsString="0" containsBlank="1"/>
    </cacheField>
    <cacheField name="C8C7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1">
  <r>
    <s v="HFS-7165544-L"/>
    <x v="0"/>
    <n v="79660"/>
    <n v="22080"/>
    <n v="57580"/>
    <s v="KG"/>
    <n v="159496.6"/>
    <n v="31"/>
    <x v="0"/>
    <n v="69972"/>
    <s v="1"/>
    <s v="05/04/2021"/>
    <n v="32399"/>
    <s v="ND"/>
    <n v="30857"/>
    <x v="0"/>
    <m/>
    <m/>
    <m/>
    <m/>
    <m/>
    <m/>
    <m/>
    <m/>
    <m/>
    <m/>
    <m/>
    <m/>
    <m/>
    <s v="HFS7165544"/>
  </r>
  <r>
    <s v="HFS-7165544-L"/>
    <x v="0"/>
    <n v="79660"/>
    <n v="22080"/>
    <n v="57580"/>
    <s v="KG"/>
    <n v="159496.6"/>
    <n v="31"/>
    <x v="0"/>
    <n v="70012"/>
    <s v="1"/>
    <s v="06/04/2021"/>
    <n v="37526"/>
    <s v="ND"/>
    <n v="26723"/>
    <x v="0"/>
    <m/>
    <m/>
    <m/>
    <m/>
    <m/>
    <m/>
    <m/>
    <m/>
    <m/>
    <m/>
    <m/>
    <m/>
    <m/>
    <s v="HFS7165544"/>
  </r>
  <r>
    <s v="HFE-7161140-L"/>
    <x v="0"/>
    <n v="84380"/>
    <n v="23010"/>
    <n v="61370"/>
    <s v="KG"/>
    <n v="169994.9"/>
    <n v="31"/>
    <x v="0"/>
    <n v="70012"/>
    <s v="1"/>
    <s v="06/04/2021"/>
    <n v="37526"/>
    <s v="ND"/>
    <n v="10803"/>
    <x v="0"/>
    <m/>
    <m/>
    <m/>
    <m/>
    <m/>
    <m/>
    <m/>
    <m/>
    <m/>
    <m/>
    <m/>
    <m/>
    <m/>
    <s v="HFE7161140"/>
  </r>
  <r>
    <s v="HFE-7161140-L"/>
    <x v="0"/>
    <n v="84380"/>
    <n v="23010"/>
    <n v="61370"/>
    <s v="KG"/>
    <n v="169994.9"/>
    <n v="31"/>
    <x v="0"/>
    <n v="70014"/>
    <s v="1"/>
    <s v="06/04/2021"/>
    <n v="31661"/>
    <s v="ND"/>
    <n v="31661"/>
    <x v="0"/>
    <m/>
    <m/>
    <m/>
    <m/>
    <m/>
    <m/>
    <m/>
    <m/>
    <m/>
    <m/>
    <m/>
    <m/>
    <m/>
    <s v="HFE7161140"/>
  </r>
  <r>
    <s v="HFE-7161140-L"/>
    <x v="0"/>
    <n v="84380"/>
    <n v="23010"/>
    <n v="61370"/>
    <s v="KG"/>
    <n v="169994.9"/>
    <n v="31"/>
    <x v="0"/>
    <n v="70015"/>
    <s v="1"/>
    <s v="06/04/2021"/>
    <n v="31960"/>
    <s v="ND"/>
    <n v="18906"/>
    <x v="0"/>
    <m/>
    <m/>
    <m/>
    <m/>
    <m/>
    <m/>
    <m/>
    <m/>
    <m/>
    <m/>
    <m/>
    <m/>
    <m/>
    <s v="HFE7161140"/>
  </r>
  <r>
    <s v="HFS-7153465-L"/>
    <x v="0"/>
    <n v="87520"/>
    <n v="24020"/>
    <n v="63500"/>
    <s v="KG"/>
    <n v="175895"/>
    <n v="31"/>
    <x v="0"/>
    <n v="70015"/>
    <s v="1"/>
    <s v="06/04/2021"/>
    <n v="31960"/>
    <s v="ND"/>
    <n v="13054"/>
    <x v="0"/>
    <m/>
    <m/>
    <m/>
    <m/>
    <m/>
    <m/>
    <m/>
    <m/>
    <m/>
    <m/>
    <m/>
    <m/>
    <m/>
    <s v="HFS7153465"/>
  </r>
  <r>
    <s v="HFS-7153465-L"/>
    <x v="0"/>
    <n v="87520"/>
    <n v="24020"/>
    <n v="63500"/>
    <s v="KG"/>
    <n v="175895"/>
    <n v="31"/>
    <x v="0"/>
    <n v="70016"/>
    <s v="1"/>
    <s v="06/04/2021"/>
    <n v="37047"/>
    <s v="ND"/>
    <n v="37047"/>
    <x v="0"/>
    <m/>
    <m/>
    <m/>
    <m/>
    <m/>
    <m/>
    <m/>
    <m/>
    <m/>
    <m/>
    <m/>
    <m/>
    <m/>
    <s v="HFS7153465"/>
  </r>
  <r>
    <s v="HFS-7153465-L"/>
    <x v="0"/>
    <n v="87520"/>
    <n v="24020"/>
    <n v="63500"/>
    <s v="KG"/>
    <n v="175895"/>
    <n v="31"/>
    <x v="0"/>
    <n v="70017"/>
    <s v="1"/>
    <s v="06/04/2021"/>
    <n v="36469"/>
    <s v="ND"/>
    <n v="13399"/>
    <x v="0"/>
    <m/>
    <m/>
    <m/>
    <m/>
    <m/>
    <m/>
    <m/>
    <m/>
    <m/>
    <m/>
    <m/>
    <m/>
    <m/>
    <s v="HFS7153465"/>
  </r>
  <r>
    <s v="HFD-6385257-L"/>
    <x v="0"/>
    <n v="70430"/>
    <n v="19560"/>
    <n v="50870"/>
    <s v="KG"/>
    <n v="140909.9"/>
    <n v="31"/>
    <x v="0"/>
    <n v="70017"/>
    <s v="1"/>
    <s v="06/04/2021"/>
    <n v="36469"/>
    <s v="ND"/>
    <n v="23070"/>
    <x v="0"/>
    <m/>
    <m/>
    <m/>
    <m/>
    <m/>
    <m/>
    <m/>
    <m/>
    <m/>
    <m/>
    <m/>
    <m/>
    <m/>
    <s v="HFD6385257"/>
  </r>
  <r>
    <s v="HFD-6385257-L"/>
    <x v="0"/>
    <n v="70430"/>
    <n v="19560"/>
    <n v="50870"/>
    <s v="KG"/>
    <n v="140909.9"/>
    <n v="31"/>
    <x v="0"/>
    <n v="70018"/>
    <s v="1"/>
    <s v="06/04/2021"/>
    <n v="31262"/>
    <s v="ND"/>
    <n v="27800"/>
    <x v="0"/>
    <m/>
    <m/>
    <m/>
    <m/>
    <m/>
    <m/>
    <m/>
    <m/>
    <m/>
    <m/>
    <m/>
    <m/>
    <m/>
    <s v="HFD6385257"/>
  </r>
  <r>
    <s v="HFD-6385656-L"/>
    <x v="0"/>
    <n v="70610"/>
    <n v="19640"/>
    <n v="50970"/>
    <s v="KG"/>
    <n v="141186.9"/>
    <n v="31"/>
    <x v="0"/>
    <n v="70018"/>
    <s v="1"/>
    <s v="06/04/2021"/>
    <n v="31262"/>
    <s v="ND"/>
    <n v="3462"/>
    <x v="0"/>
    <m/>
    <m/>
    <m/>
    <m/>
    <m/>
    <m/>
    <m/>
    <m/>
    <m/>
    <m/>
    <m/>
    <m/>
    <m/>
    <s v="HFD6385656"/>
  </r>
  <r>
    <s v="HFD-6385656-L"/>
    <x v="0"/>
    <n v="70610"/>
    <n v="19640"/>
    <n v="50970"/>
    <s v="KG"/>
    <n v="141186.9"/>
    <n v="31"/>
    <x v="0"/>
    <n v="70019"/>
    <s v="1"/>
    <s v="06/04/2021"/>
    <n v="37466"/>
    <s v="ND"/>
    <n v="37466"/>
    <x v="0"/>
    <m/>
    <m/>
    <m/>
    <m/>
    <m/>
    <m/>
    <m/>
    <m/>
    <m/>
    <m/>
    <m/>
    <m/>
    <m/>
    <s v="HFD6385656"/>
  </r>
  <r>
    <s v="HFD-6385656-L"/>
    <x v="0"/>
    <n v="70610"/>
    <n v="19640"/>
    <n v="50970"/>
    <s v="KG"/>
    <n v="141186.9"/>
    <n v="31"/>
    <x v="0"/>
    <n v="70020"/>
    <s v="1"/>
    <s v="06/04/2021"/>
    <n v="31720"/>
    <s v="ND"/>
    <n v="10042"/>
    <x v="0"/>
    <m/>
    <m/>
    <m/>
    <m/>
    <m/>
    <m/>
    <m/>
    <m/>
    <m/>
    <m/>
    <m/>
    <m/>
    <m/>
    <s v="HFD6385656"/>
  </r>
  <r>
    <s v="HPE-7171358-"/>
    <x v="0"/>
    <n v="86030"/>
    <n v="22140"/>
    <n v="63890"/>
    <s v="KG"/>
    <n v="176975.3"/>
    <n v="31"/>
    <x v="0"/>
    <n v="70020"/>
    <s v="1"/>
    <s v="06/04/2021"/>
    <n v="31720"/>
    <s v="ND"/>
    <n v="21678"/>
    <x v="0"/>
    <m/>
    <m/>
    <m/>
    <m/>
    <m/>
    <m/>
    <m/>
    <m/>
    <m/>
    <m/>
    <m/>
    <m/>
    <m/>
    <s v="HPE7171358"/>
  </r>
  <r>
    <s v="HPE-7171358-"/>
    <x v="0"/>
    <n v="86030"/>
    <n v="22140"/>
    <n v="63890"/>
    <s v="KG"/>
    <n v="176975.3"/>
    <n v="31"/>
    <x v="0"/>
    <n v="70021"/>
    <s v="1"/>
    <s v="06/04/2021"/>
    <n v="31960"/>
    <s v="ND"/>
    <n v="31960"/>
    <x v="0"/>
    <m/>
    <m/>
    <m/>
    <m/>
    <m/>
    <m/>
    <m/>
    <m/>
    <m/>
    <m/>
    <m/>
    <m/>
    <m/>
    <s v="HPE7171358"/>
  </r>
  <r>
    <s v="HPE-7171358-"/>
    <x v="0"/>
    <n v="86030"/>
    <n v="22140"/>
    <n v="63890"/>
    <s v="KG"/>
    <n v="176975.3"/>
    <n v="31"/>
    <x v="0"/>
    <n v="70022"/>
    <s v="1"/>
    <s v="06/04/2021"/>
    <n v="37745"/>
    <s v="ND"/>
    <n v="10252"/>
    <x v="0"/>
    <m/>
    <m/>
    <m/>
    <m/>
    <m/>
    <m/>
    <m/>
    <m/>
    <m/>
    <m/>
    <m/>
    <m/>
    <m/>
    <s v="HPE7171358"/>
  </r>
  <r>
    <s v="HFE-0527971-"/>
    <x v="0"/>
    <n v="84540"/>
    <n v="22420"/>
    <n v="62120"/>
    <s v="KG"/>
    <n v="172072.4"/>
    <n v="31"/>
    <x v="0"/>
    <n v="70022"/>
    <s v="1"/>
    <s v="06/04/2021"/>
    <n v="37745"/>
    <s v="ND"/>
    <n v="27493"/>
    <x v="0"/>
    <m/>
    <m/>
    <m/>
    <m/>
    <m/>
    <m/>
    <m/>
    <m/>
    <m/>
    <m/>
    <m/>
    <m/>
    <m/>
    <s v="HFE0527971"/>
  </r>
  <r>
    <s v="HFE-0527971-"/>
    <x v="0"/>
    <n v="84540"/>
    <n v="22420"/>
    <n v="62120"/>
    <s v="KG"/>
    <n v="172072.4"/>
    <n v="31"/>
    <x v="0"/>
    <n v="70023"/>
    <s v="1"/>
    <s v="06/04/2021"/>
    <n v="33975"/>
    <s v="ND"/>
    <n v="33975"/>
    <x v="0"/>
    <m/>
    <m/>
    <m/>
    <m/>
    <m/>
    <m/>
    <m/>
    <m/>
    <m/>
    <m/>
    <m/>
    <m/>
    <m/>
    <s v="HFE0527971"/>
  </r>
  <r>
    <s v="HFE-0527971-"/>
    <x v="0"/>
    <n v="84540"/>
    <n v="22420"/>
    <n v="62120"/>
    <s v="KG"/>
    <n v="172072.4"/>
    <n v="31"/>
    <x v="0"/>
    <n v="70024"/>
    <s v="1"/>
    <s v="06/04/2021"/>
    <n v="28369"/>
    <s v="ND"/>
    <n v="652"/>
    <x v="0"/>
    <m/>
    <m/>
    <m/>
    <m/>
    <m/>
    <m/>
    <m/>
    <m/>
    <m/>
    <m/>
    <m/>
    <m/>
    <m/>
    <s v="HFE0527971"/>
  </r>
  <r>
    <s v="HFE-7155239-L"/>
    <x v="0"/>
    <n v="86550"/>
    <n v="23310"/>
    <n v="63240"/>
    <s v="KG"/>
    <n v="175174.8"/>
    <n v="31"/>
    <x v="0"/>
    <n v="70024"/>
    <s v="1"/>
    <s v="06/04/2021"/>
    <n v="28369"/>
    <s v="ND"/>
    <n v="27717"/>
    <x v="0"/>
    <m/>
    <m/>
    <m/>
    <m/>
    <m/>
    <m/>
    <m/>
    <m/>
    <m/>
    <m/>
    <m/>
    <m/>
    <m/>
    <s v="HFE7155239"/>
  </r>
  <r>
    <s v="HFE-7155239-L"/>
    <x v="0"/>
    <n v="86550"/>
    <n v="23310"/>
    <n v="63240"/>
    <s v="KG"/>
    <n v="175174.8"/>
    <n v="31"/>
    <x v="0"/>
    <n v="70025"/>
    <s v="1"/>
    <s v="06/04/2021"/>
    <n v="39062"/>
    <s v="ND"/>
    <n v="35523"/>
    <x v="0"/>
    <m/>
    <m/>
    <m/>
    <m/>
    <m/>
    <m/>
    <m/>
    <m/>
    <m/>
    <m/>
    <m/>
    <m/>
    <m/>
    <s v="HFE7155239"/>
  </r>
  <r>
    <s v="HFE-7157673-L"/>
    <x v="0"/>
    <n v="85570"/>
    <n v="22640"/>
    <n v="62930"/>
    <s v="KG"/>
    <n v="174316.1"/>
    <n v="31"/>
    <x v="0"/>
    <n v="70025"/>
    <s v="1"/>
    <s v="06/04/2021"/>
    <n v="39062"/>
    <s v="ND"/>
    <n v="3539"/>
    <x v="0"/>
    <m/>
    <m/>
    <m/>
    <m/>
    <m/>
    <m/>
    <m/>
    <m/>
    <m/>
    <m/>
    <m/>
    <m/>
    <m/>
    <s v="HFE7157673"/>
  </r>
  <r>
    <s v="HFE-7157673-L"/>
    <x v="0"/>
    <n v="85570"/>
    <n v="22640"/>
    <n v="62930"/>
    <s v="KG"/>
    <n v="174316.1"/>
    <n v="31"/>
    <x v="0"/>
    <n v="70026"/>
    <s v="1"/>
    <s v="06/04/2021"/>
    <n v="37207"/>
    <s v="ND"/>
    <n v="37207"/>
    <x v="0"/>
    <m/>
    <m/>
    <m/>
    <m/>
    <m/>
    <m/>
    <m/>
    <m/>
    <m/>
    <m/>
    <m/>
    <m/>
    <m/>
    <s v="HFE7157673"/>
  </r>
  <r>
    <s v="HFE-7157673-L"/>
    <x v="0"/>
    <n v="85570"/>
    <n v="22640"/>
    <n v="62930"/>
    <s v="KG"/>
    <n v="174316.1"/>
    <n v="31"/>
    <x v="0"/>
    <n v="70027"/>
    <s v="1"/>
    <s v="06/04/2021"/>
    <n v="38164"/>
    <s v="ND"/>
    <n v="22184"/>
    <x v="0"/>
    <m/>
    <m/>
    <m/>
    <m/>
    <m/>
    <m/>
    <m/>
    <m/>
    <m/>
    <m/>
    <m/>
    <m/>
    <m/>
    <s v="HFE7157673"/>
  </r>
  <r>
    <s v="HFD-6255035-"/>
    <x v="0"/>
    <n v="70610"/>
    <n v="17890"/>
    <n v="52720"/>
    <s v="KG"/>
    <n v="146034.4"/>
    <n v="31"/>
    <x v="0"/>
    <n v="70027"/>
    <s v="1"/>
    <s v="06/04/2021"/>
    <n v="38164"/>
    <s v="ND"/>
    <n v="15980"/>
    <x v="0"/>
    <m/>
    <m/>
    <m/>
    <m/>
    <m/>
    <m/>
    <m/>
    <m/>
    <m/>
    <m/>
    <m/>
    <m/>
    <m/>
    <s v="HFD6255035"/>
  </r>
  <r>
    <s v="HFD-6255035-"/>
    <x v="0"/>
    <n v="70610"/>
    <n v="17890"/>
    <n v="52720"/>
    <s v="KG"/>
    <n v="146034.4"/>
    <n v="31"/>
    <x v="0"/>
    <n v="70028"/>
    <s v="1"/>
    <s v="06/04/2021"/>
    <n v="32937"/>
    <s v="ND"/>
    <n v="32937"/>
    <x v="0"/>
    <m/>
    <m/>
    <m/>
    <m/>
    <m/>
    <m/>
    <m/>
    <m/>
    <m/>
    <m/>
    <m/>
    <m/>
    <m/>
    <s v="HFD6255035"/>
  </r>
  <r>
    <s v="HFD-6255035-"/>
    <x v="0"/>
    <n v="70610"/>
    <n v="17890"/>
    <n v="52720"/>
    <s v="KG"/>
    <n v="146034.4"/>
    <n v="31"/>
    <x v="0"/>
    <n v="70029"/>
    <s v="1"/>
    <s v="06/04/2021"/>
    <n v="31341"/>
    <s v="ND"/>
    <n v="3803"/>
    <x v="0"/>
    <m/>
    <m/>
    <m/>
    <m/>
    <m/>
    <m/>
    <m/>
    <m/>
    <m/>
    <m/>
    <m/>
    <m/>
    <m/>
    <s v="HFD6255035"/>
  </r>
  <r>
    <s v="HFE-0530476-"/>
    <x v="0"/>
    <n v="83530"/>
    <n v="23510"/>
    <n v="60020"/>
    <s v="KG"/>
    <n v="166255.4"/>
    <n v="31"/>
    <x v="0"/>
    <n v="70029"/>
    <s v="1"/>
    <s v="06/04/2021"/>
    <n v="31341"/>
    <s v="ND"/>
    <n v="27538"/>
    <x v="0"/>
    <m/>
    <m/>
    <m/>
    <m/>
    <m/>
    <m/>
    <m/>
    <m/>
    <m/>
    <m/>
    <m/>
    <m/>
    <m/>
    <s v="HFE0530476"/>
  </r>
  <r>
    <s v="HFE-0530476-"/>
    <x v="0"/>
    <n v="83530"/>
    <n v="23510"/>
    <n v="60020"/>
    <s v="KG"/>
    <n v="166255.4"/>
    <n v="31"/>
    <x v="0"/>
    <n v="70030"/>
    <s v="1"/>
    <s v="06/04/2021"/>
    <n v="33177"/>
    <s v="ND"/>
    <n v="32482"/>
    <x v="0"/>
    <m/>
    <m/>
    <m/>
    <m/>
    <m/>
    <m/>
    <m/>
    <m/>
    <m/>
    <m/>
    <m/>
    <m/>
    <m/>
    <s v="HFE0530476"/>
  </r>
  <r>
    <s v="FHD-6259146-J"/>
    <x v="0"/>
    <n v="75050"/>
    <n v="19430"/>
    <n v="55620"/>
    <s v="KG"/>
    <n v="154067.4"/>
    <n v="31"/>
    <x v="0"/>
    <n v="70030"/>
    <s v="1"/>
    <s v="06/04/2021"/>
    <n v="33177"/>
    <s v="ND"/>
    <n v="695"/>
    <x v="0"/>
    <m/>
    <m/>
    <m/>
    <m/>
    <m/>
    <m/>
    <m/>
    <m/>
    <m/>
    <m/>
    <m/>
    <m/>
    <m/>
    <s v="FHD6259146"/>
  </r>
  <r>
    <s v="FHD-6259146-J"/>
    <x v="0"/>
    <n v="75050"/>
    <n v="19430"/>
    <n v="55620"/>
    <s v="KG"/>
    <n v="154067.4"/>
    <n v="31"/>
    <x v="0"/>
    <n v="70031"/>
    <s v="1"/>
    <s v="06/04/2021"/>
    <n v="32359"/>
    <s v="ND"/>
    <n v="32359"/>
    <x v="0"/>
    <m/>
    <m/>
    <m/>
    <m/>
    <m/>
    <m/>
    <m/>
    <m/>
    <m/>
    <m/>
    <m/>
    <m/>
    <m/>
    <s v="FHD6259146"/>
  </r>
  <r>
    <s v="FHD-6259146-J"/>
    <x v="0"/>
    <n v="75050"/>
    <n v="19430"/>
    <n v="55620"/>
    <s v="KG"/>
    <n v="154067.4"/>
    <n v="31"/>
    <x v="0"/>
    <n v="70032"/>
    <s v="1"/>
    <s v="06/04/2021"/>
    <n v="20958"/>
    <s v="ND"/>
    <n v="20958"/>
    <x v="0"/>
    <m/>
    <m/>
    <m/>
    <m/>
    <m/>
    <m/>
    <m/>
    <m/>
    <m/>
    <m/>
    <m/>
    <m/>
    <m/>
    <s v="FHD6259146"/>
  </r>
  <r>
    <s v="FHD-6259146-J"/>
    <x v="0"/>
    <n v="75050"/>
    <n v="19430"/>
    <n v="55620"/>
    <s v="KG"/>
    <n v="154067.4"/>
    <n v="31"/>
    <x v="0"/>
    <n v="70033"/>
    <s v="1"/>
    <s v="06/04/2021"/>
    <n v="11720"/>
    <s v="ND"/>
    <n v="1608"/>
    <x v="0"/>
    <m/>
    <m/>
    <m/>
    <m/>
    <m/>
    <m/>
    <m/>
    <m/>
    <m/>
    <m/>
    <m/>
    <m/>
    <m/>
    <s v="FHD6259146"/>
  </r>
  <r>
    <s v="HFE-7155875-"/>
    <x v="0"/>
    <n v="84880"/>
    <n v="22940"/>
    <n v="61940"/>
    <s v="KG"/>
    <n v="171573.8"/>
    <n v="31"/>
    <x v="0"/>
    <n v="70033"/>
    <s v="1"/>
    <s v="06/04/2021"/>
    <n v="11720"/>
    <s v="ND"/>
    <n v="10112"/>
    <x v="0"/>
    <m/>
    <m/>
    <m/>
    <m/>
    <m/>
    <m/>
    <m/>
    <m/>
    <m/>
    <m/>
    <m/>
    <m/>
    <m/>
    <s v="HFE7155875"/>
  </r>
  <r>
    <s v="HFE-7155875-"/>
    <x v="0"/>
    <n v="84880"/>
    <n v="22940"/>
    <n v="61940"/>
    <s v="KG"/>
    <n v="171573.8"/>
    <n v="31"/>
    <x v="0"/>
    <n v="70034"/>
    <s v="1"/>
    <s v="06/04/2021"/>
    <n v="33177"/>
    <s v="ND"/>
    <n v="33177"/>
    <x v="0"/>
    <m/>
    <m/>
    <m/>
    <m/>
    <m/>
    <m/>
    <m/>
    <m/>
    <m/>
    <m/>
    <m/>
    <m/>
    <m/>
    <s v="HFE7155875"/>
  </r>
  <r>
    <s v="HFE-7155875-"/>
    <x v="0"/>
    <n v="84880"/>
    <n v="22940"/>
    <n v="61940"/>
    <s v="KG"/>
    <n v="171573.8"/>
    <n v="31"/>
    <x v="0"/>
    <n v="70035"/>
    <s v="1"/>
    <s v="06/04/2021"/>
    <n v="32937"/>
    <s v="ND"/>
    <n v="18651"/>
    <x v="0"/>
    <m/>
    <m/>
    <m/>
    <m/>
    <m/>
    <m/>
    <m/>
    <m/>
    <m/>
    <m/>
    <m/>
    <m/>
    <m/>
    <s v="HFE7155875"/>
  </r>
  <r>
    <s v="HFE-7156278-"/>
    <x v="0"/>
    <n v="85410"/>
    <n v="23280"/>
    <n v="62130"/>
    <s v="KG"/>
    <n v="172100.1"/>
    <n v="31"/>
    <x v="0"/>
    <n v="70035"/>
    <s v="1"/>
    <s v="06/04/2021"/>
    <n v="32937"/>
    <s v="ND"/>
    <n v="14286"/>
    <x v="0"/>
    <m/>
    <m/>
    <m/>
    <m/>
    <m/>
    <m/>
    <m/>
    <m/>
    <m/>
    <m/>
    <m/>
    <m/>
    <m/>
    <s v="HFE7156278"/>
  </r>
  <r>
    <s v="HFE-7156278-"/>
    <x v="0"/>
    <n v="85410"/>
    <n v="23280"/>
    <n v="62130"/>
    <s v="KG"/>
    <n v="172100.1"/>
    <n v="31"/>
    <x v="0"/>
    <n v="70036"/>
    <s v="1"/>
    <s v="06/04/2021"/>
    <n v="39321"/>
    <s v="ND"/>
    <n v="39321"/>
    <x v="0"/>
    <m/>
    <m/>
    <m/>
    <m/>
    <m/>
    <m/>
    <m/>
    <m/>
    <m/>
    <m/>
    <m/>
    <m/>
    <m/>
    <s v="HFE7156278"/>
  </r>
  <r>
    <s v="HFE-7156278-"/>
    <x v="0"/>
    <n v="85410"/>
    <n v="23280"/>
    <n v="62130"/>
    <s v="KG"/>
    <n v="172100.1"/>
    <n v="31"/>
    <x v="0"/>
    <n v="70037"/>
    <s v="1"/>
    <s v="06/04/2021"/>
    <n v="32818"/>
    <s v="ND"/>
    <n v="8523"/>
    <x v="0"/>
    <m/>
    <m/>
    <m/>
    <m/>
    <m/>
    <m/>
    <m/>
    <m/>
    <m/>
    <m/>
    <m/>
    <m/>
    <m/>
    <s v="HFE7156278"/>
  </r>
  <r>
    <s v="HFE-7155484-L"/>
    <x v="0"/>
    <n v="85640"/>
    <n v="22840"/>
    <n v="62800"/>
    <s v="KG"/>
    <n v="173956"/>
    <n v="31"/>
    <x v="0"/>
    <n v="70037"/>
    <s v="1"/>
    <s v="06/04/2021"/>
    <n v="32818"/>
    <s v="ND"/>
    <n v="24295"/>
    <x v="0"/>
    <m/>
    <m/>
    <m/>
    <m/>
    <m/>
    <m/>
    <m/>
    <m/>
    <m/>
    <m/>
    <m/>
    <m/>
    <m/>
    <s v="HFE7155484"/>
  </r>
  <r>
    <s v="HFE-7155484-L"/>
    <x v="0"/>
    <n v="85640"/>
    <n v="22840"/>
    <n v="62800"/>
    <s v="KG"/>
    <n v="173956"/>
    <n v="31"/>
    <x v="0"/>
    <n v="70038"/>
    <s v="1"/>
    <s v="06/04/2021"/>
    <n v="36868"/>
    <s v="ND"/>
    <n v="36868"/>
    <x v="0"/>
    <m/>
    <m/>
    <m/>
    <m/>
    <m/>
    <m/>
    <m/>
    <m/>
    <m/>
    <m/>
    <m/>
    <m/>
    <m/>
    <s v="HFE7155484"/>
  </r>
  <r>
    <s v="HFE-7155484-L"/>
    <x v="0"/>
    <n v="85640"/>
    <n v="22840"/>
    <n v="62800"/>
    <s v="KG"/>
    <n v="173956"/>
    <n v="31"/>
    <x v="0"/>
    <n v="70039"/>
    <s v="1"/>
    <s v="06/04/2021"/>
    <n v="37865"/>
    <s v="ND"/>
    <n v="1637"/>
    <x v="0"/>
    <m/>
    <m/>
    <m/>
    <m/>
    <m/>
    <m/>
    <m/>
    <m/>
    <m/>
    <m/>
    <m/>
    <m/>
    <m/>
    <s v="HFE7155484"/>
  </r>
  <r>
    <s v="HFE-0517682-L"/>
    <x v="0"/>
    <n v="83360"/>
    <n v="24290"/>
    <n v="59070"/>
    <s v="KG"/>
    <n v="163623.9"/>
    <n v="31"/>
    <x v="0"/>
    <n v="70039"/>
    <s v="1"/>
    <s v="06/04/2021"/>
    <n v="37865"/>
    <s v="ND"/>
    <n v="36228"/>
    <x v="0"/>
    <m/>
    <m/>
    <m/>
    <m/>
    <m/>
    <m/>
    <m/>
    <m/>
    <m/>
    <m/>
    <m/>
    <m/>
    <m/>
    <s v="HFE0517682"/>
  </r>
  <r>
    <s v="HFE-0517682-L"/>
    <x v="0"/>
    <n v="83360"/>
    <n v="24290"/>
    <n v="59070"/>
    <s v="KG"/>
    <n v="163623.9"/>
    <n v="31"/>
    <x v="0"/>
    <n v="70040"/>
    <s v="1"/>
    <s v="06/04/2021"/>
    <n v="16977"/>
    <s v="ND"/>
    <n v="16977"/>
    <x v="0"/>
    <m/>
    <m/>
    <m/>
    <m/>
    <m/>
    <m/>
    <m/>
    <m/>
    <m/>
    <m/>
    <m/>
    <m/>
    <m/>
    <s v="HFE0517682"/>
  </r>
  <r>
    <s v="HFE-0517682-L"/>
    <x v="0"/>
    <n v="83360"/>
    <n v="24290"/>
    <n v="59070"/>
    <s v="KG"/>
    <n v="163623.9"/>
    <n v="31"/>
    <x v="0"/>
    <n v="70041"/>
    <s v="1"/>
    <s v="06/04/2021"/>
    <n v="31880"/>
    <s v="ND"/>
    <n v="5865"/>
    <x v="0"/>
    <m/>
    <m/>
    <m/>
    <m/>
    <m/>
    <m/>
    <m/>
    <m/>
    <m/>
    <m/>
    <m/>
    <m/>
    <m/>
    <s v="HFE0517682"/>
  </r>
  <r>
    <s v="HFD-6323821-L"/>
    <x v="0"/>
    <n v="66840"/>
    <n v="18690"/>
    <n v="48150"/>
    <s v="KG"/>
    <n v="133375.5"/>
    <n v="31"/>
    <x v="0"/>
    <n v="70041"/>
    <s v="1"/>
    <s v="06/04/2021"/>
    <n v="31880"/>
    <s v="ND"/>
    <n v="26015"/>
    <x v="0"/>
    <m/>
    <m/>
    <m/>
    <m/>
    <m/>
    <m/>
    <m/>
    <m/>
    <m/>
    <m/>
    <m/>
    <m/>
    <m/>
    <s v="HFD6323821"/>
  </r>
  <r>
    <s v="HFD-6323821-L"/>
    <x v="0"/>
    <n v="66840"/>
    <n v="18690"/>
    <n v="48150"/>
    <s v="KG"/>
    <n v="133375.5"/>
    <n v="31"/>
    <x v="0"/>
    <n v="70066"/>
    <s v="1"/>
    <s v="07/04/2021"/>
    <n v="260"/>
    <s v="ND"/>
    <n v="260"/>
    <x v="0"/>
    <m/>
    <m/>
    <m/>
    <m/>
    <m/>
    <m/>
    <m/>
    <m/>
    <m/>
    <m/>
    <m/>
    <m/>
    <m/>
    <s v="HFD6323821"/>
  </r>
  <r>
    <s v="HFD-6323821-L"/>
    <x v="0"/>
    <n v="66840"/>
    <n v="18690"/>
    <n v="48150"/>
    <s v="KG"/>
    <n v="133375.5"/>
    <n v="31"/>
    <x v="0"/>
    <n v="70067"/>
    <s v="1"/>
    <s v="07/04/2021"/>
    <n v="37685"/>
    <s v="ND"/>
    <n v="21875"/>
    <x v="0"/>
    <m/>
    <m/>
    <m/>
    <m/>
    <m/>
    <m/>
    <m/>
    <m/>
    <m/>
    <m/>
    <m/>
    <m/>
    <m/>
    <s v="HFD6323821"/>
  </r>
  <r>
    <s v="HFD-6434321-L"/>
    <x v="1"/>
    <n v="68880"/>
    <n v="19520"/>
    <n v="49360"/>
    <s v="KG"/>
    <n v="136727.20000000001"/>
    <n v="30"/>
    <x v="0"/>
    <n v="69639"/>
    <s v="1"/>
    <s v="31/03/2021"/>
    <n v="37606"/>
    <s v="ND"/>
    <n v="28380"/>
    <x v="1"/>
    <m/>
    <m/>
    <m/>
    <m/>
    <m/>
    <m/>
    <m/>
    <m/>
    <m/>
    <m/>
    <m/>
    <m/>
    <m/>
    <s v="HFD6434321"/>
  </r>
  <r>
    <s v="HFD-6434321-L"/>
    <x v="1"/>
    <n v="68880"/>
    <n v="19520"/>
    <n v="49360"/>
    <s v="KG"/>
    <n v="136727.20000000001"/>
    <n v="30"/>
    <x v="0"/>
    <n v="69640"/>
    <s v="1"/>
    <s v="31/03/2021"/>
    <n v="36249"/>
    <s v="ND"/>
    <n v="20980"/>
    <x v="1"/>
    <m/>
    <m/>
    <m/>
    <m/>
    <m/>
    <m/>
    <m/>
    <m/>
    <m/>
    <m/>
    <m/>
    <m/>
    <m/>
    <s v="HFD6434321"/>
  </r>
  <r>
    <s v="FHD-3055370-Z"/>
    <x v="0"/>
    <n v="75460"/>
    <n v="19810"/>
    <n v="55650"/>
    <s v="KG"/>
    <n v="154150.5"/>
    <n v="30"/>
    <x v="0"/>
    <n v="69640"/>
    <s v="1"/>
    <s v="31/03/2021"/>
    <n v="36249"/>
    <s v="ND"/>
    <n v="15269"/>
    <x v="1"/>
    <m/>
    <m/>
    <m/>
    <m/>
    <m/>
    <m/>
    <m/>
    <m/>
    <m/>
    <m/>
    <m/>
    <m/>
    <m/>
    <s v="FHD3055370"/>
  </r>
  <r>
    <s v="FHD-3055370-Z"/>
    <x v="0"/>
    <n v="75460"/>
    <n v="19810"/>
    <n v="55650"/>
    <s v="KG"/>
    <n v="154150.5"/>
    <n v="30"/>
    <x v="0"/>
    <n v="69641"/>
    <s v="1"/>
    <s v="31/03/2021"/>
    <n v="36927"/>
    <s v="ND"/>
    <n v="36927"/>
    <x v="1"/>
    <m/>
    <m/>
    <m/>
    <m/>
    <m/>
    <m/>
    <m/>
    <m/>
    <m/>
    <m/>
    <m/>
    <m/>
    <m/>
    <s v="FHD3055370"/>
  </r>
  <r>
    <s v="FHD-3055370-Z"/>
    <x v="0"/>
    <n v="75460"/>
    <n v="19810"/>
    <n v="55650"/>
    <s v="KG"/>
    <n v="154150.5"/>
    <n v="30"/>
    <x v="0"/>
    <n v="69642"/>
    <s v="1"/>
    <s v="31/03/2021"/>
    <n v="37227"/>
    <s v="ND"/>
    <n v="3454"/>
    <x v="1"/>
    <m/>
    <m/>
    <m/>
    <m/>
    <m/>
    <m/>
    <m/>
    <m/>
    <m/>
    <m/>
    <m/>
    <m/>
    <m/>
    <s v="FHD3055370"/>
  </r>
  <r>
    <s v="FHD-6453813-L"/>
    <x v="0"/>
    <n v="73340"/>
    <n v="19620"/>
    <n v="53720"/>
    <s v="KG"/>
    <n v="148804.4"/>
    <n v="30"/>
    <x v="0"/>
    <n v="69642"/>
    <s v="1"/>
    <s v="31/03/2021"/>
    <n v="37227"/>
    <s v="ND"/>
    <n v="33773"/>
    <x v="1"/>
    <m/>
    <m/>
    <m/>
    <m/>
    <m/>
    <m/>
    <m/>
    <m/>
    <m/>
    <m/>
    <m/>
    <m/>
    <m/>
    <s v="FHD6453813"/>
  </r>
  <r>
    <s v="FHD-6453813-L"/>
    <x v="0"/>
    <n v="73340"/>
    <n v="19620"/>
    <n v="53720"/>
    <s v="KG"/>
    <n v="148804.4"/>
    <n v="30"/>
    <x v="0"/>
    <n v="69643"/>
    <s v="1"/>
    <s v="31/03/2021"/>
    <n v="36389"/>
    <s v="ND"/>
    <n v="19947"/>
    <x v="1"/>
    <m/>
    <m/>
    <m/>
    <m/>
    <m/>
    <m/>
    <m/>
    <m/>
    <m/>
    <m/>
    <m/>
    <m/>
    <m/>
    <s v="FHD6453813"/>
  </r>
  <r>
    <s v="FHD-6407153-L"/>
    <x v="0"/>
    <n v="78660"/>
    <n v="18720"/>
    <n v="59940"/>
    <s v="KG"/>
    <n v="166033.79999999999"/>
    <n v="30"/>
    <x v="0"/>
    <n v="69643"/>
    <s v="1"/>
    <s v="31/03/2021"/>
    <n v="36389"/>
    <s v="ND"/>
    <n v="16442"/>
    <x v="1"/>
    <m/>
    <m/>
    <m/>
    <m/>
    <m/>
    <m/>
    <m/>
    <m/>
    <m/>
    <m/>
    <m/>
    <m/>
    <m/>
    <s v="FHD6407153"/>
  </r>
  <r>
    <s v="FHD-6407153-L"/>
    <x v="0"/>
    <n v="78660"/>
    <n v="18720"/>
    <n v="59940"/>
    <s v="KG"/>
    <n v="166033.79999999999"/>
    <n v="30"/>
    <x v="0"/>
    <n v="69644"/>
    <s v="1"/>
    <s v="31/03/2021"/>
    <n v="37167"/>
    <s v="ND"/>
    <n v="37167"/>
    <x v="1"/>
    <m/>
    <m/>
    <m/>
    <m/>
    <m/>
    <m/>
    <m/>
    <m/>
    <m/>
    <m/>
    <m/>
    <m/>
    <m/>
    <s v="FHD6407153"/>
  </r>
  <r>
    <s v="FHD-6407153-L"/>
    <x v="0"/>
    <n v="78660"/>
    <n v="18720"/>
    <n v="59940"/>
    <s v="KG"/>
    <n v="166033.79999999999"/>
    <n v="30"/>
    <x v="0"/>
    <n v="69645"/>
    <s v="1"/>
    <s v="31/03/2021"/>
    <n v="35671"/>
    <s v="ND"/>
    <n v="6331"/>
    <x v="1"/>
    <m/>
    <m/>
    <m/>
    <m/>
    <m/>
    <m/>
    <m/>
    <m/>
    <m/>
    <m/>
    <m/>
    <m/>
    <m/>
    <s v="FHD6407153"/>
  </r>
  <r>
    <s v="FHD-6460461-L"/>
    <x v="0"/>
    <n v="79420"/>
    <n v="19100"/>
    <n v="60320"/>
    <s v="KG"/>
    <n v="167086.39999999999"/>
    <n v="30"/>
    <x v="0"/>
    <n v="69645"/>
    <s v="1"/>
    <s v="31/03/2021"/>
    <n v="35671"/>
    <s v="ND"/>
    <n v="29340"/>
    <x v="1"/>
    <m/>
    <m/>
    <m/>
    <m/>
    <m/>
    <m/>
    <m/>
    <m/>
    <m/>
    <m/>
    <m/>
    <m/>
    <m/>
    <s v="FHD6460461"/>
  </r>
  <r>
    <s v="FHD-6460461-L"/>
    <x v="0"/>
    <n v="79420"/>
    <n v="19100"/>
    <n v="60320"/>
    <s v="KG"/>
    <n v="167086.39999999999"/>
    <n v="30"/>
    <x v="0"/>
    <n v="69646"/>
    <s v="1"/>
    <s v="31/03/2021"/>
    <n v="37227"/>
    <s v="ND"/>
    <n v="30980"/>
    <x v="1"/>
    <m/>
    <m/>
    <m/>
    <m/>
    <m/>
    <m/>
    <m/>
    <m/>
    <m/>
    <m/>
    <m/>
    <m/>
    <m/>
    <s v="FHD6460461"/>
  </r>
  <r>
    <s v="FHD-6358845-L"/>
    <x v="0"/>
    <n v="77210"/>
    <n v="18090"/>
    <n v="59120"/>
    <s v="KG"/>
    <n v="163762.4"/>
    <n v="30"/>
    <x v="0"/>
    <n v="69646"/>
    <s v="1"/>
    <s v="31/03/2021"/>
    <n v="37227"/>
    <s v="ND"/>
    <n v="6247"/>
    <x v="1"/>
    <m/>
    <m/>
    <m/>
    <m/>
    <m/>
    <m/>
    <m/>
    <m/>
    <m/>
    <m/>
    <m/>
    <m/>
    <m/>
    <s v="FHD6358845"/>
  </r>
  <r>
    <s v="FHD-6358845-L"/>
    <x v="0"/>
    <n v="77210"/>
    <n v="18090"/>
    <n v="59120"/>
    <s v="KG"/>
    <n v="163762.4"/>
    <n v="30"/>
    <x v="0"/>
    <n v="69763"/>
    <s v="1"/>
    <s v="31/03/2021"/>
    <n v="26134"/>
    <s v="ND"/>
    <n v="26134"/>
    <x v="1"/>
    <m/>
    <m/>
    <m/>
    <m/>
    <m/>
    <m/>
    <m/>
    <m/>
    <m/>
    <m/>
    <m/>
    <m/>
    <m/>
    <s v="FHD6358845"/>
  </r>
  <r>
    <s v="FHD-6358845-L"/>
    <x v="0"/>
    <n v="77210"/>
    <n v="18090"/>
    <n v="59120"/>
    <s v="KG"/>
    <n v="163762.4"/>
    <n v="30"/>
    <x v="0"/>
    <n v="69764"/>
    <s v="1"/>
    <s v="31/03/2021"/>
    <n v="17356"/>
    <s v="ND"/>
    <n v="17356"/>
    <x v="1"/>
    <m/>
    <m/>
    <m/>
    <m/>
    <m/>
    <m/>
    <m/>
    <m/>
    <m/>
    <m/>
    <m/>
    <m/>
    <m/>
    <s v="FHD6358845"/>
  </r>
  <r>
    <s v="FHD-6358845-L"/>
    <x v="0"/>
    <n v="77210"/>
    <n v="18090"/>
    <n v="59120"/>
    <s v="KG"/>
    <n v="163762.4"/>
    <n v="30"/>
    <x v="0"/>
    <n v="69765"/>
    <s v="1"/>
    <s v="31/03/2021"/>
    <n v="34813"/>
    <s v="ND"/>
    <n v="9383"/>
    <x v="1"/>
    <m/>
    <m/>
    <m/>
    <m/>
    <m/>
    <m/>
    <m/>
    <m/>
    <m/>
    <m/>
    <m/>
    <m/>
    <m/>
    <s v="FHD6358845"/>
  </r>
  <r>
    <s v="HFD-6382223-L"/>
    <x v="0"/>
    <n v="68860"/>
    <n v="18650"/>
    <n v="50210"/>
    <s v="KG"/>
    <n v="139081.70000000001"/>
    <n v="30"/>
    <x v="0"/>
    <n v="69765"/>
    <s v="1"/>
    <s v="31/03/2021"/>
    <n v="34813"/>
    <s v="ND"/>
    <n v="25430"/>
    <x v="1"/>
    <m/>
    <m/>
    <m/>
    <m/>
    <m/>
    <m/>
    <m/>
    <m/>
    <m/>
    <m/>
    <m/>
    <m/>
    <m/>
    <s v="HFD6382223"/>
  </r>
  <r>
    <s v="HFD-6382223-L"/>
    <x v="0"/>
    <n v="68860"/>
    <n v="18650"/>
    <n v="50210"/>
    <s v="KG"/>
    <n v="139081.70000000001"/>
    <n v="30"/>
    <x v="0"/>
    <n v="69766"/>
    <s v="1"/>
    <s v="31/03/2021"/>
    <n v="35012"/>
    <s v="ND"/>
    <n v="24780"/>
    <x v="1"/>
    <m/>
    <m/>
    <m/>
    <m/>
    <m/>
    <m/>
    <m/>
    <m/>
    <m/>
    <m/>
    <m/>
    <m/>
    <m/>
    <s v="HFD6382223"/>
  </r>
  <r>
    <s v="FHD-6410022-L"/>
    <x v="0"/>
    <n v="70690"/>
    <n v="17980"/>
    <n v="52710"/>
    <s v="KG"/>
    <n v="146006.70000000001"/>
    <n v="30"/>
    <x v="0"/>
    <n v="69766"/>
    <s v="1"/>
    <s v="31/03/2021"/>
    <n v="35012"/>
    <s v="ND"/>
    <n v="10232"/>
    <x v="1"/>
    <m/>
    <m/>
    <m/>
    <m/>
    <m/>
    <m/>
    <m/>
    <m/>
    <m/>
    <m/>
    <m/>
    <m/>
    <m/>
    <s v="FHD6410022"/>
  </r>
  <r>
    <s v="FHD-6410022-L"/>
    <x v="0"/>
    <n v="70690"/>
    <n v="17980"/>
    <n v="52710"/>
    <s v="KG"/>
    <n v="146006.70000000001"/>
    <n v="30"/>
    <x v="0"/>
    <n v="69767"/>
    <s v="1"/>
    <s v="31/03/2021"/>
    <n v="41795"/>
    <s v="ND"/>
    <n v="41795"/>
    <x v="1"/>
    <m/>
    <m/>
    <m/>
    <m/>
    <m/>
    <m/>
    <m/>
    <m/>
    <m/>
    <m/>
    <m/>
    <m/>
    <m/>
    <s v="FHD6410022"/>
  </r>
  <r>
    <s v="FHD-6410022-L"/>
    <x v="0"/>
    <n v="70690"/>
    <n v="17980"/>
    <n v="52710"/>
    <s v="KG"/>
    <n v="146006.70000000001"/>
    <n v="30"/>
    <x v="0"/>
    <n v="69859"/>
    <s v="1"/>
    <s v="01/04/2021"/>
    <n v="31960"/>
    <s v="ND"/>
    <n v="683"/>
    <x v="1"/>
    <m/>
    <m/>
    <m/>
    <m/>
    <m/>
    <m/>
    <m/>
    <m/>
    <m/>
    <m/>
    <m/>
    <m/>
    <m/>
    <s v="FHD6410022"/>
  </r>
  <r>
    <s v="FHD-3054381-Z"/>
    <x v="0"/>
    <n v="76570"/>
    <n v="20480"/>
    <n v="56090"/>
    <s v="KG"/>
    <n v="155369.29999999999"/>
    <n v="30"/>
    <x v="0"/>
    <n v="69859"/>
    <s v="1"/>
    <s v="01/04/2021"/>
    <n v="31960"/>
    <s v="ND"/>
    <n v="31277"/>
    <x v="1"/>
    <m/>
    <m/>
    <m/>
    <m/>
    <m/>
    <m/>
    <m/>
    <m/>
    <m/>
    <m/>
    <m/>
    <m/>
    <m/>
    <s v="FHD3054381"/>
  </r>
  <r>
    <s v="FHD-3054381-Z"/>
    <x v="0"/>
    <n v="76570"/>
    <n v="20480"/>
    <n v="56090"/>
    <s v="KG"/>
    <n v="155369.29999999999"/>
    <n v="30"/>
    <x v="0"/>
    <n v="69860"/>
    <s v="1"/>
    <s v="01/04/2021"/>
    <n v="31820"/>
    <s v="ND"/>
    <n v="24813"/>
    <x v="1"/>
    <m/>
    <m/>
    <m/>
    <m/>
    <m/>
    <m/>
    <m/>
    <m/>
    <m/>
    <m/>
    <m/>
    <m/>
    <m/>
    <s v="FHD3054381"/>
  </r>
  <r>
    <s v="HFD-6388183-L"/>
    <x v="0"/>
    <n v="69290"/>
    <n v="18560"/>
    <n v="50730"/>
    <s v="KG"/>
    <n v="140522.1"/>
    <n v="30"/>
    <x v="0"/>
    <n v="69860"/>
    <s v="1"/>
    <s v="01/04/2021"/>
    <n v="31820"/>
    <s v="ND"/>
    <n v="7007"/>
    <x v="1"/>
    <m/>
    <m/>
    <m/>
    <m/>
    <m/>
    <m/>
    <m/>
    <m/>
    <m/>
    <m/>
    <m/>
    <m/>
    <m/>
    <s v="HFD6388183"/>
  </r>
  <r>
    <s v="HFD-6388183-L"/>
    <x v="0"/>
    <n v="69290"/>
    <n v="18560"/>
    <n v="50730"/>
    <s v="KG"/>
    <n v="140522.1"/>
    <n v="30"/>
    <x v="0"/>
    <n v="69861"/>
    <s v="1"/>
    <s v="01/04/2021"/>
    <n v="31681"/>
    <s v="ND"/>
    <n v="31681"/>
    <x v="1"/>
    <m/>
    <m/>
    <m/>
    <m/>
    <m/>
    <m/>
    <m/>
    <m/>
    <m/>
    <m/>
    <m/>
    <m/>
    <m/>
    <s v="HFD6388183"/>
  </r>
  <r>
    <s v="HFD-6388183-L"/>
    <x v="0"/>
    <n v="69290"/>
    <n v="18560"/>
    <n v="50730"/>
    <s v="KG"/>
    <n v="140522.1"/>
    <n v="30"/>
    <x v="0"/>
    <n v="69898"/>
    <s v="1"/>
    <s v="03/04/2021"/>
    <n v="31820"/>
    <s v="ND"/>
    <n v="12042"/>
    <x v="1"/>
    <m/>
    <m/>
    <m/>
    <m/>
    <m/>
    <m/>
    <m/>
    <m/>
    <m/>
    <m/>
    <m/>
    <m/>
    <m/>
    <s v="HFD6388183"/>
  </r>
  <r>
    <s v="FHD-6254284-J"/>
    <x v="0"/>
    <n v="70240"/>
    <n v="18380"/>
    <n v="51860"/>
    <s v="KG"/>
    <n v="143652.20000000001"/>
    <n v="30"/>
    <x v="0"/>
    <n v="69898"/>
    <s v="1"/>
    <s v="03/04/2021"/>
    <n v="31820"/>
    <s v="ND"/>
    <n v="19778"/>
    <x v="1"/>
    <m/>
    <m/>
    <m/>
    <m/>
    <m/>
    <m/>
    <m/>
    <m/>
    <m/>
    <m/>
    <m/>
    <m/>
    <m/>
    <s v="FHD6254284"/>
  </r>
  <r>
    <s v="FHD-6254284-J"/>
    <x v="0"/>
    <n v="70240"/>
    <n v="18380"/>
    <n v="51860"/>
    <s v="KG"/>
    <n v="143652.20000000001"/>
    <n v="30"/>
    <x v="0"/>
    <n v="69899"/>
    <s v="1"/>
    <s v="03/04/2021"/>
    <n v="31601"/>
    <s v="ND"/>
    <n v="31601"/>
    <x v="1"/>
    <m/>
    <m/>
    <m/>
    <m/>
    <m/>
    <m/>
    <m/>
    <m/>
    <m/>
    <m/>
    <m/>
    <m/>
    <m/>
    <s v="FHD6254284"/>
  </r>
  <r>
    <s v="FHD-6254284-J"/>
    <x v="0"/>
    <n v="70240"/>
    <n v="18380"/>
    <n v="51860"/>
    <s v="KG"/>
    <n v="143652.20000000001"/>
    <n v="30"/>
    <x v="0"/>
    <n v="69900"/>
    <s v="1"/>
    <s v="03/04/2021"/>
    <n v="37885"/>
    <s v="ND"/>
    <n v="481"/>
    <x v="1"/>
    <m/>
    <m/>
    <m/>
    <m/>
    <m/>
    <m/>
    <m/>
    <m/>
    <m/>
    <m/>
    <m/>
    <m/>
    <m/>
    <s v="FHD6254284"/>
  </r>
  <r>
    <s v="FHD-3058751-Z"/>
    <x v="0"/>
    <n v="76680"/>
    <n v="19820"/>
    <n v="56860"/>
    <s v="KG"/>
    <n v="157502.20000000001"/>
    <n v="30"/>
    <x v="0"/>
    <n v="69900"/>
    <s v="1"/>
    <s v="03/04/2021"/>
    <n v="37885"/>
    <s v="ND"/>
    <n v="37404"/>
    <x v="1"/>
    <m/>
    <m/>
    <m/>
    <m/>
    <m/>
    <m/>
    <m/>
    <m/>
    <m/>
    <m/>
    <m/>
    <m/>
    <m/>
    <s v="FHD3058751"/>
  </r>
  <r>
    <s v="FHD-3058751-Z"/>
    <x v="0"/>
    <n v="76680"/>
    <n v="19820"/>
    <n v="56860"/>
    <s v="KG"/>
    <n v="157502.20000000001"/>
    <n v="30"/>
    <x v="0"/>
    <n v="69901"/>
    <s v="1"/>
    <s v="03/04/2021"/>
    <n v="31421"/>
    <s v="ND"/>
    <n v="19456"/>
    <x v="1"/>
    <m/>
    <m/>
    <m/>
    <m/>
    <m/>
    <m/>
    <m/>
    <m/>
    <m/>
    <m/>
    <m/>
    <m/>
    <m/>
    <s v="FHD3058751"/>
  </r>
  <r>
    <s v="FHD-6369154-L"/>
    <x v="0"/>
    <n v="77630"/>
    <n v="18600"/>
    <n v="59030"/>
    <s v="KG"/>
    <n v="163513.1"/>
    <n v="30"/>
    <x v="0"/>
    <n v="69901"/>
    <s v="1"/>
    <s v="03/04/2021"/>
    <n v="31421"/>
    <s v="ND"/>
    <n v="11965"/>
    <x v="1"/>
    <m/>
    <m/>
    <m/>
    <m/>
    <m/>
    <m/>
    <m/>
    <m/>
    <m/>
    <m/>
    <m/>
    <m/>
    <m/>
    <s v="FHD6369154"/>
  </r>
  <r>
    <s v="FHD-6369154-L"/>
    <x v="0"/>
    <n v="77630"/>
    <n v="18600"/>
    <n v="59030"/>
    <s v="KG"/>
    <n v="163513.1"/>
    <n v="30"/>
    <x v="0"/>
    <n v="69902"/>
    <s v="1"/>
    <s v="03/04/2021"/>
    <n v="33117"/>
    <s v="ND"/>
    <n v="33117"/>
    <x v="1"/>
    <m/>
    <m/>
    <m/>
    <m/>
    <m/>
    <m/>
    <m/>
    <m/>
    <m/>
    <m/>
    <m/>
    <m/>
    <m/>
    <s v="FHD6369154"/>
  </r>
  <r>
    <s v="FHD-6369154-L"/>
    <x v="0"/>
    <n v="77630"/>
    <n v="18600"/>
    <n v="59030"/>
    <s v="KG"/>
    <n v="163513.1"/>
    <n v="30"/>
    <x v="0"/>
    <n v="69903"/>
    <s v="1"/>
    <s v="03/04/2021"/>
    <n v="34095"/>
    <s v="ND"/>
    <n v="13948"/>
    <x v="1"/>
    <m/>
    <m/>
    <m/>
    <m/>
    <m/>
    <m/>
    <m/>
    <m/>
    <m/>
    <m/>
    <m/>
    <m/>
    <m/>
    <s v="FHD6369154"/>
  </r>
  <r>
    <s v="HFD-6411541-L"/>
    <x v="0"/>
    <n v="69550"/>
    <n v="19050"/>
    <n v="50500"/>
    <s v="KG"/>
    <n v="139885"/>
    <n v="30"/>
    <x v="0"/>
    <n v="69903"/>
    <s v="1"/>
    <s v="03/04/2021"/>
    <n v="34095"/>
    <s v="ND"/>
    <n v="20147"/>
    <x v="1"/>
    <m/>
    <m/>
    <m/>
    <m/>
    <m/>
    <m/>
    <m/>
    <m/>
    <m/>
    <m/>
    <m/>
    <m/>
    <m/>
    <s v="HFD6411541"/>
  </r>
  <r>
    <s v="HFD-6411541-L"/>
    <x v="0"/>
    <n v="69550"/>
    <n v="19050"/>
    <n v="50500"/>
    <s v="KG"/>
    <n v="139885"/>
    <n v="30"/>
    <x v="0"/>
    <n v="69904"/>
    <s v="1"/>
    <s v="03/04/2021"/>
    <n v="36109"/>
    <s v="ND"/>
    <n v="30353"/>
    <x v="1"/>
    <m/>
    <m/>
    <m/>
    <m/>
    <m/>
    <m/>
    <m/>
    <m/>
    <m/>
    <m/>
    <m/>
    <m/>
    <m/>
    <s v="HFD6411541"/>
  </r>
  <r>
    <s v="FHD-6289258-L"/>
    <x v="0"/>
    <n v="71510"/>
    <n v="18610"/>
    <n v="52900"/>
    <s v="KG"/>
    <n v="146533"/>
    <n v="30"/>
    <x v="0"/>
    <n v="69904"/>
    <s v="1"/>
    <s v="03/04/2021"/>
    <n v="36109"/>
    <s v="ND"/>
    <n v="5756"/>
    <x v="1"/>
    <m/>
    <m/>
    <m/>
    <m/>
    <m/>
    <m/>
    <m/>
    <m/>
    <m/>
    <m/>
    <m/>
    <m/>
    <m/>
    <s v="FHD6289258"/>
  </r>
  <r>
    <s v="FHD-6289258-L"/>
    <x v="0"/>
    <n v="71510"/>
    <n v="18610"/>
    <n v="52900"/>
    <s v="KG"/>
    <n v="146533"/>
    <n v="30"/>
    <x v="0"/>
    <n v="69905"/>
    <s v="1"/>
    <s v="03/04/2021"/>
    <n v="34214"/>
    <s v="ND"/>
    <n v="34214"/>
    <x v="1"/>
    <m/>
    <m/>
    <m/>
    <m/>
    <m/>
    <m/>
    <m/>
    <m/>
    <m/>
    <m/>
    <m/>
    <m/>
    <m/>
    <s v="FHD6289258"/>
  </r>
  <r>
    <s v="FHD-6289258-L"/>
    <x v="0"/>
    <n v="71510"/>
    <n v="18610"/>
    <n v="52900"/>
    <s v="KG"/>
    <n v="146533"/>
    <n v="30"/>
    <x v="0"/>
    <n v="69962"/>
    <s v="1"/>
    <s v="05/04/2021"/>
    <n v="31561"/>
    <s v="ND"/>
    <n v="12930"/>
    <x v="1"/>
    <m/>
    <m/>
    <m/>
    <m/>
    <m/>
    <m/>
    <m/>
    <m/>
    <m/>
    <m/>
    <m/>
    <m/>
    <m/>
    <s v="FHD6289258"/>
  </r>
  <r>
    <s v="FHD-6427251-J"/>
    <x v="0"/>
    <n v="71380"/>
    <n v="18360"/>
    <n v="53020"/>
    <s v="KG"/>
    <n v="146865.4"/>
    <n v="30"/>
    <x v="0"/>
    <n v="69962"/>
    <s v="1"/>
    <s v="05/04/2021"/>
    <n v="31561"/>
    <s v="ND"/>
    <n v="18631"/>
    <x v="1"/>
    <m/>
    <m/>
    <m/>
    <m/>
    <m/>
    <m/>
    <m/>
    <m/>
    <m/>
    <m/>
    <m/>
    <m/>
    <m/>
    <s v="FHD6427251"/>
  </r>
  <r>
    <s v="FHD-6427251-J"/>
    <x v="0"/>
    <n v="71380"/>
    <n v="18360"/>
    <n v="53020"/>
    <s v="KG"/>
    <n v="146865.4"/>
    <n v="30"/>
    <x v="0"/>
    <n v="69963"/>
    <s v="1"/>
    <s v="05/04/2021"/>
    <n v="32239"/>
    <s v="ND"/>
    <n v="32239"/>
    <x v="1"/>
    <m/>
    <m/>
    <m/>
    <m/>
    <m/>
    <m/>
    <m/>
    <m/>
    <m/>
    <m/>
    <m/>
    <m/>
    <m/>
    <s v="FHD6427251"/>
  </r>
  <r>
    <s v="FHD-6427251-J"/>
    <x v="0"/>
    <n v="71380"/>
    <n v="18360"/>
    <n v="53020"/>
    <s v="KG"/>
    <n v="146865.4"/>
    <n v="30"/>
    <x v="0"/>
    <n v="69964"/>
    <s v="1"/>
    <s v="05/04/2021"/>
    <n v="37167"/>
    <s v="ND"/>
    <n v="2150"/>
    <x v="1"/>
    <m/>
    <m/>
    <m/>
    <m/>
    <m/>
    <m/>
    <m/>
    <m/>
    <m/>
    <m/>
    <m/>
    <m/>
    <m/>
    <s v="FHD6427251"/>
  </r>
  <r>
    <s v="HPE-7169981-"/>
    <x v="0"/>
    <n v="84280"/>
    <n v="22300"/>
    <n v="61980"/>
    <s v="KG"/>
    <n v="171684.6"/>
    <n v="30"/>
    <x v="0"/>
    <n v="69964"/>
    <s v="1"/>
    <s v="05/04/2021"/>
    <n v="37167"/>
    <s v="ND"/>
    <n v="35017"/>
    <x v="1"/>
    <m/>
    <m/>
    <m/>
    <m/>
    <m/>
    <m/>
    <m/>
    <m/>
    <m/>
    <m/>
    <m/>
    <m/>
    <m/>
    <s v="HPE7169981"/>
  </r>
  <r>
    <s v="HPE-7169981-"/>
    <x v="0"/>
    <n v="84280"/>
    <n v="22300"/>
    <n v="61980"/>
    <s v="KG"/>
    <n v="171684.6"/>
    <n v="30"/>
    <x v="0"/>
    <n v="69965"/>
    <s v="1"/>
    <s v="05/04/2021"/>
    <n v="37546"/>
    <s v="ND"/>
    <n v="26963"/>
    <x v="1"/>
    <m/>
    <m/>
    <m/>
    <m/>
    <m/>
    <m/>
    <m/>
    <m/>
    <m/>
    <m/>
    <m/>
    <m/>
    <m/>
    <s v="HPE7169981"/>
  </r>
  <r>
    <s v="HFE-7154054-L"/>
    <x v="0"/>
    <n v="85520"/>
    <n v="23150"/>
    <n v="62370"/>
    <s v="KG"/>
    <n v="172764.9"/>
    <n v="30"/>
    <x v="0"/>
    <n v="69965"/>
    <s v="1"/>
    <s v="05/04/2021"/>
    <n v="37546"/>
    <s v="ND"/>
    <n v="10583"/>
    <x v="1"/>
    <m/>
    <m/>
    <m/>
    <m/>
    <m/>
    <m/>
    <m/>
    <m/>
    <m/>
    <m/>
    <m/>
    <m/>
    <m/>
    <s v="HFE7154054"/>
  </r>
  <r>
    <s v="HFE-7154054-L"/>
    <x v="0"/>
    <n v="85520"/>
    <n v="23150"/>
    <n v="62370"/>
    <s v="KG"/>
    <n v="172764.9"/>
    <n v="30"/>
    <x v="0"/>
    <n v="69966"/>
    <s v="1"/>
    <s v="05/04/2021"/>
    <n v="31681"/>
    <s v="ND"/>
    <n v="31681"/>
    <x v="1"/>
    <m/>
    <m/>
    <m/>
    <m/>
    <m/>
    <m/>
    <m/>
    <m/>
    <m/>
    <m/>
    <m/>
    <m/>
    <m/>
    <s v="HFE7154054"/>
  </r>
  <r>
    <s v="HFE-7154054-L"/>
    <x v="0"/>
    <n v="85520"/>
    <n v="23150"/>
    <n v="62370"/>
    <s v="KG"/>
    <n v="172764.9"/>
    <n v="30"/>
    <x v="0"/>
    <n v="69967"/>
    <s v="1"/>
    <s v="05/04/2021"/>
    <n v="31581"/>
    <s v="ND"/>
    <n v="20106"/>
    <x v="1"/>
    <m/>
    <m/>
    <m/>
    <m/>
    <m/>
    <m/>
    <m/>
    <m/>
    <m/>
    <m/>
    <m/>
    <m/>
    <m/>
    <s v="HFE7154054"/>
  </r>
  <r>
    <s v="HFE-7163908-"/>
    <x v="0"/>
    <n v="85940"/>
    <n v="23780"/>
    <n v="62160"/>
    <s v="KG"/>
    <n v="172183.2"/>
    <n v="30"/>
    <x v="0"/>
    <n v="69967"/>
    <s v="1"/>
    <s v="05/04/2021"/>
    <n v="31581"/>
    <s v="ND"/>
    <n v="11475"/>
    <x v="1"/>
    <m/>
    <m/>
    <m/>
    <m/>
    <m/>
    <m/>
    <m/>
    <m/>
    <m/>
    <m/>
    <m/>
    <m/>
    <m/>
    <s v="HFE7163908"/>
  </r>
  <r>
    <s v="HFE-7163908-"/>
    <x v="0"/>
    <n v="85940"/>
    <n v="23780"/>
    <n v="62160"/>
    <s v="KG"/>
    <n v="172183.2"/>
    <n v="30"/>
    <x v="0"/>
    <n v="69968"/>
    <s v="1"/>
    <s v="05/04/2021"/>
    <n v="36868"/>
    <s v="ND"/>
    <n v="36868"/>
    <x v="1"/>
    <m/>
    <m/>
    <m/>
    <m/>
    <m/>
    <m/>
    <m/>
    <m/>
    <m/>
    <m/>
    <m/>
    <m/>
    <m/>
    <s v="HFE7163908"/>
  </r>
  <r>
    <s v="HFE-7163908-"/>
    <x v="0"/>
    <n v="85940"/>
    <n v="23780"/>
    <n v="62160"/>
    <s v="KG"/>
    <n v="172183.2"/>
    <n v="30"/>
    <x v="0"/>
    <n v="69969"/>
    <s v="1"/>
    <s v="05/04/2021"/>
    <n v="36907"/>
    <s v="ND"/>
    <n v="13817"/>
    <x v="1"/>
    <m/>
    <m/>
    <m/>
    <m/>
    <m/>
    <m/>
    <m/>
    <m/>
    <m/>
    <m/>
    <m/>
    <m/>
    <m/>
    <s v="HFE7163908"/>
  </r>
  <r>
    <s v="HFE-7156987-L"/>
    <x v="0"/>
    <n v="83820"/>
    <n v="22680"/>
    <n v="61140"/>
    <s v="KG"/>
    <n v="169357.8"/>
    <n v="30"/>
    <x v="0"/>
    <n v="69969"/>
    <s v="1"/>
    <s v="05/04/2021"/>
    <n v="36907"/>
    <s v="ND"/>
    <n v="23090"/>
    <x v="1"/>
    <m/>
    <m/>
    <m/>
    <m/>
    <m/>
    <m/>
    <m/>
    <m/>
    <m/>
    <m/>
    <m/>
    <m/>
    <m/>
    <s v="HFE7156987"/>
  </r>
  <r>
    <s v="HFE-7156987-L"/>
    <x v="0"/>
    <n v="83820"/>
    <n v="22680"/>
    <n v="61140"/>
    <s v="KG"/>
    <n v="169357.8"/>
    <n v="30"/>
    <x v="0"/>
    <n v="69971"/>
    <s v="1"/>
    <s v="05/04/2021"/>
    <n v="36508"/>
    <s v="ND"/>
    <n v="36508"/>
    <x v="1"/>
    <m/>
    <m/>
    <m/>
    <m/>
    <m/>
    <m/>
    <m/>
    <m/>
    <m/>
    <m/>
    <m/>
    <m/>
    <m/>
    <s v="HFE7156987"/>
  </r>
  <r>
    <s v="HFE-7156987-L"/>
    <x v="0"/>
    <n v="83820"/>
    <n v="22680"/>
    <n v="61140"/>
    <s v="KG"/>
    <n v="169357.8"/>
    <n v="30"/>
    <x v="0"/>
    <n v="69972"/>
    <s v="1"/>
    <s v="05/04/2021"/>
    <n v="32399"/>
    <s v="ND"/>
    <n v="1542"/>
    <x v="1"/>
    <m/>
    <m/>
    <m/>
    <m/>
    <m/>
    <m/>
    <m/>
    <m/>
    <m/>
    <m/>
    <m/>
    <m/>
    <m/>
    <s v="HFE715698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Tabela dinâmica1" cacheId="0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4" indent="0" compact="0" compactData="0" gridDropZones="1" multipleFieldFilters="0" rowHeaderCaption="CNPJ`s" customListSort="0">
  <location ref="K4:R7" firstHeaderRow="2" firstDataRow="2" firstDataCol="2"/>
  <pivotFields count="30">
    <pivotField compact="0" outline="0" showAll="0" defaultSubtotal="0"/>
    <pivotField compact="0" outline="0" showAll="0">
      <items count="10">
        <item m="1" x="5"/>
        <item m="1" x="2"/>
        <item m="1" x="4"/>
        <item m="1" x="8"/>
        <item m="1" x="7"/>
        <item m="1" x="3"/>
        <item m="1" x="6"/>
        <item x="0"/>
        <item x="1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 defaultSubtotal="0">
      <items count="3">
        <item m="1" x="2"/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compact="0" outline="0" showAll="0"/>
    <pivotField compact="0" outline="0" showAll="0"/>
    <pivotField compact="0" numFmtId="3" outline="0" showAll="0"/>
    <pivotField compact="0" numFmtId="3" outline="0" showAll="0"/>
    <pivotField compact="0" numFmtId="3" outline="0" showAll="0"/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</pivotFields>
  <rowFields count="2">
    <field x="8"/>
    <field x="15"/>
  </rowFields>
  <rowItems count="2">
    <i>
      <x/>
      <x v="1"/>
    </i>
    <i r="1">
      <x v="2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.bin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AD101"/>
  <sheetViews>
    <sheetView showOutlineSymbols="0" workbookViewId="0">
      <selection sqref="A1:W101"/>
    </sheetView>
  </sheetViews>
  <sheetFormatPr defaultRowHeight="15"/>
  <cols>
    <col min="1" max="16384" width="9.140625" style="1"/>
  </cols>
  <sheetData>
    <row r="1" spans="1:30">
      <c r="A1" s="48" t="s">
        <v>188</v>
      </c>
      <c r="B1" s="48" t="s">
        <v>189</v>
      </c>
      <c r="C1" s="48">
        <v>79660</v>
      </c>
      <c r="D1" s="48">
        <v>22080</v>
      </c>
      <c r="E1" s="48">
        <v>57580</v>
      </c>
      <c r="F1" s="48" t="s">
        <v>175</v>
      </c>
      <c r="G1" s="48">
        <v>159496.6</v>
      </c>
      <c r="H1" s="48">
        <v>31</v>
      </c>
      <c r="I1" s="48" t="s">
        <v>129</v>
      </c>
      <c r="J1" s="48">
        <v>69972</v>
      </c>
      <c r="K1" s="48" t="s">
        <v>176</v>
      </c>
      <c r="L1" s="48" t="s">
        <v>190</v>
      </c>
      <c r="M1" s="48">
        <v>32399</v>
      </c>
      <c r="N1" s="48" t="s">
        <v>177</v>
      </c>
      <c r="O1" s="48">
        <v>30857</v>
      </c>
      <c r="P1" s="47" t="s">
        <v>178</v>
      </c>
      <c r="AD1" s="1" t="str">
        <f t="shared" ref="AD1:AD32" si="0">LEFT(A1,3) &amp; TEXT(LEFT(SUBSTITUTE(SUBSTITUTE(A1,LEFT(A1,3),""),"-",""),7),"0000000")</f>
        <v>HFS7165544</v>
      </c>
    </row>
    <row r="2" spans="1:30">
      <c r="A2" s="48" t="s">
        <v>188</v>
      </c>
      <c r="B2" s="48" t="s">
        <v>189</v>
      </c>
      <c r="C2" s="48">
        <v>79660</v>
      </c>
      <c r="D2" s="48">
        <v>22080</v>
      </c>
      <c r="E2" s="48">
        <v>57580</v>
      </c>
      <c r="F2" s="48" t="s">
        <v>175</v>
      </c>
      <c r="G2" s="48">
        <v>159496.6</v>
      </c>
      <c r="H2" s="48">
        <v>31</v>
      </c>
      <c r="I2" s="48" t="s">
        <v>129</v>
      </c>
      <c r="J2" s="48">
        <v>70012</v>
      </c>
      <c r="K2" s="48" t="s">
        <v>176</v>
      </c>
      <c r="L2" s="48" t="s">
        <v>191</v>
      </c>
      <c r="M2" s="48">
        <v>37526</v>
      </c>
      <c r="N2" s="48" t="s">
        <v>177</v>
      </c>
      <c r="O2" s="48">
        <v>26723</v>
      </c>
      <c r="P2" s="47" t="s">
        <v>178</v>
      </c>
      <c r="AD2" s="1" t="str">
        <f t="shared" si="0"/>
        <v>HFS7165544</v>
      </c>
    </row>
    <row r="3" spans="1:30">
      <c r="A3" s="48" t="s">
        <v>192</v>
      </c>
      <c r="B3" s="48" t="s">
        <v>189</v>
      </c>
      <c r="C3" s="48">
        <v>84380</v>
      </c>
      <c r="D3" s="48">
        <v>23010</v>
      </c>
      <c r="E3" s="48">
        <v>61370</v>
      </c>
      <c r="F3" s="48" t="s">
        <v>175</v>
      </c>
      <c r="G3" s="48">
        <v>169994.9</v>
      </c>
      <c r="H3" s="48">
        <v>31</v>
      </c>
      <c r="I3" s="48" t="s">
        <v>129</v>
      </c>
      <c r="J3" s="48">
        <v>70012</v>
      </c>
      <c r="K3" s="48" t="s">
        <v>176</v>
      </c>
      <c r="L3" s="48" t="s">
        <v>191</v>
      </c>
      <c r="M3" s="48">
        <v>37526</v>
      </c>
      <c r="N3" s="48" t="s">
        <v>177</v>
      </c>
      <c r="O3" s="48">
        <v>10803</v>
      </c>
      <c r="P3" s="47" t="s">
        <v>178</v>
      </c>
      <c r="AD3" s="1" t="str">
        <f t="shared" si="0"/>
        <v>HFE7161140</v>
      </c>
    </row>
    <row r="4" spans="1:30">
      <c r="A4" s="48" t="s">
        <v>192</v>
      </c>
      <c r="B4" s="48" t="s">
        <v>189</v>
      </c>
      <c r="C4" s="48">
        <v>84380</v>
      </c>
      <c r="D4" s="48">
        <v>23010</v>
      </c>
      <c r="E4" s="48">
        <v>61370</v>
      </c>
      <c r="F4" s="48" t="s">
        <v>175</v>
      </c>
      <c r="G4" s="48">
        <v>169994.9</v>
      </c>
      <c r="H4" s="48">
        <v>31</v>
      </c>
      <c r="I4" s="48" t="s">
        <v>129</v>
      </c>
      <c r="J4" s="48">
        <v>70014</v>
      </c>
      <c r="K4" s="48" t="s">
        <v>176</v>
      </c>
      <c r="L4" s="48" t="s">
        <v>191</v>
      </c>
      <c r="M4" s="48">
        <v>31661</v>
      </c>
      <c r="N4" s="48" t="s">
        <v>177</v>
      </c>
      <c r="O4" s="48">
        <v>31661</v>
      </c>
      <c r="P4" s="47" t="s">
        <v>178</v>
      </c>
      <c r="AD4" s="1" t="str">
        <f t="shared" si="0"/>
        <v>HFE7161140</v>
      </c>
    </row>
    <row r="5" spans="1:30">
      <c r="A5" s="48" t="s">
        <v>192</v>
      </c>
      <c r="B5" s="48" t="s">
        <v>189</v>
      </c>
      <c r="C5" s="48">
        <v>84380</v>
      </c>
      <c r="D5" s="48">
        <v>23010</v>
      </c>
      <c r="E5" s="48">
        <v>61370</v>
      </c>
      <c r="F5" s="48" t="s">
        <v>175</v>
      </c>
      <c r="G5" s="48">
        <v>169994.9</v>
      </c>
      <c r="H5" s="48">
        <v>31</v>
      </c>
      <c r="I5" s="48" t="s">
        <v>129</v>
      </c>
      <c r="J5" s="48">
        <v>70015</v>
      </c>
      <c r="K5" s="48" t="s">
        <v>176</v>
      </c>
      <c r="L5" s="48" t="s">
        <v>191</v>
      </c>
      <c r="M5" s="48">
        <v>31960</v>
      </c>
      <c r="N5" s="48" t="s">
        <v>177</v>
      </c>
      <c r="O5" s="48">
        <v>18906</v>
      </c>
      <c r="P5" s="47" t="s">
        <v>178</v>
      </c>
      <c r="AD5" s="1" t="str">
        <f t="shared" si="0"/>
        <v>HFE7161140</v>
      </c>
    </row>
    <row r="6" spans="1:30">
      <c r="A6" s="48" t="s">
        <v>193</v>
      </c>
      <c r="B6" s="48" t="s">
        <v>189</v>
      </c>
      <c r="C6" s="48">
        <v>87520</v>
      </c>
      <c r="D6" s="48">
        <v>24020</v>
      </c>
      <c r="E6" s="48">
        <v>63500</v>
      </c>
      <c r="F6" s="48" t="s">
        <v>175</v>
      </c>
      <c r="G6" s="48">
        <v>175895</v>
      </c>
      <c r="H6" s="48">
        <v>31</v>
      </c>
      <c r="I6" s="48" t="s">
        <v>129</v>
      </c>
      <c r="J6" s="48">
        <v>70015</v>
      </c>
      <c r="K6" s="48" t="s">
        <v>176</v>
      </c>
      <c r="L6" s="48" t="s">
        <v>191</v>
      </c>
      <c r="M6" s="48">
        <v>31960</v>
      </c>
      <c r="N6" s="48" t="s">
        <v>177</v>
      </c>
      <c r="O6" s="48">
        <v>13054</v>
      </c>
      <c r="P6" s="47" t="s">
        <v>178</v>
      </c>
      <c r="AD6" s="1" t="str">
        <f t="shared" si="0"/>
        <v>HFS7153465</v>
      </c>
    </row>
    <row r="7" spans="1:30">
      <c r="A7" s="48" t="s">
        <v>193</v>
      </c>
      <c r="B7" s="48" t="s">
        <v>189</v>
      </c>
      <c r="C7" s="48">
        <v>87520</v>
      </c>
      <c r="D7" s="48">
        <v>24020</v>
      </c>
      <c r="E7" s="48">
        <v>63500</v>
      </c>
      <c r="F7" s="48" t="s">
        <v>175</v>
      </c>
      <c r="G7" s="48">
        <v>175895</v>
      </c>
      <c r="H7" s="48">
        <v>31</v>
      </c>
      <c r="I7" s="48" t="s">
        <v>129</v>
      </c>
      <c r="J7" s="48">
        <v>70016</v>
      </c>
      <c r="K7" s="48" t="s">
        <v>176</v>
      </c>
      <c r="L7" s="48" t="s">
        <v>191</v>
      </c>
      <c r="M7" s="48">
        <v>37047</v>
      </c>
      <c r="N7" s="48" t="s">
        <v>177</v>
      </c>
      <c r="O7" s="48">
        <v>37047</v>
      </c>
      <c r="P7" s="47" t="s">
        <v>178</v>
      </c>
      <c r="AD7" s="1" t="str">
        <f t="shared" si="0"/>
        <v>HFS7153465</v>
      </c>
    </row>
    <row r="8" spans="1:30">
      <c r="A8" s="48" t="s">
        <v>193</v>
      </c>
      <c r="B8" s="48" t="s">
        <v>189</v>
      </c>
      <c r="C8" s="48">
        <v>87520</v>
      </c>
      <c r="D8" s="48">
        <v>24020</v>
      </c>
      <c r="E8" s="48">
        <v>63500</v>
      </c>
      <c r="F8" s="48" t="s">
        <v>175</v>
      </c>
      <c r="G8" s="48">
        <v>175895</v>
      </c>
      <c r="H8" s="48">
        <v>31</v>
      </c>
      <c r="I8" s="48" t="s">
        <v>129</v>
      </c>
      <c r="J8" s="48">
        <v>70017</v>
      </c>
      <c r="K8" s="48" t="s">
        <v>176</v>
      </c>
      <c r="L8" s="48" t="s">
        <v>191</v>
      </c>
      <c r="M8" s="48">
        <v>36469</v>
      </c>
      <c r="N8" s="48" t="s">
        <v>177</v>
      </c>
      <c r="O8" s="48">
        <v>13399</v>
      </c>
      <c r="P8" s="47" t="s">
        <v>178</v>
      </c>
      <c r="AD8" s="1" t="str">
        <f t="shared" si="0"/>
        <v>HFS7153465</v>
      </c>
    </row>
    <row r="9" spans="1:30">
      <c r="A9" s="48" t="s">
        <v>194</v>
      </c>
      <c r="B9" s="48" t="s">
        <v>189</v>
      </c>
      <c r="C9" s="48">
        <v>70430</v>
      </c>
      <c r="D9" s="48">
        <v>19560</v>
      </c>
      <c r="E9" s="48">
        <v>50870</v>
      </c>
      <c r="F9" s="48" t="s">
        <v>175</v>
      </c>
      <c r="G9" s="48">
        <v>140909.9</v>
      </c>
      <c r="H9" s="48">
        <v>31</v>
      </c>
      <c r="I9" s="48" t="s">
        <v>129</v>
      </c>
      <c r="J9" s="48">
        <v>70017</v>
      </c>
      <c r="K9" s="48" t="s">
        <v>176</v>
      </c>
      <c r="L9" s="48" t="s">
        <v>191</v>
      </c>
      <c r="M9" s="48">
        <v>36469</v>
      </c>
      <c r="N9" s="48" t="s">
        <v>177</v>
      </c>
      <c r="O9" s="48">
        <v>23070</v>
      </c>
      <c r="P9" s="47" t="s">
        <v>178</v>
      </c>
      <c r="AD9" s="1" t="str">
        <f t="shared" si="0"/>
        <v>HFD6385257</v>
      </c>
    </row>
    <row r="10" spans="1:30">
      <c r="A10" s="48" t="s">
        <v>194</v>
      </c>
      <c r="B10" s="48" t="s">
        <v>189</v>
      </c>
      <c r="C10" s="48">
        <v>70430</v>
      </c>
      <c r="D10" s="48">
        <v>19560</v>
      </c>
      <c r="E10" s="48">
        <v>50870</v>
      </c>
      <c r="F10" s="48" t="s">
        <v>175</v>
      </c>
      <c r="G10" s="48">
        <v>140909.9</v>
      </c>
      <c r="H10" s="48">
        <v>31</v>
      </c>
      <c r="I10" s="48" t="s">
        <v>129</v>
      </c>
      <c r="J10" s="48">
        <v>70018</v>
      </c>
      <c r="K10" s="48" t="s">
        <v>176</v>
      </c>
      <c r="L10" s="48" t="s">
        <v>191</v>
      </c>
      <c r="M10" s="48">
        <v>31262</v>
      </c>
      <c r="N10" s="48" t="s">
        <v>177</v>
      </c>
      <c r="O10" s="48">
        <v>27800</v>
      </c>
      <c r="P10" s="47" t="s">
        <v>178</v>
      </c>
      <c r="AD10" s="1" t="str">
        <f t="shared" si="0"/>
        <v>HFD6385257</v>
      </c>
    </row>
    <row r="11" spans="1:30">
      <c r="A11" s="48" t="s">
        <v>195</v>
      </c>
      <c r="B11" s="48" t="s">
        <v>189</v>
      </c>
      <c r="C11" s="48">
        <v>70610</v>
      </c>
      <c r="D11" s="48">
        <v>19640</v>
      </c>
      <c r="E11" s="48">
        <v>50970</v>
      </c>
      <c r="F11" s="48" t="s">
        <v>175</v>
      </c>
      <c r="G11" s="48">
        <v>141186.9</v>
      </c>
      <c r="H11" s="48">
        <v>31</v>
      </c>
      <c r="I11" s="48" t="s">
        <v>129</v>
      </c>
      <c r="J11" s="48">
        <v>70018</v>
      </c>
      <c r="K11" s="48" t="s">
        <v>176</v>
      </c>
      <c r="L11" s="48" t="s">
        <v>191</v>
      </c>
      <c r="M11" s="48">
        <v>31262</v>
      </c>
      <c r="N11" s="48" t="s">
        <v>177</v>
      </c>
      <c r="O11" s="48">
        <v>3462</v>
      </c>
      <c r="P11" s="47" t="s">
        <v>178</v>
      </c>
      <c r="AD11" s="1" t="str">
        <f t="shared" si="0"/>
        <v>HFD6385656</v>
      </c>
    </row>
    <row r="12" spans="1:30">
      <c r="A12" s="48" t="s">
        <v>195</v>
      </c>
      <c r="B12" s="48" t="s">
        <v>189</v>
      </c>
      <c r="C12" s="48">
        <v>70610</v>
      </c>
      <c r="D12" s="48">
        <v>19640</v>
      </c>
      <c r="E12" s="48">
        <v>50970</v>
      </c>
      <c r="F12" s="48" t="s">
        <v>175</v>
      </c>
      <c r="G12" s="48">
        <v>141186.9</v>
      </c>
      <c r="H12" s="48">
        <v>31</v>
      </c>
      <c r="I12" s="48" t="s">
        <v>129</v>
      </c>
      <c r="J12" s="48">
        <v>70019</v>
      </c>
      <c r="K12" s="48" t="s">
        <v>176</v>
      </c>
      <c r="L12" s="48" t="s">
        <v>191</v>
      </c>
      <c r="M12" s="48">
        <v>37466</v>
      </c>
      <c r="N12" s="48" t="s">
        <v>177</v>
      </c>
      <c r="O12" s="48">
        <v>37466</v>
      </c>
      <c r="P12" s="47" t="s">
        <v>178</v>
      </c>
      <c r="AD12" s="1" t="str">
        <f t="shared" si="0"/>
        <v>HFD6385656</v>
      </c>
    </row>
    <row r="13" spans="1:30">
      <c r="A13" s="48" t="s">
        <v>195</v>
      </c>
      <c r="B13" s="48" t="s">
        <v>189</v>
      </c>
      <c r="C13" s="48">
        <v>70610</v>
      </c>
      <c r="D13" s="48">
        <v>19640</v>
      </c>
      <c r="E13" s="48">
        <v>50970</v>
      </c>
      <c r="F13" s="48" t="s">
        <v>175</v>
      </c>
      <c r="G13" s="48">
        <v>141186.9</v>
      </c>
      <c r="H13" s="48">
        <v>31</v>
      </c>
      <c r="I13" s="48" t="s">
        <v>129</v>
      </c>
      <c r="J13" s="48">
        <v>70020</v>
      </c>
      <c r="K13" s="48" t="s">
        <v>176</v>
      </c>
      <c r="L13" s="48" t="s">
        <v>191</v>
      </c>
      <c r="M13" s="48">
        <v>31720</v>
      </c>
      <c r="N13" s="48" t="s">
        <v>177</v>
      </c>
      <c r="O13" s="48">
        <v>10042</v>
      </c>
      <c r="P13" s="47" t="s">
        <v>178</v>
      </c>
      <c r="AD13" s="1" t="str">
        <f t="shared" si="0"/>
        <v>HFD6385656</v>
      </c>
    </row>
    <row r="14" spans="1:30">
      <c r="A14" s="48" t="s">
        <v>196</v>
      </c>
      <c r="B14" s="48" t="s">
        <v>189</v>
      </c>
      <c r="C14" s="48">
        <v>86030</v>
      </c>
      <c r="D14" s="48">
        <v>22140</v>
      </c>
      <c r="E14" s="48">
        <v>63890</v>
      </c>
      <c r="F14" s="48" t="s">
        <v>175</v>
      </c>
      <c r="G14" s="48">
        <v>176975.3</v>
      </c>
      <c r="H14" s="48">
        <v>31</v>
      </c>
      <c r="I14" s="48" t="s">
        <v>129</v>
      </c>
      <c r="J14" s="48">
        <v>70020</v>
      </c>
      <c r="K14" s="48" t="s">
        <v>176</v>
      </c>
      <c r="L14" s="48" t="s">
        <v>191</v>
      </c>
      <c r="M14" s="48">
        <v>31720</v>
      </c>
      <c r="N14" s="48" t="s">
        <v>177</v>
      </c>
      <c r="O14" s="48">
        <v>21678</v>
      </c>
      <c r="P14" s="47" t="s">
        <v>178</v>
      </c>
      <c r="AD14" s="1" t="str">
        <f t="shared" si="0"/>
        <v>HPE7171358</v>
      </c>
    </row>
    <row r="15" spans="1:30">
      <c r="A15" s="48" t="s">
        <v>196</v>
      </c>
      <c r="B15" s="48" t="s">
        <v>189</v>
      </c>
      <c r="C15" s="48">
        <v>86030</v>
      </c>
      <c r="D15" s="48">
        <v>22140</v>
      </c>
      <c r="E15" s="48">
        <v>63890</v>
      </c>
      <c r="F15" s="48" t="s">
        <v>175</v>
      </c>
      <c r="G15" s="48">
        <v>176975.3</v>
      </c>
      <c r="H15" s="48">
        <v>31</v>
      </c>
      <c r="I15" s="48" t="s">
        <v>129</v>
      </c>
      <c r="J15" s="48">
        <v>70021</v>
      </c>
      <c r="K15" s="48" t="s">
        <v>176</v>
      </c>
      <c r="L15" s="48" t="s">
        <v>191</v>
      </c>
      <c r="M15" s="48">
        <v>31960</v>
      </c>
      <c r="N15" s="48" t="s">
        <v>177</v>
      </c>
      <c r="O15" s="48">
        <v>31960</v>
      </c>
      <c r="P15" s="47" t="s">
        <v>178</v>
      </c>
      <c r="AD15" s="1" t="str">
        <f t="shared" si="0"/>
        <v>HPE7171358</v>
      </c>
    </row>
    <row r="16" spans="1:30">
      <c r="A16" s="48" t="s">
        <v>196</v>
      </c>
      <c r="B16" s="48" t="s">
        <v>189</v>
      </c>
      <c r="C16" s="48">
        <v>86030</v>
      </c>
      <c r="D16" s="48">
        <v>22140</v>
      </c>
      <c r="E16" s="48">
        <v>63890</v>
      </c>
      <c r="F16" s="48" t="s">
        <v>175</v>
      </c>
      <c r="G16" s="48">
        <v>176975.3</v>
      </c>
      <c r="H16" s="48">
        <v>31</v>
      </c>
      <c r="I16" s="48" t="s">
        <v>129</v>
      </c>
      <c r="J16" s="48">
        <v>70022</v>
      </c>
      <c r="K16" s="48" t="s">
        <v>176</v>
      </c>
      <c r="L16" s="48" t="s">
        <v>191</v>
      </c>
      <c r="M16" s="48">
        <v>37745</v>
      </c>
      <c r="N16" s="48" t="s">
        <v>177</v>
      </c>
      <c r="O16" s="48">
        <v>10252</v>
      </c>
      <c r="P16" s="47" t="s">
        <v>178</v>
      </c>
      <c r="AD16" s="1" t="str">
        <f t="shared" si="0"/>
        <v>HPE7171358</v>
      </c>
    </row>
    <row r="17" spans="1:30">
      <c r="A17" s="48" t="s">
        <v>197</v>
      </c>
      <c r="B17" s="48" t="s">
        <v>189</v>
      </c>
      <c r="C17" s="48">
        <v>84540</v>
      </c>
      <c r="D17" s="48">
        <v>22420</v>
      </c>
      <c r="E17" s="48">
        <v>62120</v>
      </c>
      <c r="F17" s="48" t="s">
        <v>175</v>
      </c>
      <c r="G17" s="48">
        <v>172072.4</v>
      </c>
      <c r="H17" s="48">
        <v>31</v>
      </c>
      <c r="I17" s="48" t="s">
        <v>129</v>
      </c>
      <c r="J17" s="48">
        <v>70022</v>
      </c>
      <c r="K17" s="48" t="s">
        <v>176</v>
      </c>
      <c r="L17" s="48" t="s">
        <v>191</v>
      </c>
      <c r="M17" s="48">
        <v>37745</v>
      </c>
      <c r="N17" s="48" t="s">
        <v>177</v>
      </c>
      <c r="O17" s="48">
        <v>27493</v>
      </c>
      <c r="P17" s="47" t="s">
        <v>178</v>
      </c>
      <c r="AD17" s="1" t="str">
        <f t="shared" si="0"/>
        <v>HFE0527971</v>
      </c>
    </row>
    <row r="18" spans="1:30">
      <c r="A18" s="48" t="s">
        <v>197</v>
      </c>
      <c r="B18" s="48" t="s">
        <v>189</v>
      </c>
      <c r="C18" s="48">
        <v>84540</v>
      </c>
      <c r="D18" s="48">
        <v>22420</v>
      </c>
      <c r="E18" s="48">
        <v>62120</v>
      </c>
      <c r="F18" s="48" t="s">
        <v>175</v>
      </c>
      <c r="G18" s="48">
        <v>172072.4</v>
      </c>
      <c r="H18" s="48">
        <v>31</v>
      </c>
      <c r="I18" s="48" t="s">
        <v>129</v>
      </c>
      <c r="J18" s="48">
        <v>70023</v>
      </c>
      <c r="K18" s="48" t="s">
        <v>176</v>
      </c>
      <c r="L18" s="48" t="s">
        <v>191</v>
      </c>
      <c r="M18" s="48">
        <v>33975</v>
      </c>
      <c r="N18" s="48" t="s">
        <v>177</v>
      </c>
      <c r="O18" s="48">
        <v>33975</v>
      </c>
      <c r="P18" s="47" t="s">
        <v>178</v>
      </c>
      <c r="AD18" s="1" t="str">
        <f t="shared" si="0"/>
        <v>HFE0527971</v>
      </c>
    </row>
    <row r="19" spans="1:30">
      <c r="A19" s="48" t="s">
        <v>197</v>
      </c>
      <c r="B19" s="48" t="s">
        <v>189</v>
      </c>
      <c r="C19" s="48">
        <v>84540</v>
      </c>
      <c r="D19" s="48">
        <v>22420</v>
      </c>
      <c r="E19" s="48">
        <v>62120</v>
      </c>
      <c r="F19" s="48" t="s">
        <v>175</v>
      </c>
      <c r="G19" s="48">
        <v>172072.4</v>
      </c>
      <c r="H19" s="48">
        <v>31</v>
      </c>
      <c r="I19" s="48" t="s">
        <v>129</v>
      </c>
      <c r="J19" s="48">
        <v>70024</v>
      </c>
      <c r="K19" s="48" t="s">
        <v>176</v>
      </c>
      <c r="L19" s="48" t="s">
        <v>191</v>
      </c>
      <c r="M19" s="48">
        <v>28369</v>
      </c>
      <c r="N19" s="48" t="s">
        <v>177</v>
      </c>
      <c r="O19" s="48">
        <v>652</v>
      </c>
      <c r="P19" s="47" t="s">
        <v>178</v>
      </c>
      <c r="AD19" s="1" t="str">
        <f t="shared" si="0"/>
        <v>HFE0527971</v>
      </c>
    </row>
    <row r="20" spans="1:30">
      <c r="A20" s="48" t="s">
        <v>198</v>
      </c>
      <c r="B20" s="48" t="s">
        <v>189</v>
      </c>
      <c r="C20" s="48">
        <v>86550</v>
      </c>
      <c r="D20" s="48">
        <v>23310</v>
      </c>
      <c r="E20" s="48">
        <v>63240</v>
      </c>
      <c r="F20" s="48" t="s">
        <v>175</v>
      </c>
      <c r="G20" s="48">
        <v>175174.8</v>
      </c>
      <c r="H20" s="48">
        <v>31</v>
      </c>
      <c r="I20" s="48" t="s">
        <v>129</v>
      </c>
      <c r="J20" s="48">
        <v>70024</v>
      </c>
      <c r="K20" s="48" t="s">
        <v>176</v>
      </c>
      <c r="L20" s="48" t="s">
        <v>191</v>
      </c>
      <c r="M20" s="48">
        <v>28369</v>
      </c>
      <c r="N20" s="48" t="s">
        <v>177</v>
      </c>
      <c r="O20" s="48">
        <v>27717</v>
      </c>
      <c r="P20" s="47" t="s">
        <v>178</v>
      </c>
      <c r="AD20" s="1" t="str">
        <f t="shared" si="0"/>
        <v>HFE7155239</v>
      </c>
    </row>
    <row r="21" spans="1:30">
      <c r="A21" s="48" t="s">
        <v>198</v>
      </c>
      <c r="B21" s="48" t="s">
        <v>189</v>
      </c>
      <c r="C21" s="48">
        <v>86550</v>
      </c>
      <c r="D21" s="48">
        <v>23310</v>
      </c>
      <c r="E21" s="48">
        <v>63240</v>
      </c>
      <c r="F21" s="48" t="s">
        <v>175</v>
      </c>
      <c r="G21" s="48">
        <v>175174.8</v>
      </c>
      <c r="H21" s="48">
        <v>31</v>
      </c>
      <c r="I21" s="48" t="s">
        <v>129</v>
      </c>
      <c r="J21" s="48">
        <v>70025</v>
      </c>
      <c r="K21" s="48" t="s">
        <v>176</v>
      </c>
      <c r="L21" s="48" t="s">
        <v>191</v>
      </c>
      <c r="M21" s="48">
        <v>39062</v>
      </c>
      <c r="N21" s="48" t="s">
        <v>177</v>
      </c>
      <c r="O21" s="48">
        <v>35523</v>
      </c>
      <c r="P21" s="47" t="s">
        <v>178</v>
      </c>
      <c r="AD21" s="1" t="str">
        <f t="shared" si="0"/>
        <v>HFE7155239</v>
      </c>
    </row>
    <row r="22" spans="1:30">
      <c r="A22" s="48" t="s">
        <v>199</v>
      </c>
      <c r="B22" s="48" t="s">
        <v>189</v>
      </c>
      <c r="C22" s="48">
        <v>85570</v>
      </c>
      <c r="D22" s="48">
        <v>22640</v>
      </c>
      <c r="E22" s="48">
        <v>62930</v>
      </c>
      <c r="F22" s="48" t="s">
        <v>175</v>
      </c>
      <c r="G22" s="48">
        <v>174316.1</v>
      </c>
      <c r="H22" s="48">
        <v>31</v>
      </c>
      <c r="I22" s="48" t="s">
        <v>129</v>
      </c>
      <c r="J22" s="48">
        <v>70025</v>
      </c>
      <c r="K22" s="48" t="s">
        <v>176</v>
      </c>
      <c r="L22" s="48" t="s">
        <v>191</v>
      </c>
      <c r="M22" s="48">
        <v>39062</v>
      </c>
      <c r="N22" s="48" t="s">
        <v>177</v>
      </c>
      <c r="O22" s="48">
        <v>3539</v>
      </c>
      <c r="P22" s="47" t="s">
        <v>178</v>
      </c>
      <c r="AD22" s="1" t="str">
        <f t="shared" si="0"/>
        <v>HFE7157673</v>
      </c>
    </row>
    <row r="23" spans="1:30">
      <c r="A23" s="48" t="s">
        <v>199</v>
      </c>
      <c r="B23" s="48" t="s">
        <v>189</v>
      </c>
      <c r="C23" s="48">
        <v>85570</v>
      </c>
      <c r="D23" s="48">
        <v>22640</v>
      </c>
      <c r="E23" s="48">
        <v>62930</v>
      </c>
      <c r="F23" s="48" t="s">
        <v>175</v>
      </c>
      <c r="G23" s="48">
        <v>174316.1</v>
      </c>
      <c r="H23" s="48">
        <v>31</v>
      </c>
      <c r="I23" s="48" t="s">
        <v>129</v>
      </c>
      <c r="J23" s="48">
        <v>70026</v>
      </c>
      <c r="K23" s="48" t="s">
        <v>176</v>
      </c>
      <c r="L23" s="48" t="s">
        <v>191</v>
      </c>
      <c r="M23" s="48">
        <v>37207</v>
      </c>
      <c r="N23" s="48" t="s">
        <v>177</v>
      </c>
      <c r="O23" s="48">
        <v>37207</v>
      </c>
      <c r="P23" s="47" t="s">
        <v>178</v>
      </c>
      <c r="AD23" s="1" t="str">
        <f t="shared" si="0"/>
        <v>HFE7157673</v>
      </c>
    </row>
    <row r="24" spans="1:30">
      <c r="A24" s="48" t="s">
        <v>199</v>
      </c>
      <c r="B24" s="48" t="s">
        <v>189</v>
      </c>
      <c r="C24" s="48">
        <v>85570</v>
      </c>
      <c r="D24" s="48">
        <v>22640</v>
      </c>
      <c r="E24" s="48">
        <v>62930</v>
      </c>
      <c r="F24" s="48" t="s">
        <v>175</v>
      </c>
      <c r="G24" s="48">
        <v>174316.1</v>
      </c>
      <c r="H24" s="48">
        <v>31</v>
      </c>
      <c r="I24" s="48" t="s">
        <v>129</v>
      </c>
      <c r="J24" s="48">
        <v>70027</v>
      </c>
      <c r="K24" s="48" t="s">
        <v>176</v>
      </c>
      <c r="L24" s="48" t="s">
        <v>191</v>
      </c>
      <c r="M24" s="48">
        <v>38164</v>
      </c>
      <c r="N24" s="48" t="s">
        <v>177</v>
      </c>
      <c r="O24" s="48">
        <v>22184</v>
      </c>
      <c r="P24" s="47" t="s">
        <v>178</v>
      </c>
      <c r="AD24" s="1" t="str">
        <f t="shared" si="0"/>
        <v>HFE7157673</v>
      </c>
    </row>
    <row r="25" spans="1:30">
      <c r="A25" s="48" t="s">
        <v>200</v>
      </c>
      <c r="B25" s="48" t="s">
        <v>189</v>
      </c>
      <c r="C25" s="48">
        <v>70610</v>
      </c>
      <c r="D25" s="48">
        <v>17890</v>
      </c>
      <c r="E25" s="48">
        <v>52720</v>
      </c>
      <c r="F25" s="48" t="s">
        <v>175</v>
      </c>
      <c r="G25" s="48">
        <v>146034.4</v>
      </c>
      <c r="H25" s="48">
        <v>31</v>
      </c>
      <c r="I25" s="48" t="s">
        <v>129</v>
      </c>
      <c r="J25" s="48">
        <v>70027</v>
      </c>
      <c r="K25" s="48" t="s">
        <v>176</v>
      </c>
      <c r="L25" s="48" t="s">
        <v>191</v>
      </c>
      <c r="M25" s="48">
        <v>38164</v>
      </c>
      <c r="N25" s="48" t="s">
        <v>177</v>
      </c>
      <c r="O25" s="48">
        <v>15980</v>
      </c>
      <c r="P25" s="47" t="s">
        <v>178</v>
      </c>
      <c r="AD25" s="1" t="str">
        <f t="shared" si="0"/>
        <v>HFD6255035</v>
      </c>
    </row>
    <row r="26" spans="1:30">
      <c r="A26" s="48" t="s">
        <v>200</v>
      </c>
      <c r="B26" s="48" t="s">
        <v>189</v>
      </c>
      <c r="C26" s="48">
        <v>70610</v>
      </c>
      <c r="D26" s="48">
        <v>17890</v>
      </c>
      <c r="E26" s="48">
        <v>52720</v>
      </c>
      <c r="F26" s="48" t="s">
        <v>175</v>
      </c>
      <c r="G26" s="48">
        <v>146034.4</v>
      </c>
      <c r="H26" s="48">
        <v>31</v>
      </c>
      <c r="I26" s="48" t="s">
        <v>129</v>
      </c>
      <c r="J26" s="48">
        <v>70028</v>
      </c>
      <c r="K26" s="48" t="s">
        <v>176</v>
      </c>
      <c r="L26" s="48" t="s">
        <v>191</v>
      </c>
      <c r="M26" s="48">
        <v>32937</v>
      </c>
      <c r="N26" s="48" t="s">
        <v>177</v>
      </c>
      <c r="O26" s="48">
        <v>32937</v>
      </c>
      <c r="P26" s="47" t="s">
        <v>178</v>
      </c>
      <c r="AD26" s="1" t="str">
        <f t="shared" si="0"/>
        <v>HFD6255035</v>
      </c>
    </row>
    <row r="27" spans="1:30">
      <c r="A27" s="48" t="s">
        <v>200</v>
      </c>
      <c r="B27" s="48" t="s">
        <v>189</v>
      </c>
      <c r="C27" s="48">
        <v>70610</v>
      </c>
      <c r="D27" s="48">
        <v>17890</v>
      </c>
      <c r="E27" s="48">
        <v>52720</v>
      </c>
      <c r="F27" s="48" t="s">
        <v>175</v>
      </c>
      <c r="G27" s="48">
        <v>146034.4</v>
      </c>
      <c r="H27" s="48">
        <v>31</v>
      </c>
      <c r="I27" s="48" t="s">
        <v>129</v>
      </c>
      <c r="J27" s="48">
        <v>70029</v>
      </c>
      <c r="K27" s="48" t="s">
        <v>176</v>
      </c>
      <c r="L27" s="48" t="s">
        <v>191</v>
      </c>
      <c r="M27" s="48">
        <v>31341</v>
      </c>
      <c r="N27" s="48" t="s">
        <v>177</v>
      </c>
      <c r="O27" s="48">
        <v>3803</v>
      </c>
      <c r="P27" s="47" t="s">
        <v>178</v>
      </c>
      <c r="AD27" s="1" t="str">
        <f t="shared" si="0"/>
        <v>HFD6255035</v>
      </c>
    </row>
    <row r="28" spans="1:30">
      <c r="A28" s="48" t="s">
        <v>201</v>
      </c>
      <c r="B28" s="48" t="s">
        <v>189</v>
      </c>
      <c r="C28" s="48">
        <v>83530</v>
      </c>
      <c r="D28" s="48">
        <v>23510</v>
      </c>
      <c r="E28" s="48">
        <v>60020</v>
      </c>
      <c r="F28" s="48" t="s">
        <v>175</v>
      </c>
      <c r="G28" s="48">
        <v>166255.4</v>
      </c>
      <c r="H28" s="48">
        <v>31</v>
      </c>
      <c r="I28" s="48" t="s">
        <v>129</v>
      </c>
      <c r="J28" s="48">
        <v>70029</v>
      </c>
      <c r="K28" s="48" t="s">
        <v>176</v>
      </c>
      <c r="L28" s="48" t="s">
        <v>191</v>
      </c>
      <c r="M28" s="48">
        <v>31341</v>
      </c>
      <c r="N28" s="48" t="s">
        <v>177</v>
      </c>
      <c r="O28" s="48">
        <v>27538</v>
      </c>
      <c r="P28" s="47" t="s">
        <v>178</v>
      </c>
      <c r="AD28" s="1" t="str">
        <f t="shared" si="0"/>
        <v>HFE0530476</v>
      </c>
    </row>
    <row r="29" spans="1:30">
      <c r="A29" s="48" t="s">
        <v>201</v>
      </c>
      <c r="B29" s="48" t="s">
        <v>189</v>
      </c>
      <c r="C29" s="48">
        <v>83530</v>
      </c>
      <c r="D29" s="48">
        <v>23510</v>
      </c>
      <c r="E29" s="48">
        <v>60020</v>
      </c>
      <c r="F29" s="48" t="s">
        <v>175</v>
      </c>
      <c r="G29" s="48">
        <v>166255.4</v>
      </c>
      <c r="H29" s="48">
        <v>31</v>
      </c>
      <c r="I29" s="48" t="s">
        <v>129</v>
      </c>
      <c r="J29" s="48">
        <v>70030</v>
      </c>
      <c r="K29" s="48" t="s">
        <v>176</v>
      </c>
      <c r="L29" s="48" t="s">
        <v>191</v>
      </c>
      <c r="M29" s="48">
        <v>33177</v>
      </c>
      <c r="N29" s="48" t="s">
        <v>177</v>
      </c>
      <c r="O29" s="48">
        <v>32482</v>
      </c>
      <c r="P29" s="47" t="s">
        <v>178</v>
      </c>
      <c r="AD29" s="1" t="str">
        <f t="shared" si="0"/>
        <v>HFE0530476</v>
      </c>
    </row>
    <row r="30" spans="1:30">
      <c r="A30" s="48" t="s">
        <v>202</v>
      </c>
      <c r="B30" s="48" t="s">
        <v>189</v>
      </c>
      <c r="C30" s="48">
        <v>75050</v>
      </c>
      <c r="D30" s="48">
        <v>19430</v>
      </c>
      <c r="E30" s="48">
        <v>55620</v>
      </c>
      <c r="F30" s="48" t="s">
        <v>175</v>
      </c>
      <c r="G30" s="48">
        <v>154067.4</v>
      </c>
      <c r="H30" s="48">
        <v>31</v>
      </c>
      <c r="I30" s="48" t="s">
        <v>129</v>
      </c>
      <c r="J30" s="48">
        <v>70030</v>
      </c>
      <c r="K30" s="48" t="s">
        <v>176</v>
      </c>
      <c r="L30" s="48" t="s">
        <v>191</v>
      </c>
      <c r="M30" s="48">
        <v>33177</v>
      </c>
      <c r="N30" s="48" t="s">
        <v>177</v>
      </c>
      <c r="O30" s="48">
        <v>695</v>
      </c>
      <c r="P30" s="47" t="s">
        <v>178</v>
      </c>
      <c r="AD30" s="1" t="str">
        <f t="shared" si="0"/>
        <v>FHD6259146</v>
      </c>
    </row>
    <row r="31" spans="1:30">
      <c r="A31" s="48" t="s">
        <v>202</v>
      </c>
      <c r="B31" s="48" t="s">
        <v>189</v>
      </c>
      <c r="C31" s="48">
        <v>75050</v>
      </c>
      <c r="D31" s="48">
        <v>19430</v>
      </c>
      <c r="E31" s="48">
        <v>55620</v>
      </c>
      <c r="F31" s="48" t="s">
        <v>175</v>
      </c>
      <c r="G31" s="48">
        <v>154067.4</v>
      </c>
      <c r="H31" s="48">
        <v>31</v>
      </c>
      <c r="I31" s="48" t="s">
        <v>129</v>
      </c>
      <c r="J31" s="48">
        <v>70031</v>
      </c>
      <c r="K31" s="48" t="s">
        <v>176</v>
      </c>
      <c r="L31" s="48" t="s">
        <v>191</v>
      </c>
      <c r="M31" s="48">
        <v>32359</v>
      </c>
      <c r="N31" s="48" t="s">
        <v>177</v>
      </c>
      <c r="O31" s="48">
        <v>32359</v>
      </c>
      <c r="P31" s="47" t="s">
        <v>178</v>
      </c>
      <c r="AD31" s="1" t="str">
        <f t="shared" si="0"/>
        <v>FHD6259146</v>
      </c>
    </row>
    <row r="32" spans="1:30">
      <c r="A32" s="48" t="s">
        <v>202</v>
      </c>
      <c r="B32" s="48" t="s">
        <v>189</v>
      </c>
      <c r="C32" s="48">
        <v>75050</v>
      </c>
      <c r="D32" s="48">
        <v>19430</v>
      </c>
      <c r="E32" s="48">
        <v>55620</v>
      </c>
      <c r="F32" s="48" t="s">
        <v>175</v>
      </c>
      <c r="G32" s="48">
        <v>154067.4</v>
      </c>
      <c r="H32" s="48">
        <v>31</v>
      </c>
      <c r="I32" s="48" t="s">
        <v>129</v>
      </c>
      <c r="J32" s="48">
        <v>70032</v>
      </c>
      <c r="K32" s="48" t="s">
        <v>176</v>
      </c>
      <c r="L32" s="48" t="s">
        <v>191</v>
      </c>
      <c r="M32" s="48">
        <v>20958</v>
      </c>
      <c r="N32" s="48" t="s">
        <v>177</v>
      </c>
      <c r="O32" s="48">
        <v>20958</v>
      </c>
      <c r="P32" s="47" t="s">
        <v>178</v>
      </c>
      <c r="AD32" s="1" t="str">
        <f t="shared" si="0"/>
        <v>FHD6259146</v>
      </c>
    </row>
    <row r="33" spans="1:30">
      <c r="A33" s="48" t="s">
        <v>202</v>
      </c>
      <c r="B33" s="48" t="s">
        <v>189</v>
      </c>
      <c r="C33" s="48">
        <v>75050</v>
      </c>
      <c r="D33" s="48">
        <v>19430</v>
      </c>
      <c r="E33" s="48">
        <v>55620</v>
      </c>
      <c r="F33" s="48" t="s">
        <v>175</v>
      </c>
      <c r="G33" s="48">
        <v>154067.4</v>
      </c>
      <c r="H33" s="48">
        <v>31</v>
      </c>
      <c r="I33" s="48" t="s">
        <v>129</v>
      </c>
      <c r="J33" s="48">
        <v>70033</v>
      </c>
      <c r="K33" s="48" t="s">
        <v>176</v>
      </c>
      <c r="L33" s="48" t="s">
        <v>191</v>
      </c>
      <c r="M33" s="48">
        <v>11720</v>
      </c>
      <c r="N33" s="48" t="s">
        <v>177</v>
      </c>
      <c r="O33" s="48">
        <v>1608</v>
      </c>
      <c r="P33" s="47" t="s">
        <v>178</v>
      </c>
      <c r="AD33" s="1" t="str">
        <f t="shared" ref="AD33:AD64" si="1">LEFT(A33,3) &amp; TEXT(LEFT(SUBSTITUTE(SUBSTITUTE(A33,LEFT(A33,3),""),"-",""),7),"0000000")</f>
        <v>FHD6259146</v>
      </c>
    </row>
    <row r="34" spans="1:30">
      <c r="A34" s="48" t="s">
        <v>203</v>
      </c>
      <c r="B34" s="48" t="s">
        <v>189</v>
      </c>
      <c r="C34" s="48">
        <v>84880</v>
      </c>
      <c r="D34" s="48">
        <v>22940</v>
      </c>
      <c r="E34" s="48">
        <v>61940</v>
      </c>
      <c r="F34" s="48" t="s">
        <v>175</v>
      </c>
      <c r="G34" s="48">
        <v>171573.8</v>
      </c>
      <c r="H34" s="48">
        <v>31</v>
      </c>
      <c r="I34" s="48" t="s">
        <v>129</v>
      </c>
      <c r="J34" s="48">
        <v>70033</v>
      </c>
      <c r="K34" s="48" t="s">
        <v>176</v>
      </c>
      <c r="L34" s="48" t="s">
        <v>191</v>
      </c>
      <c r="M34" s="48">
        <v>11720</v>
      </c>
      <c r="N34" s="48" t="s">
        <v>177</v>
      </c>
      <c r="O34" s="48">
        <v>10112</v>
      </c>
      <c r="P34" s="47" t="s">
        <v>178</v>
      </c>
      <c r="AD34" s="1" t="str">
        <f t="shared" si="1"/>
        <v>HFE7155875</v>
      </c>
    </row>
    <row r="35" spans="1:30">
      <c r="A35" s="48" t="s">
        <v>203</v>
      </c>
      <c r="B35" s="48" t="s">
        <v>189</v>
      </c>
      <c r="C35" s="48">
        <v>84880</v>
      </c>
      <c r="D35" s="48">
        <v>22940</v>
      </c>
      <c r="E35" s="48">
        <v>61940</v>
      </c>
      <c r="F35" s="48" t="s">
        <v>175</v>
      </c>
      <c r="G35" s="48">
        <v>171573.8</v>
      </c>
      <c r="H35" s="48">
        <v>31</v>
      </c>
      <c r="I35" s="48" t="s">
        <v>129</v>
      </c>
      <c r="J35" s="48">
        <v>70034</v>
      </c>
      <c r="K35" s="48" t="s">
        <v>176</v>
      </c>
      <c r="L35" s="48" t="s">
        <v>191</v>
      </c>
      <c r="M35" s="48">
        <v>33177</v>
      </c>
      <c r="N35" s="48" t="s">
        <v>177</v>
      </c>
      <c r="O35" s="48">
        <v>33177</v>
      </c>
      <c r="P35" s="47" t="s">
        <v>178</v>
      </c>
      <c r="AD35" s="1" t="str">
        <f t="shared" si="1"/>
        <v>HFE7155875</v>
      </c>
    </row>
    <row r="36" spans="1:30">
      <c r="A36" s="48" t="s">
        <v>203</v>
      </c>
      <c r="B36" s="48" t="s">
        <v>189</v>
      </c>
      <c r="C36" s="48">
        <v>84880</v>
      </c>
      <c r="D36" s="48">
        <v>22940</v>
      </c>
      <c r="E36" s="48">
        <v>61940</v>
      </c>
      <c r="F36" s="48" t="s">
        <v>175</v>
      </c>
      <c r="G36" s="48">
        <v>171573.8</v>
      </c>
      <c r="H36" s="48">
        <v>31</v>
      </c>
      <c r="I36" s="48" t="s">
        <v>129</v>
      </c>
      <c r="J36" s="48">
        <v>70035</v>
      </c>
      <c r="K36" s="48" t="s">
        <v>176</v>
      </c>
      <c r="L36" s="48" t="s">
        <v>191</v>
      </c>
      <c r="M36" s="48">
        <v>32937</v>
      </c>
      <c r="N36" s="48" t="s">
        <v>177</v>
      </c>
      <c r="O36" s="48">
        <v>18651</v>
      </c>
      <c r="P36" s="47" t="s">
        <v>178</v>
      </c>
      <c r="AD36" s="1" t="str">
        <f t="shared" si="1"/>
        <v>HFE7155875</v>
      </c>
    </row>
    <row r="37" spans="1:30">
      <c r="A37" s="48" t="s">
        <v>204</v>
      </c>
      <c r="B37" s="48" t="s">
        <v>189</v>
      </c>
      <c r="C37" s="48">
        <v>85410</v>
      </c>
      <c r="D37" s="48">
        <v>23280</v>
      </c>
      <c r="E37" s="48">
        <v>62130</v>
      </c>
      <c r="F37" s="48" t="s">
        <v>175</v>
      </c>
      <c r="G37" s="48">
        <v>172100.1</v>
      </c>
      <c r="H37" s="48">
        <v>31</v>
      </c>
      <c r="I37" s="48" t="s">
        <v>129</v>
      </c>
      <c r="J37" s="48">
        <v>70035</v>
      </c>
      <c r="K37" s="48" t="s">
        <v>176</v>
      </c>
      <c r="L37" s="48" t="s">
        <v>191</v>
      </c>
      <c r="M37" s="48">
        <v>32937</v>
      </c>
      <c r="N37" s="48" t="s">
        <v>177</v>
      </c>
      <c r="O37" s="48">
        <v>14286</v>
      </c>
      <c r="P37" s="47" t="s">
        <v>178</v>
      </c>
      <c r="AD37" s="1" t="str">
        <f t="shared" si="1"/>
        <v>HFE7156278</v>
      </c>
    </row>
    <row r="38" spans="1:30">
      <c r="A38" s="48" t="s">
        <v>204</v>
      </c>
      <c r="B38" s="48" t="s">
        <v>189</v>
      </c>
      <c r="C38" s="48">
        <v>85410</v>
      </c>
      <c r="D38" s="48">
        <v>23280</v>
      </c>
      <c r="E38" s="48">
        <v>62130</v>
      </c>
      <c r="F38" s="48" t="s">
        <v>175</v>
      </c>
      <c r="G38" s="48">
        <v>172100.1</v>
      </c>
      <c r="H38" s="48">
        <v>31</v>
      </c>
      <c r="I38" s="48" t="s">
        <v>129</v>
      </c>
      <c r="J38" s="48">
        <v>70036</v>
      </c>
      <c r="K38" s="48" t="s">
        <v>176</v>
      </c>
      <c r="L38" s="48" t="s">
        <v>191</v>
      </c>
      <c r="M38" s="48">
        <v>39321</v>
      </c>
      <c r="N38" s="48" t="s">
        <v>177</v>
      </c>
      <c r="O38" s="48">
        <v>39321</v>
      </c>
      <c r="P38" s="47" t="s">
        <v>178</v>
      </c>
      <c r="AD38" s="1" t="str">
        <f t="shared" si="1"/>
        <v>HFE7156278</v>
      </c>
    </row>
    <row r="39" spans="1:30">
      <c r="A39" s="48" t="s">
        <v>204</v>
      </c>
      <c r="B39" s="48" t="s">
        <v>189</v>
      </c>
      <c r="C39" s="48">
        <v>85410</v>
      </c>
      <c r="D39" s="48">
        <v>23280</v>
      </c>
      <c r="E39" s="48">
        <v>62130</v>
      </c>
      <c r="F39" s="48" t="s">
        <v>175</v>
      </c>
      <c r="G39" s="48">
        <v>172100.1</v>
      </c>
      <c r="H39" s="48">
        <v>31</v>
      </c>
      <c r="I39" s="48" t="s">
        <v>129</v>
      </c>
      <c r="J39" s="48">
        <v>70037</v>
      </c>
      <c r="K39" s="48" t="s">
        <v>176</v>
      </c>
      <c r="L39" s="48" t="s">
        <v>191</v>
      </c>
      <c r="M39" s="48">
        <v>32818</v>
      </c>
      <c r="N39" s="48" t="s">
        <v>177</v>
      </c>
      <c r="O39" s="48">
        <v>8523</v>
      </c>
      <c r="P39" s="47" t="s">
        <v>178</v>
      </c>
      <c r="AD39" s="1" t="str">
        <f t="shared" si="1"/>
        <v>HFE7156278</v>
      </c>
    </row>
    <row r="40" spans="1:30">
      <c r="A40" s="48" t="s">
        <v>205</v>
      </c>
      <c r="B40" s="48" t="s">
        <v>189</v>
      </c>
      <c r="C40" s="48">
        <v>85640</v>
      </c>
      <c r="D40" s="48">
        <v>22840</v>
      </c>
      <c r="E40" s="48">
        <v>62800</v>
      </c>
      <c r="F40" s="48" t="s">
        <v>175</v>
      </c>
      <c r="G40" s="48">
        <v>173956</v>
      </c>
      <c r="H40" s="48">
        <v>31</v>
      </c>
      <c r="I40" s="48" t="s">
        <v>129</v>
      </c>
      <c r="J40" s="48">
        <v>70037</v>
      </c>
      <c r="K40" s="48" t="s">
        <v>176</v>
      </c>
      <c r="L40" s="48" t="s">
        <v>191</v>
      </c>
      <c r="M40" s="48">
        <v>32818</v>
      </c>
      <c r="N40" s="48" t="s">
        <v>177</v>
      </c>
      <c r="O40" s="48">
        <v>24295</v>
      </c>
      <c r="P40" s="47" t="s">
        <v>178</v>
      </c>
      <c r="AD40" s="1" t="str">
        <f t="shared" si="1"/>
        <v>HFE7155484</v>
      </c>
    </row>
    <row r="41" spans="1:30">
      <c r="A41" s="48" t="s">
        <v>205</v>
      </c>
      <c r="B41" s="48" t="s">
        <v>189</v>
      </c>
      <c r="C41" s="48">
        <v>85640</v>
      </c>
      <c r="D41" s="48">
        <v>22840</v>
      </c>
      <c r="E41" s="48">
        <v>62800</v>
      </c>
      <c r="F41" s="48" t="s">
        <v>175</v>
      </c>
      <c r="G41" s="48">
        <v>173956</v>
      </c>
      <c r="H41" s="48">
        <v>31</v>
      </c>
      <c r="I41" s="48" t="s">
        <v>129</v>
      </c>
      <c r="J41" s="48">
        <v>70038</v>
      </c>
      <c r="K41" s="48" t="s">
        <v>176</v>
      </c>
      <c r="L41" s="48" t="s">
        <v>191</v>
      </c>
      <c r="M41" s="48">
        <v>36868</v>
      </c>
      <c r="N41" s="48" t="s">
        <v>177</v>
      </c>
      <c r="O41" s="48">
        <v>36868</v>
      </c>
      <c r="P41" s="47" t="s">
        <v>178</v>
      </c>
      <c r="AD41" s="1" t="str">
        <f t="shared" si="1"/>
        <v>HFE7155484</v>
      </c>
    </row>
    <row r="42" spans="1:30">
      <c r="A42" s="48" t="s">
        <v>205</v>
      </c>
      <c r="B42" s="48" t="s">
        <v>189</v>
      </c>
      <c r="C42" s="48">
        <v>85640</v>
      </c>
      <c r="D42" s="48">
        <v>22840</v>
      </c>
      <c r="E42" s="48">
        <v>62800</v>
      </c>
      <c r="F42" s="48" t="s">
        <v>175</v>
      </c>
      <c r="G42" s="48">
        <v>173956</v>
      </c>
      <c r="H42" s="48">
        <v>31</v>
      </c>
      <c r="I42" s="48" t="s">
        <v>129</v>
      </c>
      <c r="J42" s="48">
        <v>70039</v>
      </c>
      <c r="K42" s="48" t="s">
        <v>176</v>
      </c>
      <c r="L42" s="48" t="s">
        <v>191</v>
      </c>
      <c r="M42" s="48">
        <v>37865</v>
      </c>
      <c r="N42" s="48" t="s">
        <v>177</v>
      </c>
      <c r="O42" s="48">
        <v>1637</v>
      </c>
      <c r="P42" s="47" t="s">
        <v>178</v>
      </c>
      <c r="AD42" s="1" t="str">
        <f t="shared" si="1"/>
        <v>HFE7155484</v>
      </c>
    </row>
    <row r="43" spans="1:30">
      <c r="A43" s="48" t="s">
        <v>206</v>
      </c>
      <c r="B43" s="48" t="s">
        <v>189</v>
      </c>
      <c r="C43" s="48">
        <v>83360</v>
      </c>
      <c r="D43" s="48">
        <v>24290</v>
      </c>
      <c r="E43" s="48">
        <v>59070</v>
      </c>
      <c r="F43" s="48" t="s">
        <v>175</v>
      </c>
      <c r="G43" s="48">
        <v>163623.9</v>
      </c>
      <c r="H43" s="48">
        <v>31</v>
      </c>
      <c r="I43" s="48" t="s">
        <v>129</v>
      </c>
      <c r="J43" s="48">
        <v>70039</v>
      </c>
      <c r="K43" s="48" t="s">
        <v>176</v>
      </c>
      <c r="L43" s="48" t="s">
        <v>191</v>
      </c>
      <c r="M43" s="48">
        <v>37865</v>
      </c>
      <c r="N43" s="48" t="s">
        <v>177</v>
      </c>
      <c r="O43" s="48">
        <v>36228</v>
      </c>
      <c r="P43" s="47" t="s">
        <v>178</v>
      </c>
      <c r="AD43" s="1" t="str">
        <f t="shared" si="1"/>
        <v>HFE0517682</v>
      </c>
    </row>
    <row r="44" spans="1:30">
      <c r="A44" s="48" t="s">
        <v>206</v>
      </c>
      <c r="B44" s="48" t="s">
        <v>189</v>
      </c>
      <c r="C44" s="48">
        <v>83360</v>
      </c>
      <c r="D44" s="48">
        <v>24290</v>
      </c>
      <c r="E44" s="48">
        <v>59070</v>
      </c>
      <c r="F44" s="48" t="s">
        <v>175</v>
      </c>
      <c r="G44" s="48">
        <v>163623.9</v>
      </c>
      <c r="H44" s="48">
        <v>31</v>
      </c>
      <c r="I44" s="48" t="s">
        <v>129</v>
      </c>
      <c r="J44" s="48">
        <v>70040</v>
      </c>
      <c r="K44" s="48" t="s">
        <v>176</v>
      </c>
      <c r="L44" s="48" t="s">
        <v>191</v>
      </c>
      <c r="M44" s="48">
        <v>16977</v>
      </c>
      <c r="N44" s="48" t="s">
        <v>177</v>
      </c>
      <c r="O44" s="48">
        <v>16977</v>
      </c>
      <c r="P44" s="47" t="s">
        <v>178</v>
      </c>
      <c r="AD44" s="1" t="str">
        <f t="shared" si="1"/>
        <v>HFE0517682</v>
      </c>
    </row>
    <row r="45" spans="1:30">
      <c r="A45" s="48" t="s">
        <v>206</v>
      </c>
      <c r="B45" s="48" t="s">
        <v>189</v>
      </c>
      <c r="C45" s="48">
        <v>83360</v>
      </c>
      <c r="D45" s="48">
        <v>24290</v>
      </c>
      <c r="E45" s="48">
        <v>59070</v>
      </c>
      <c r="F45" s="48" t="s">
        <v>175</v>
      </c>
      <c r="G45" s="48">
        <v>163623.9</v>
      </c>
      <c r="H45" s="48">
        <v>31</v>
      </c>
      <c r="I45" s="48" t="s">
        <v>129</v>
      </c>
      <c r="J45" s="48">
        <v>70041</v>
      </c>
      <c r="K45" s="48" t="s">
        <v>176</v>
      </c>
      <c r="L45" s="48" t="s">
        <v>191</v>
      </c>
      <c r="M45" s="48">
        <v>31880</v>
      </c>
      <c r="N45" s="48" t="s">
        <v>177</v>
      </c>
      <c r="O45" s="48">
        <v>5865</v>
      </c>
      <c r="P45" s="47" t="s">
        <v>178</v>
      </c>
      <c r="AD45" s="1" t="str">
        <f t="shared" si="1"/>
        <v>HFE0517682</v>
      </c>
    </row>
    <row r="46" spans="1:30">
      <c r="A46" s="48" t="s">
        <v>207</v>
      </c>
      <c r="B46" s="48" t="s">
        <v>189</v>
      </c>
      <c r="C46" s="48">
        <v>66840</v>
      </c>
      <c r="D46" s="48">
        <v>18690</v>
      </c>
      <c r="E46" s="48">
        <v>48150</v>
      </c>
      <c r="F46" s="48" t="s">
        <v>175</v>
      </c>
      <c r="G46" s="48">
        <v>133375.5</v>
      </c>
      <c r="H46" s="48">
        <v>31</v>
      </c>
      <c r="I46" s="48" t="s">
        <v>129</v>
      </c>
      <c r="J46" s="48">
        <v>70041</v>
      </c>
      <c r="K46" s="48" t="s">
        <v>176</v>
      </c>
      <c r="L46" s="48" t="s">
        <v>191</v>
      </c>
      <c r="M46" s="48">
        <v>31880</v>
      </c>
      <c r="N46" s="48" t="s">
        <v>177</v>
      </c>
      <c r="O46" s="48">
        <v>26015</v>
      </c>
      <c r="P46" s="47" t="s">
        <v>178</v>
      </c>
      <c r="AD46" s="1" t="str">
        <f t="shared" si="1"/>
        <v>HFD6323821</v>
      </c>
    </row>
    <row r="47" spans="1:30">
      <c r="A47" s="48" t="s">
        <v>207</v>
      </c>
      <c r="B47" s="48" t="s">
        <v>189</v>
      </c>
      <c r="C47" s="48">
        <v>66840</v>
      </c>
      <c r="D47" s="48">
        <v>18690</v>
      </c>
      <c r="E47" s="48">
        <v>48150</v>
      </c>
      <c r="F47" s="48" t="s">
        <v>175</v>
      </c>
      <c r="G47" s="48">
        <v>133375.5</v>
      </c>
      <c r="H47" s="48">
        <v>31</v>
      </c>
      <c r="I47" s="48" t="s">
        <v>129</v>
      </c>
      <c r="J47" s="48">
        <v>70066</v>
      </c>
      <c r="K47" s="48" t="s">
        <v>176</v>
      </c>
      <c r="L47" s="48" t="s">
        <v>208</v>
      </c>
      <c r="M47" s="48">
        <v>260</v>
      </c>
      <c r="N47" s="48" t="s">
        <v>177</v>
      </c>
      <c r="O47" s="48">
        <v>260</v>
      </c>
      <c r="P47" s="47" t="s">
        <v>178</v>
      </c>
      <c r="AD47" s="1" t="str">
        <f t="shared" si="1"/>
        <v>HFD6323821</v>
      </c>
    </row>
    <row r="48" spans="1:30">
      <c r="A48" s="48" t="s">
        <v>207</v>
      </c>
      <c r="B48" s="48" t="s">
        <v>189</v>
      </c>
      <c r="C48" s="48">
        <v>66840</v>
      </c>
      <c r="D48" s="48">
        <v>18690</v>
      </c>
      <c r="E48" s="48">
        <v>48150</v>
      </c>
      <c r="F48" s="48" t="s">
        <v>175</v>
      </c>
      <c r="G48" s="48">
        <v>133375.5</v>
      </c>
      <c r="H48" s="48">
        <v>31</v>
      </c>
      <c r="I48" s="48" t="s">
        <v>129</v>
      </c>
      <c r="J48" s="48">
        <v>70067</v>
      </c>
      <c r="K48" s="48" t="s">
        <v>176</v>
      </c>
      <c r="L48" s="48" t="s">
        <v>208</v>
      </c>
      <c r="M48" s="48">
        <v>37685</v>
      </c>
      <c r="N48" s="48" t="s">
        <v>177</v>
      </c>
      <c r="O48" s="48">
        <v>21875</v>
      </c>
      <c r="P48" s="47" t="s">
        <v>178</v>
      </c>
      <c r="AD48" s="1" t="str">
        <f t="shared" si="1"/>
        <v>HFD6323821</v>
      </c>
    </row>
    <row r="49" spans="1:30">
      <c r="A49" s="48" t="s">
        <v>209</v>
      </c>
      <c r="B49" s="48" t="s">
        <v>210</v>
      </c>
      <c r="C49" s="48">
        <v>68880</v>
      </c>
      <c r="D49" s="48">
        <v>19520</v>
      </c>
      <c r="E49" s="48">
        <v>49360</v>
      </c>
      <c r="F49" s="48" t="s">
        <v>175</v>
      </c>
      <c r="G49" s="48">
        <v>136727.20000000001</v>
      </c>
      <c r="H49" s="48">
        <v>30</v>
      </c>
      <c r="I49" s="48" t="s">
        <v>129</v>
      </c>
      <c r="J49" s="48">
        <v>69639</v>
      </c>
      <c r="K49" s="48" t="s">
        <v>176</v>
      </c>
      <c r="L49" s="48" t="s">
        <v>211</v>
      </c>
      <c r="M49" s="48">
        <v>37606</v>
      </c>
      <c r="N49" s="48" t="s">
        <v>177</v>
      </c>
      <c r="O49" s="48">
        <v>28380</v>
      </c>
      <c r="P49" s="47" t="s">
        <v>186</v>
      </c>
      <c r="AD49" s="1" t="str">
        <f t="shared" si="1"/>
        <v>HFD6434321</v>
      </c>
    </row>
    <row r="50" spans="1:30">
      <c r="A50" s="48" t="s">
        <v>209</v>
      </c>
      <c r="B50" s="48" t="s">
        <v>210</v>
      </c>
      <c r="C50" s="48">
        <v>68880</v>
      </c>
      <c r="D50" s="48">
        <v>19520</v>
      </c>
      <c r="E50" s="48">
        <v>49360</v>
      </c>
      <c r="F50" s="48" t="s">
        <v>175</v>
      </c>
      <c r="G50" s="48">
        <v>136727.20000000001</v>
      </c>
      <c r="H50" s="48">
        <v>30</v>
      </c>
      <c r="I50" s="48" t="s">
        <v>129</v>
      </c>
      <c r="J50" s="48">
        <v>69640</v>
      </c>
      <c r="K50" s="48" t="s">
        <v>176</v>
      </c>
      <c r="L50" s="48" t="s">
        <v>211</v>
      </c>
      <c r="M50" s="48">
        <v>36249</v>
      </c>
      <c r="N50" s="48" t="s">
        <v>177</v>
      </c>
      <c r="O50" s="48">
        <v>20980</v>
      </c>
      <c r="P50" s="47" t="s">
        <v>186</v>
      </c>
      <c r="AD50" s="1" t="str">
        <f t="shared" si="1"/>
        <v>HFD6434321</v>
      </c>
    </row>
    <row r="51" spans="1:30">
      <c r="A51" s="48" t="s">
        <v>212</v>
      </c>
      <c r="B51" s="48" t="s">
        <v>189</v>
      </c>
      <c r="C51" s="48">
        <v>75460</v>
      </c>
      <c r="D51" s="48">
        <v>19810</v>
      </c>
      <c r="E51" s="48">
        <v>55650</v>
      </c>
      <c r="F51" s="48" t="s">
        <v>175</v>
      </c>
      <c r="G51" s="48">
        <v>154150.5</v>
      </c>
      <c r="H51" s="48">
        <v>30</v>
      </c>
      <c r="I51" s="48" t="s">
        <v>129</v>
      </c>
      <c r="J51" s="48">
        <v>69640</v>
      </c>
      <c r="K51" s="48" t="s">
        <v>176</v>
      </c>
      <c r="L51" s="48" t="s">
        <v>211</v>
      </c>
      <c r="M51" s="48">
        <v>36249</v>
      </c>
      <c r="N51" s="48" t="s">
        <v>177</v>
      </c>
      <c r="O51" s="48">
        <v>15269</v>
      </c>
      <c r="P51" s="47" t="s">
        <v>186</v>
      </c>
      <c r="AD51" s="1" t="str">
        <f t="shared" si="1"/>
        <v>FHD3055370</v>
      </c>
    </row>
    <row r="52" spans="1:30">
      <c r="A52" s="48" t="s">
        <v>212</v>
      </c>
      <c r="B52" s="48" t="s">
        <v>189</v>
      </c>
      <c r="C52" s="48">
        <v>75460</v>
      </c>
      <c r="D52" s="48">
        <v>19810</v>
      </c>
      <c r="E52" s="48">
        <v>55650</v>
      </c>
      <c r="F52" s="48" t="s">
        <v>175</v>
      </c>
      <c r="G52" s="48">
        <v>154150.5</v>
      </c>
      <c r="H52" s="48">
        <v>30</v>
      </c>
      <c r="I52" s="48" t="s">
        <v>129</v>
      </c>
      <c r="J52" s="48">
        <v>69641</v>
      </c>
      <c r="K52" s="48" t="s">
        <v>176</v>
      </c>
      <c r="L52" s="48" t="s">
        <v>211</v>
      </c>
      <c r="M52" s="48">
        <v>36927</v>
      </c>
      <c r="N52" s="48" t="s">
        <v>177</v>
      </c>
      <c r="O52" s="48">
        <v>36927</v>
      </c>
      <c r="P52" s="47" t="s">
        <v>186</v>
      </c>
      <c r="AD52" s="1" t="str">
        <f t="shared" si="1"/>
        <v>FHD3055370</v>
      </c>
    </row>
    <row r="53" spans="1:30">
      <c r="A53" s="48" t="s">
        <v>212</v>
      </c>
      <c r="B53" s="48" t="s">
        <v>189</v>
      </c>
      <c r="C53" s="48">
        <v>75460</v>
      </c>
      <c r="D53" s="48">
        <v>19810</v>
      </c>
      <c r="E53" s="48">
        <v>55650</v>
      </c>
      <c r="F53" s="48" t="s">
        <v>175</v>
      </c>
      <c r="G53" s="48">
        <v>154150.5</v>
      </c>
      <c r="H53" s="48">
        <v>30</v>
      </c>
      <c r="I53" s="48" t="s">
        <v>129</v>
      </c>
      <c r="J53" s="48">
        <v>69642</v>
      </c>
      <c r="K53" s="48" t="s">
        <v>176</v>
      </c>
      <c r="L53" s="48" t="s">
        <v>211</v>
      </c>
      <c r="M53" s="48">
        <v>37227</v>
      </c>
      <c r="N53" s="48" t="s">
        <v>177</v>
      </c>
      <c r="O53" s="48">
        <v>3454</v>
      </c>
      <c r="P53" s="47" t="s">
        <v>186</v>
      </c>
      <c r="AD53" s="1" t="str">
        <f t="shared" si="1"/>
        <v>FHD3055370</v>
      </c>
    </row>
    <row r="54" spans="1:30">
      <c r="A54" s="48" t="s">
        <v>213</v>
      </c>
      <c r="B54" s="48" t="s">
        <v>189</v>
      </c>
      <c r="C54" s="48">
        <v>73340</v>
      </c>
      <c r="D54" s="48">
        <v>19620</v>
      </c>
      <c r="E54" s="48">
        <v>53720</v>
      </c>
      <c r="F54" s="48" t="s">
        <v>175</v>
      </c>
      <c r="G54" s="48">
        <v>148804.4</v>
      </c>
      <c r="H54" s="48">
        <v>30</v>
      </c>
      <c r="I54" s="48" t="s">
        <v>129</v>
      </c>
      <c r="J54" s="48">
        <v>69642</v>
      </c>
      <c r="K54" s="48" t="s">
        <v>176</v>
      </c>
      <c r="L54" s="48" t="s">
        <v>211</v>
      </c>
      <c r="M54" s="48">
        <v>37227</v>
      </c>
      <c r="N54" s="48" t="s">
        <v>177</v>
      </c>
      <c r="O54" s="48">
        <v>33773</v>
      </c>
      <c r="P54" s="47" t="s">
        <v>186</v>
      </c>
      <c r="AD54" s="1" t="str">
        <f t="shared" si="1"/>
        <v>FHD6453813</v>
      </c>
    </row>
    <row r="55" spans="1:30">
      <c r="A55" s="48" t="s">
        <v>213</v>
      </c>
      <c r="B55" s="48" t="s">
        <v>189</v>
      </c>
      <c r="C55" s="48">
        <v>73340</v>
      </c>
      <c r="D55" s="48">
        <v>19620</v>
      </c>
      <c r="E55" s="48">
        <v>53720</v>
      </c>
      <c r="F55" s="48" t="s">
        <v>175</v>
      </c>
      <c r="G55" s="48">
        <v>148804.4</v>
      </c>
      <c r="H55" s="48">
        <v>30</v>
      </c>
      <c r="I55" s="48" t="s">
        <v>129</v>
      </c>
      <c r="J55" s="48">
        <v>69643</v>
      </c>
      <c r="K55" s="48" t="s">
        <v>176</v>
      </c>
      <c r="L55" s="48" t="s">
        <v>211</v>
      </c>
      <c r="M55" s="48">
        <v>36389</v>
      </c>
      <c r="N55" s="48" t="s">
        <v>177</v>
      </c>
      <c r="O55" s="48">
        <v>19947</v>
      </c>
      <c r="P55" s="47" t="s">
        <v>186</v>
      </c>
      <c r="AD55" s="1" t="str">
        <f t="shared" si="1"/>
        <v>FHD6453813</v>
      </c>
    </row>
    <row r="56" spans="1:30">
      <c r="A56" s="48" t="s">
        <v>214</v>
      </c>
      <c r="B56" s="48" t="s">
        <v>189</v>
      </c>
      <c r="C56" s="48">
        <v>78660</v>
      </c>
      <c r="D56" s="48">
        <v>18720</v>
      </c>
      <c r="E56" s="48">
        <v>59940</v>
      </c>
      <c r="F56" s="48" t="s">
        <v>175</v>
      </c>
      <c r="G56" s="48">
        <v>166033.79999999999</v>
      </c>
      <c r="H56" s="48">
        <v>30</v>
      </c>
      <c r="I56" s="48" t="s">
        <v>129</v>
      </c>
      <c r="J56" s="48">
        <v>69643</v>
      </c>
      <c r="K56" s="48" t="s">
        <v>176</v>
      </c>
      <c r="L56" s="48" t="s">
        <v>211</v>
      </c>
      <c r="M56" s="48">
        <v>36389</v>
      </c>
      <c r="N56" s="48" t="s">
        <v>177</v>
      </c>
      <c r="O56" s="48">
        <v>16442</v>
      </c>
      <c r="P56" s="47" t="s">
        <v>186</v>
      </c>
      <c r="AD56" s="1" t="str">
        <f t="shared" si="1"/>
        <v>FHD6407153</v>
      </c>
    </row>
    <row r="57" spans="1:30">
      <c r="A57" s="48" t="s">
        <v>214</v>
      </c>
      <c r="B57" s="48" t="s">
        <v>189</v>
      </c>
      <c r="C57" s="48">
        <v>78660</v>
      </c>
      <c r="D57" s="48">
        <v>18720</v>
      </c>
      <c r="E57" s="48">
        <v>59940</v>
      </c>
      <c r="F57" s="48" t="s">
        <v>175</v>
      </c>
      <c r="G57" s="48">
        <v>166033.79999999999</v>
      </c>
      <c r="H57" s="48">
        <v>30</v>
      </c>
      <c r="I57" s="48" t="s">
        <v>129</v>
      </c>
      <c r="J57" s="48">
        <v>69644</v>
      </c>
      <c r="K57" s="48" t="s">
        <v>176</v>
      </c>
      <c r="L57" s="48" t="s">
        <v>211</v>
      </c>
      <c r="M57" s="48">
        <v>37167</v>
      </c>
      <c r="N57" s="48" t="s">
        <v>177</v>
      </c>
      <c r="O57" s="48">
        <v>37167</v>
      </c>
      <c r="P57" s="47" t="s">
        <v>186</v>
      </c>
      <c r="AD57" s="1" t="str">
        <f t="shared" si="1"/>
        <v>FHD6407153</v>
      </c>
    </row>
    <row r="58" spans="1:30">
      <c r="A58" s="48" t="s">
        <v>214</v>
      </c>
      <c r="B58" s="48" t="s">
        <v>189</v>
      </c>
      <c r="C58" s="48">
        <v>78660</v>
      </c>
      <c r="D58" s="48">
        <v>18720</v>
      </c>
      <c r="E58" s="48">
        <v>59940</v>
      </c>
      <c r="F58" s="48" t="s">
        <v>175</v>
      </c>
      <c r="G58" s="48">
        <v>166033.79999999999</v>
      </c>
      <c r="H58" s="48">
        <v>30</v>
      </c>
      <c r="I58" s="48" t="s">
        <v>129</v>
      </c>
      <c r="J58" s="48">
        <v>69645</v>
      </c>
      <c r="K58" s="48" t="s">
        <v>176</v>
      </c>
      <c r="L58" s="48" t="s">
        <v>211</v>
      </c>
      <c r="M58" s="48">
        <v>35671</v>
      </c>
      <c r="N58" s="48" t="s">
        <v>177</v>
      </c>
      <c r="O58" s="48">
        <v>6331</v>
      </c>
      <c r="P58" s="47" t="s">
        <v>186</v>
      </c>
      <c r="AD58" s="1" t="str">
        <f t="shared" si="1"/>
        <v>FHD6407153</v>
      </c>
    </row>
    <row r="59" spans="1:30">
      <c r="A59" s="48" t="s">
        <v>215</v>
      </c>
      <c r="B59" s="48" t="s">
        <v>189</v>
      </c>
      <c r="C59" s="48">
        <v>79420</v>
      </c>
      <c r="D59" s="48">
        <v>19100</v>
      </c>
      <c r="E59" s="48">
        <v>60320</v>
      </c>
      <c r="F59" s="48" t="s">
        <v>175</v>
      </c>
      <c r="G59" s="48">
        <v>167086.39999999999</v>
      </c>
      <c r="H59" s="48">
        <v>30</v>
      </c>
      <c r="I59" s="48" t="s">
        <v>129</v>
      </c>
      <c r="J59" s="48">
        <v>69645</v>
      </c>
      <c r="K59" s="48" t="s">
        <v>176</v>
      </c>
      <c r="L59" s="48" t="s">
        <v>211</v>
      </c>
      <c r="M59" s="48">
        <v>35671</v>
      </c>
      <c r="N59" s="48" t="s">
        <v>177</v>
      </c>
      <c r="O59" s="48">
        <v>29340</v>
      </c>
      <c r="P59" s="47" t="s">
        <v>186</v>
      </c>
      <c r="AD59" s="1" t="str">
        <f t="shared" si="1"/>
        <v>FHD6460461</v>
      </c>
    </row>
    <row r="60" spans="1:30">
      <c r="A60" s="48" t="s">
        <v>215</v>
      </c>
      <c r="B60" s="48" t="s">
        <v>189</v>
      </c>
      <c r="C60" s="48">
        <v>79420</v>
      </c>
      <c r="D60" s="48">
        <v>19100</v>
      </c>
      <c r="E60" s="48">
        <v>60320</v>
      </c>
      <c r="F60" s="48" t="s">
        <v>175</v>
      </c>
      <c r="G60" s="48">
        <v>167086.39999999999</v>
      </c>
      <c r="H60" s="48">
        <v>30</v>
      </c>
      <c r="I60" s="48" t="s">
        <v>129</v>
      </c>
      <c r="J60" s="48">
        <v>69646</v>
      </c>
      <c r="K60" s="48" t="s">
        <v>176</v>
      </c>
      <c r="L60" s="48" t="s">
        <v>211</v>
      </c>
      <c r="M60" s="48">
        <v>37227</v>
      </c>
      <c r="N60" s="48" t="s">
        <v>177</v>
      </c>
      <c r="O60" s="48">
        <v>30980</v>
      </c>
      <c r="P60" s="47" t="s">
        <v>186</v>
      </c>
      <c r="AD60" s="1" t="str">
        <f t="shared" si="1"/>
        <v>FHD6460461</v>
      </c>
    </row>
    <row r="61" spans="1:30">
      <c r="A61" s="48" t="s">
        <v>216</v>
      </c>
      <c r="B61" s="48" t="s">
        <v>189</v>
      </c>
      <c r="C61" s="48">
        <v>77210</v>
      </c>
      <c r="D61" s="48">
        <v>18090</v>
      </c>
      <c r="E61" s="48">
        <v>59120</v>
      </c>
      <c r="F61" s="48" t="s">
        <v>175</v>
      </c>
      <c r="G61" s="48">
        <v>163762.4</v>
      </c>
      <c r="H61" s="48">
        <v>30</v>
      </c>
      <c r="I61" s="48" t="s">
        <v>129</v>
      </c>
      <c r="J61" s="48">
        <v>69646</v>
      </c>
      <c r="K61" s="48" t="s">
        <v>176</v>
      </c>
      <c r="L61" s="48" t="s">
        <v>211</v>
      </c>
      <c r="M61" s="48">
        <v>37227</v>
      </c>
      <c r="N61" s="48" t="s">
        <v>177</v>
      </c>
      <c r="O61" s="48">
        <v>6247</v>
      </c>
      <c r="P61" s="47" t="s">
        <v>186</v>
      </c>
      <c r="AD61" s="1" t="str">
        <f t="shared" si="1"/>
        <v>FHD6358845</v>
      </c>
    </row>
    <row r="62" spans="1:30">
      <c r="A62" s="48" t="s">
        <v>216</v>
      </c>
      <c r="B62" s="48" t="s">
        <v>189</v>
      </c>
      <c r="C62" s="48">
        <v>77210</v>
      </c>
      <c r="D62" s="48">
        <v>18090</v>
      </c>
      <c r="E62" s="48">
        <v>59120</v>
      </c>
      <c r="F62" s="48" t="s">
        <v>175</v>
      </c>
      <c r="G62" s="48">
        <v>163762.4</v>
      </c>
      <c r="H62" s="48">
        <v>30</v>
      </c>
      <c r="I62" s="48" t="s">
        <v>129</v>
      </c>
      <c r="J62" s="48">
        <v>69763</v>
      </c>
      <c r="K62" s="48" t="s">
        <v>176</v>
      </c>
      <c r="L62" s="48" t="s">
        <v>211</v>
      </c>
      <c r="M62" s="48">
        <v>26134</v>
      </c>
      <c r="N62" s="48" t="s">
        <v>177</v>
      </c>
      <c r="O62" s="48">
        <v>26134</v>
      </c>
      <c r="P62" s="47" t="s">
        <v>186</v>
      </c>
      <c r="AD62" s="1" t="str">
        <f t="shared" si="1"/>
        <v>FHD6358845</v>
      </c>
    </row>
    <row r="63" spans="1:30">
      <c r="A63" s="48" t="s">
        <v>216</v>
      </c>
      <c r="B63" s="48" t="s">
        <v>189</v>
      </c>
      <c r="C63" s="48">
        <v>77210</v>
      </c>
      <c r="D63" s="48">
        <v>18090</v>
      </c>
      <c r="E63" s="48">
        <v>59120</v>
      </c>
      <c r="F63" s="48" t="s">
        <v>175</v>
      </c>
      <c r="G63" s="48">
        <v>163762.4</v>
      </c>
      <c r="H63" s="48">
        <v>30</v>
      </c>
      <c r="I63" s="48" t="s">
        <v>129</v>
      </c>
      <c r="J63" s="48">
        <v>69764</v>
      </c>
      <c r="K63" s="48" t="s">
        <v>176</v>
      </c>
      <c r="L63" s="48" t="s">
        <v>211</v>
      </c>
      <c r="M63" s="48">
        <v>17356</v>
      </c>
      <c r="N63" s="48" t="s">
        <v>177</v>
      </c>
      <c r="O63" s="48">
        <v>17356</v>
      </c>
      <c r="P63" s="47" t="s">
        <v>186</v>
      </c>
      <c r="AD63" s="1" t="str">
        <f t="shared" si="1"/>
        <v>FHD6358845</v>
      </c>
    </row>
    <row r="64" spans="1:30">
      <c r="A64" s="48" t="s">
        <v>216</v>
      </c>
      <c r="B64" s="48" t="s">
        <v>189</v>
      </c>
      <c r="C64" s="48">
        <v>77210</v>
      </c>
      <c r="D64" s="48">
        <v>18090</v>
      </c>
      <c r="E64" s="48">
        <v>59120</v>
      </c>
      <c r="F64" s="48" t="s">
        <v>175</v>
      </c>
      <c r="G64" s="48">
        <v>163762.4</v>
      </c>
      <c r="H64" s="48">
        <v>30</v>
      </c>
      <c r="I64" s="48" t="s">
        <v>129</v>
      </c>
      <c r="J64" s="48">
        <v>69765</v>
      </c>
      <c r="K64" s="48" t="s">
        <v>176</v>
      </c>
      <c r="L64" s="48" t="s">
        <v>211</v>
      </c>
      <c r="M64" s="48">
        <v>34813</v>
      </c>
      <c r="N64" s="48" t="s">
        <v>177</v>
      </c>
      <c r="O64" s="48">
        <v>9383</v>
      </c>
      <c r="P64" s="47" t="s">
        <v>186</v>
      </c>
      <c r="AD64" s="1" t="str">
        <f t="shared" si="1"/>
        <v>FHD6358845</v>
      </c>
    </row>
    <row r="65" spans="1:30">
      <c r="A65" s="48" t="s">
        <v>217</v>
      </c>
      <c r="B65" s="48" t="s">
        <v>189</v>
      </c>
      <c r="C65" s="48">
        <v>68860</v>
      </c>
      <c r="D65" s="48">
        <v>18650</v>
      </c>
      <c r="E65" s="48">
        <v>50210</v>
      </c>
      <c r="F65" s="48" t="s">
        <v>175</v>
      </c>
      <c r="G65" s="48">
        <v>139081.70000000001</v>
      </c>
      <c r="H65" s="48">
        <v>30</v>
      </c>
      <c r="I65" s="48" t="s">
        <v>129</v>
      </c>
      <c r="J65" s="48">
        <v>69765</v>
      </c>
      <c r="K65" s="48" t="s">
        <v>176</v>
      </c>
      <c r="L65" s="48" t="s">
        <v>211</v>
      </c>
      <c r="M65" s="48">
        <v>34813</v>
      </c>
      <c r="N65" s="48" t="s">
        <v>177</v>
      </c>
      <c r="O65" s="48">
        <v>25430</v>
      </c>
      <c r="P65" s="47" t="s">
        <v>186</v>
      </c>
      <c r="AD65" s="1" t="str">
        <f t="shared" ref="AD65:AD101" si="2">LEFT(A65,3) &amp; TEXT(LEFT(SUBSTITUTE(SUBSTITUTE(A65,LEFT(A65,3),""),"-",""),7),"0000000")</f>
        <v>HFD6382223</v>
      </c>
    </row>
    <row r="66" spans="1:30">
      <c r="A66" s="48" t="s">
        <v>217</v>
      </c>
      <c r="B66" s="48" t="s">
        <v>189</v>
      </c>
      <c r="C66" s="48">
        <v>68860</v>
      </c>
      <c r="D66" s="48">
        <v>18650</v>
      </c>
      <c r="E66" s="48">
        <v>50210</v>
      </c>
      <c r="F66" s="48" t="s">
        <v>175</v>
      </c>
      <c r="G66" s="48">
        <v>139081.70000000001</v>
      </c>
      <c r="H66" s="48">
        <v>30</v>
      </c>
      <c r="I66" s="48" t="s">
        <v>129</v>
      </c>
      <c r="J66" s="48">
        <v>69766</v>
      </c>
      <c r="K66" s="48" t="s">
        <v>176</v>
      </c>
      <c r="L66" s="48" t="s">
        <v>211</v>
      </c>
      <c r="M66" s="48">
        <v>35012</v>
      </c>
      <c r="N66" s="48" t="s">
        <v>177</v>
      </c>
      <c r="O66" s="48">
        <v>24780</v>
      </c>
      <c r="P66" s="47" t="s">
        <v>186</v>
      </c>
      <c r="AD66" s="1" t="str">
        <f t="shared" si="2"/>
        <v>HFD6382223</v>
      </c>
    </row>
    <row r="67" spans="1:30">
      <c r="A67" s="48" t="s">
        <v>218</v>
      </c>
      <c r="B67" s="48" t="s">
        <v>189</v>
      </c>
      <c r="C67" s="48">
        <v>70690</v>
      </c>
      <c r="D67" s="48">
        <v>17980</v>
      </c>
      <c r="E67" s="48">
        <v>52710</v>
      </c>
      <c r="F67" s="48" t="s">
        <v>175</v>
      </c>
      <c r="G67" s="48">
        <v>146006.70000000001</v>
      </c>
      <c r="H67" s="48">
        <v>30</v>
      </c>
      <c r="I67" s="48" t="s">
        <v>129</v>
      </c>
      <c r="J67" s="48">
        <v>69766</v>
      </c>
      <c r="K67" s="48" t="s">
        <v>176</v>
      </c>
      <c r="L67" s="48" t="s">
        <v>211</v>
      </c>
      <c r="M67" s="48">
        <v>35012</v>
      </c>
      <c r="N67" s="48" t="s">
        <v>177</v>
      </c>
      <c r="O67" s="48">
        <v>10232</v>
      </c>
      <c r="P67" s="47" t="s">
        <v>186</v>
      </c>
      <c r="AD67" s="1" t="str">
        <f t="shared" si="2"/>
        <v>FHD6410022</v>
      </c>
    </row>
    <row r="68" spans="1:30">
      <c r="A68" s="48" t="s">
        <v>218</v>
      </c>
      <c r="B68" s="48" t="s">
        <v>189</v>
      </c>
      <c r="C68" s="48">
        <v>70690</v>
      </c>
      <c r="D68" s="48">
        <v>17980</v>
      </c>
      <c r="E68" s="48">
        <v>52710</v>
      </c>
      <c r="F68" s="48" t="s">
        <v>175</v>
      </c>
      <c r="G68" s="48">
        <v>146006.70000000001</v>
      </c>
      <c r="H68" s="48">
        <v>30</v>
      </c>
      <c r="I68" s="48" t="s">
        <v>129</v>
      </c>
      <c r="J68" s="48">
        <v>69767</v>
      </c>
      <c r="K68" s="48" t="s">
        <v>176</v>
      </c>
      <c r="L68" s="48" t="s">
        <v>211</v>
      </c>
      <c r="M68" s="48">
        <v>41795</v>
      </c>
      <c r="N68" s="48" t="s">
        <v>177</v>
      </c>
      <c r="O68" s="48">
        <v>41795</v>
      </c>
      <c r="P68" s="47" t="s">
        <v>186</v>
      </c>
      <c r="AD68" s="1" t="str">
        <f t="shared" si="2"/>
        <v>FHD6410022</v>
      </c>
    </row>
    <row r="69" spans="1:30">
      <c r="A69" s="48" t="s">
        <v>218</v>
      </c>
      <c r="B69" s="48" t="s">
        <v>189</v>
      </c>
      <c r="C69" s="48">
        <v>70690</v>
      </c>
      <c r="D69" s="48">
        <v>17980</v>
      </c>
      <c r="E69" s="48">
        <v>52710</v>
      </c>
      <c r="F69" s="48" t="s">
        <v>175</v>
      </c>
      <c r="G69" s="48">
        <v>146006.70000000001</v>
      </c>
      <c r="H69" s="48">
        <v>30</v>
      </c>
      <c r="I69" s="48" t="s">
        <v>129</v>
      </c>
      <c r="J69" s="48">
        <v>69859</v>
      </c>
      <c r="K69" s="48" t="s">
        <v>176</v>
      </c>
      <c r="L69" s="48" t="s">
        <v>219</v>
      </c>
      <c r="M69" s="48">
        <v>31960</v>
      </c>
      <c r="N69" s="48" t="s">
        <v>177</v>
      </c>
      <c r="O69" s="48">
        <v>683</v>
      </c>
      <c r="P69" s="47" t="s">
        <v>186</v>
      </c>
      <c r="AD69" s="1" t="str">
        <f t="shared" si="2"/>
        <v>FHD6410022</v>
      </c>
    </row>
    <row r="70" spans="1:30">
      <c r="A70" s="48" t="s">
        <v>220</v>
      </c>
      <c r="B70" s="48" t="s">
        <v>189</v>
      </c>
      <c r="C70" s="48">
        <v>76570</v>
      </c>
      <c r="D70" s="48">
        <v>20480</v>
      </c>
      <c r="E70" s="48">
        <v>56090</v>
      </c>
      <c r="F70" s="48" t="s">
        <v>175</v>
      </c>
      <c r="G70" s="48">
        <v>155369.29999999999</v>
      </c>
      <c r="H70" s="48">
        <v>30</v>
      </c>
      <c r="I70" s="48" t="s">
        <v>129</v>
      </c>
      <c r="J70" s="48">
        <v>69859</v>
      </c>
      <c r="K70" s="48" t="s">
        <v>176</v>
      </c>
      <c r="L70" s="48" t="s">
        <v>219</v>
      </c>
      <c r="M70" s="48">
        <v>31960</v>
      </c>
      <c r="N70" s="48" t="s">
        <v>177</v>
      </c>
      <c r="O70" s="48">
        <v>31277</v>
      </c>
      <c r="P70" s="47" t="s">
        <v>186</v>
      </c>
      <c r="AD70" s="1" t="str">
        <f t="shared" si="2"/>
        <v>FHD3054381</v>
      </c>
    </row>
    <row r="71" spans="1:30">
      <c r="A71" s="48" t="s">
        <v>220</v>
      </c>
      <c r="B71" s="48" t="s">
        <v>189</v>
      </c>
      <c r="C71" s="48">
        <v>76570</v>
      </c>
      <c r="D71" s="48">
        <v>20480</v>
      </c>
      <c r="E71" s="48">
        <v>56090</v>
      </c>
      <c r="F71" s="48" t="s">
        <v>175</v>
      </c>
      <c r="G71" s="48">
        <v>155369.29999999999</v>
      </c>
      <c r="H71" s="48">
        <v>30</v>
      </c>
      <c r="I71" s="48" t="s">
        <v>129</v>
      </c>
      <c r="J71" s="48">
        <v>69860</v>
      </c>
      <c r="K71" s="48" t="s">
        <v>176</v>
      </c>
      <c r="L71" s="48" t="s">
        <v>219</v>
      </c>
      <c r="M71" s="48">
        <v>31820</v>
      </c>
      <c r="N71" s="48" t="s">
        <v>177</v>
      </c>
      <c r="O71" s="48">
        <v>24813</v>
      </c>
      <c r="P71" s="47" t="s">
        <v>186</v>
      </c>
      <c r="AD71" s="1" t="str">
        <f t="shared" si="2"/>
        <v>FHD3054381</v>
      </c>
    </row>
    <row r="72" spans="1:30">
      <c r="A72" s="48" t="s">
        <v>221</v>
      </c>
      <c r="B72" s="48" t="s">
        <v>189</v>
      </c>
      <c r="C72" s="48">
        <v>69290</v>
      </c>
      <c r="D72" s="48">
        <v>18560</v>
      </c>
      <c r="E72" s="48">
        <v>50730</v>
      </c>
      <c r="F72" s="48" t="s">
        <v>175</v>
      </c>
      <c r="G72" s="48">
        <v>140522.1</v>
      </c>
      <c r="H72" s="48">
        <v>30</v>
      </c>
      <c r="I72" s="48" t="s">
        <v>129</v>
      </c>
      <c r="J72" s="48">
        <v>69860</v>
      </c>
      <c r="K72" s="48" t="s">
        <v>176</v>
      </c>
      <c r="L72" s="48" t="s">
        <v>219</v>
      </c>
      <c r="M72" s="48">
        <v>31820</v>
      </c>
      <c r="N72" s="48" t="s">
        <v>177</v>
      </c>
      <c r="O72" s="48">
        <v>7007</v>
      </c>
      <c r="P72" s="47" t="s">
        <v>186</v>
      </c>
      <c r="AD72" s="1" t="str">
        <f t="shared" si="2"/>
        <v>HFD6388183</v>
      </c>
    </row>
    <row r="73" spans="1:30">
      <c r="A73" s="48" t="s">
        <v>221</v>
      </c>
      <c r="B73" s="48" t="s">
        <v>189</v>
      </c>
      <c r="C73" s="48">
        <v>69290</v>
      </c>
      <c r="D73" s="48">
        <v>18560</v>
      </c>
      <c r="E73" s="48">
        <v>50730</v>
      </c>
      <c r="F73" s="48" t="s">
        <v>175</v>
      </c>
      <c r="G73" s="48">
        <v>140522.1</v>
      </c>
      <c r="H73" s="48">
        <v>30</v>
      </c>
      <c r="I73" s="48" t="s">
        <v>129</v>
      </c>
      <c r="J73" s="48">
        <v>69861</v>
      </c>
      <c r="K73" s="48" t="s">
        <v>176</v>
      </c>
      <c r="L73" s="48" t="s">
        <v>219</v>
      </c>
      <c r="M73" s="48">
        <v>31681</v>
      </c>
      <c r="N73" s="48" t="s">
        <v>177</v>
      </c>
      <c r="O73" s="48">
        <v>31681</v>
      </c>
      <c r="P73" s="47" t="s">
        <v>186</v>
      </c>
      <c r="AD73" s="1" t="str">
        <f t="shared" si="2"/>
        <v>HFD6388183</v>
      </c>
    </row>
    <row r="74" spans="1:30">
      <c r="A74" s="48" t="s">
        <v>221</v>
      </c>
      <c r="B74" s="48" t="s">
        <v>189</v>
      </c>
      <c r="C74" s="48">
        <v>69290</v>
      </c>
      <c r="D74" s="48">
        <v>18560</v>
      </c>
      <c r="E74" s="48">
        <v>50730</v>
      </c>
      <c r="F74" s="48" t="s">
        <v>175</v>
      </c>
      <c r="G74" s="48">
        <v>140522.1</v>
      </c>
      <c r="H74" s="48">
        <v>30</v>
      </c>
      <c r="I74" s="48" t="s">
        <v>129</v>
      </c>
      <c r="J74" s="48">
        <v>69898</v>
      </c>
      <c r="K74" s="48" t="s">
        <v>176</v>
      </c>
      <c r="L74" s="48" t="s">
        <v>222</v>
      </c>
      <c r="M74" s="48">
        <v>31820</v>
      </c>
      <c r="N74" s="48" t="s">
        <v>177</v>
      </c>
      <c r="O74" s="48">
        <v>12042</v>
      </c>
      <c r="P74" s="47" t="s">
        <v>186</v>
      </c>
      <c r="AD74" s="1" t="str">
        <f t="shared" si="2"/>
        <v>HFD6388183</v>
      </c>
    </row>
    <row r="75" spans="1:30">
      <c r="A75" s="48" t="s">
        <v>223</v>
      </c>
      <c r="B75" s="48" t="s">
        <v>189</v>
      </c>
      <c r="C75" s="48">
        <v>70240</v>
      </c>
      <c r="D75" s="48">
        <v>18380</v>
      </c>
      <c r="E75" s="48">
        <v>51860</v>
      </c>
      <c r="F75" s="48" t="s">
        <v>175</v>
      </c>
      <c r="G75" s="48">
        <v>143652.20000000001</v>
      </c>
      <c r="H75" s="48">
        <v>30</v>
      </c>
      <c r="I75" s="48" t="s">
        <v>129</v>
      </c>
      <c r="J75" s="48">
        <v>69898</v>
      </c>
      <c r="K75" s="48" t="s">
        <v>176</v>
      </c>
      <c r="L75" s="48" t="s">
        <v>222</v>
      </c>
      <c r="M75" s="48">
        <v>31820</v>
      </c>
      <c r="N75" s="48" t="s">
        <v>177</v>
      </c>
      <c r="O75" s="48">
        <v>19778</v>
      </c>
      <c r="P75" s="47" t="s">
        <v>186</v>
      </c>
      <c r="AD75" s="1" t="str">
        <f t="shared" si="2"/>
        <v>FHD6254284</v>
      </c>
    </row>
    <row r="76" spans="1:30">
      <c r="A76" s="48" t="s">
        <v>223</v>
      </c>
      <c r="B76" s="48" t="s">
        <v>189</v>
      </c>
      <c r="C76" s="48">
        <v>70240</v>
      </c>
      <c r="D76" s="48">
        <v>18380</v>
      </c>
      <c r="E76" s="48">
        <v>51860</v>
      </c>
      <c r="F76" s="48" t="s">
        <v>175</v>
      </c>
      <c r="G76" s="48">
        <v>143652.20000000001</v>
      </c>
      <c r="H76" s="48">
        <v>30</v>
      </c>
      <c r="I76" s="48" t="s">
        <v>129</v>
      </c>
      <c r="J76" s="48">
        <v>69899</v>
      </c>
      <c r="K76" s="48" t="s">
        <v>176</v>
      </c>
      <c r="L76" s="48" t="s">
        <v>222</v>
      </c>
      <c r="M76" s="48">
        <v>31601</v>
      </c>
      <c r="N76" s="48" t="s">
        <v>177</v>
      </c>
      <c r="O76" s="48">
        <v>31601</v>
      </c>
      <c r="P76" s="47" t="s">
        <v>186</v>
      </c>
      <c r="AD76" s="1" t="str">
        <f t="shared" si="2"/>
        <v>FHD6254284</v>
      </c>
    </row>
    <row r="77" spans="1:30">
      <c r="A77" s="48" t="s">
        <v>223</v>
      </c>
      <c r="B77" s="48" t="s">
        <v>189</v>
      </c>
      <c r="C77" s="48">
        <v>70240</v>
      </c>
      <c r="D77" s="48">
        <v>18380</v>
      </c>
      <c r="E77" s="48">
        <v>51860</v>
      </c>
      <c r="F77" s="48" t="s">
        <v>175</v>
      </c>
      <c r="G77" s="48">
        <v>143652.20000000001</v>
      </c>
      <c r="H77" s="48">
        <v>30</v>
      </c>
      <c r="I77" s="48" t="s">
        <v>129</v>
      </c>
      <c r="J77" s="48">
        <v>69900</v>
      </c>
      <c r="K77" s="48" t="s">
        <v>176</v>
      </c>
      <c r="L77" s="48" t="s">
        <v>222</v>
      </c>
      <c r="M77" s="48">
        <v>37885</v>
      </c>
      <c r="N77" s="48" t="s">
        <v>177</v>
      </c>
      <c r="O77" s="48">
        <v>481</v>
      </c>
      <c r="P77" s="47" t="s">
        <v>186</v>
      </c>
      <c r="AD77" s="1" t="str">
        <f t="shared" si="2"/>
        <v>FHD6254284</v>
      </c>
    </row>
    <row r="78" spans="1:30">
      <c r="A78" s="48" t="s">
        <v>224</v>
      </c>
      <c r="B78" s="48" t="s">
        <v>189</v>
      </c>
      <c r="C78" s="48">
        <v>76680</v>
      </c>
      <c r="D78" s="48">
        <v>19820</v>
      </c>
      <c r="E78" s="48">
        <v>56860</v>
      </c>
      <c r="F78" s="48" t="s">
        <v>175</v>
      </c>
      <c r="G78" s="48">
        <v>157502.20000000001</v>
      </c>
      <c r="H78" s="48">
        <v>30</v>
      </c>
      <c r="I78" s="48" t="s">
        <v>129</v>
      </c>
      <c r="J78" s="48">
        <v>69900</v>
      </c>
      <c r="K78" s="48" t="s">
        <v>176</v>
      </c>
      <c r="L78" s="48" t="s">
        <v>222</v>
      </c>
      <c r="M78" s="48">
        <v>37885</v>
      </c>
      <c r="N78" s="48" t="s">
        <v>177</v>
      </c>
      <c r="O78" s="48">
        <v>37404</v>
      </c>
      <c r="P78" s="47" t="s">
        <v>186</v>
      </c>
      <c r="AD78" s="1" t="str">
        <f t="shared" si="2"/>
        <v>FHD3058751</v>
      </c>
    </row>
    <row r="79" spans="1:30">
      <c r="A79" s="48" t="s">
        <v>224</v>
      </c>
      <c r="B79" s="48" t="s">
        <v>189</v>
      </c>
      <c r="C79" s="48">
        <v>76680</v>
      </c>
      <c r="D79" s="48">
        <v>19820</v>
      </c>
      <c r="E79" s="48">
        <v>56860</v>
      </c>
      <c r="F79" s="48" t="s">
        <v>175</v>
      </c>
      <c r="G79" s="48">
        <v>157502.20000000001</v>
      </c>
      <c r="H79" s="48">
        <v>30</v>
      </c>
      <c r="I79" s="48" t="s">
        <v>129</v>
      </c>
      <c r="J79" s="48">
        <v>69901</v>
      </c>
      <c r="K79" s="48" t="s">
        <v>176</v>
      </c>
      <c r="L79" s="48" t="s">
        <v>222</v>
      </c>
      <c r="M79" s="48">
        <v>31421</v>
      </c>
      <c r="N79" s="48" t="s">
        <v>177</v>
      </c>
      <c r="O79" s="48">
        <v>19456</v>
      </c>
      <c r="P79" s="47" t="s">
        <v>186</v>
      </c>
      <c r="AD79" s="1" t="str">
        <f t="shared" si="2"/>
        <v>FHD3058751</v>
      </c>
    </row>
    <row r="80" spans="1:30">
      <c r="A80" s="48" t="s">
        <v>225</v>
      </c>
      <c r="B80" s="48" t="s">
        <v>189</v>
      </c>
      <c r="C80" s="48">
        <v>77630</v>
      </c>
      <c r="D80" s="48">
        <v>18600</v>
      </c>
      <c r="E80" s="48">
        <v>59030</v>
      </c>
      <c r="F80" s="48" t="s">
        <v>175</v>
      </c>
      <c r="G80" s="48">
        <v>163513.1</v>
      </c>
      <c r="H80" s="48">
        <v>30</v>
      </c>
      <c r="I80" s="48" t="s">
        <v>129</v>
      </c>
      <c r="J80" s="48">
        <v>69901</v>
      </c>
      <c r="K80" s="48" t="s">
        <v>176</v>
      </c>
      <c r="L80" s="48" t="s">
        <v>222</v>
      </c>
      <c r="M80" s="48">
        <v>31421</v>
      </c>
      <c r="N80" s="48" t="s">
        <v>177</v>
      </c>
      <c r="O80" s="48">
        <v>11965</v>
      </c>
      <c r="P80" s="47" t="s">
        <v>186</v>
      </c>
      <c r="AD80" s="1" t="str">
        <f t="shared" si="2"/>
        <v>FHD6369154</v>
      </c>
    </row>
    <row r="81" spans="1:30">
      <c r="A81" s="48" t="s">
        <v>225</v>
      </c>
      <c r="B81" s="48" t="s">
        <v>189</v>
      </c>
      <c r="C81" s="48">
        <v>77630</v>
      </c>
      <c r="D81" s="48">
        <v>18600</v>
      </c>
      <c r="E81" s="48">
        <v>59030</v>
      </c>
      <c r="F81" s="48" t="s">
        <v>175</v>
      </c>
      <c r="G81" s="48">
        <v>163513.1</v>
      </c>
      <c r="H81" s="48">
        <v>30</v>
      </c>
      <c r="I81" s="48" t="s">
        <v>129</v>
      </c>
      <c r="J81" s="48">
        <v>69902</v>
      </c>
      <c r="K81" s="48" t="s">
        <v>176</v>
      </c>
      <c r="L81" s="48" t="s">
        <v>222</v>
      </c>
      <c r="M81" s="48">
        <v>33117</v>
      </c>
      <c r="N81" s="48" t="s">
        <v>177</v>
      </c>
      <c r="O81" s="48">
        <v>33117</v>
      </c>
      <c r="P81" s="47" t="s">
        <v>186</v>
      </c>
      <c r="AD81" s="1" t="str">
        <f t="shared" si="2"/>
        <v>FHD6369154</v>
      </c>
    </row>
    <row r="82" spans="1:30">
      <c r="A82" s="48" t="s">
        <v>225</v>
      </c>
      <c r="B82" s="48" t="s">
        <v>189</v>
      </c>
      <c r="C82" s="48">
        <v>77630</v>
      </c>
      <c r="D82" s="48">
        <v>18600</v>
      </c>
      <c r="E82" s="48">
        <v>59030</v>
      </c>
      <c r="F82" s="48" t="s">
        <v>175</v>
      </c>
      <c r="G82" s="48">
        <v>163513.1</v>
      </c>
      <c r="H82" s="48">
        <v>30</v>
      </c>
      <c r="I82" s="48" t="s">
        <v>129</v>
      </c>
      <c r="J82" s="48">
        <v>69903</v>
      </c>
      <c r="K82" s="48" t="s">
        <v>176</v>
      </c>
      <c r="L82" s="48" t="s">
        <v>222</v>
      </c>
      <c r="M82" s="48">
        <v>34095</v>
      </c>
      <c r="N82" s="48" t="s">
        <v>177</v>
      </c>
      <c r="O82" s="48">
        <v>13948</v>
      </c>
      <c r="P82" s="47" t="s">
        <v>186</v>
      </c>
      <c r="AD82" s="1" t="str">
        <f t="shared" si="2"/>
        <v>FHD6369154</v>
      </c>
    </row>
    <row r="83" spans="1:30">
      <c r="A83" s="48" t="s">
        <v>226</v>
      </c>
      <c r="B83" s="48" t="s">
        <v>189</v>
      </c>
      <c r="C83" s="48">
        <v>69550</v>
      </c>
      <c r="D83" s="48">
        <v>19050</v>
      </c>
      <c r="E83" s="48">
        <v>50500</v>
      </c>
      <c r="F83" s="48" t="s">
        <v>175</v>
      </c>
      <c r="G83" s="48">
        <v>139885</v>
      </c>
      <c r="H83" s="48">
        <v>30</v>
      </c>
      <c r="I83" s="48" t="s">
        <v>129</v>
      </c>
      <c r="J83" s="48">
        <v>69903</v>
      </c>
      <c r="K83" s="48" t="s">
        <v>176</v>
      </c>
      <c r="L83" s="48" t="s">
        <v>222</v>
      </c>
      <c r="M83" s="48">
        <v>34095</v>
      </c>
      <c r="N83" s="48" t="s">
        <v>177</v>
      </c>
      <c r="O83" s="48">
        <v>20147</v>
      </c>
      <c r="P83" s="47" t="s">
        <v>186</v>
      </c>
      <c r="AD83" s="1" t="str">
        <f t="shared" si="2"/>
        <v>HFD6411541</v>
      </c>
    </row>
    <row r="84" spans="1:30">
      <c r="A84" s="48" t="s">
        <v>226</v>
      </c>
      <c r="B84" s="48" t="s">
        <v>189</v>
      </c>
      <c r="C84" s="48">
        <v>69550</v>
      </c>
      <c r="D84" s="48">
        <v>19050</v>
      </c>
      <c r="E84" s="48">
        <v>50500</v>
      </c>
      <c r="F84" s="48" t="s">
        <v>175</v>
      </c>
      <c r="G84" s="48">
        <v>139885</v>
      </c>
      <c r="H84" s="48">
        <v>30</v>
      </c>
      <c r="I84" s="48" t="s">
        <v>129</v>
      </c>
      <c r="J84" s="48">
        <v>69904</v>
      </c>
      <c r="K84" s="48" t="s">
        <v>176</v>
      </c>
      <c r="L84" s="48" t="s">
        <v>222</v>
      </c>
      <c r="M84" s="48">
        <v>36109</v>
      </c>
      <c r="N84" s="48" t="s">
        <v>177</v>
      </c>
      <c r="O84" s="48">
        <v>30353</v>
      </c>
      <c r="P84" s="47" t="s">
        <v>186</v>
      </c>
      <c r="AD84" s="1" t="str">
        <f t="shared" si="2"/>
        <v>HFD6411541</v>
      </c>
    </row>
    <row r="85" spans="1:30">
      <c r="A85" s="48" t="s">
        <v>227</v>
      </c>
      <c r="B85" s="48" t="s">
        <v>189</v>
      </c>
      <c r="C85" s="48">
        <v>71510</v>
      </c>
      <c r="D85" s="48">
        <v>18610</v>
      </c>
      <c r="E85" s="48">
        <v>52900</v>
      </c>
      <c r="F85" s="48" t="s">
        <v>175</v>
      </c>
      <c r="G85" s="48">
        <v>146533</v>
      </c>
      <c r="H85" s="48">
        <v>30</v>
      </c>
      <c r="I85" s="48" t="s">
        <v>129</v>
      </c>
      <c r="J85" s="48">
        <v>69904</v>
      </c>
      <c r="K85" s="48" t="s">
        <v>176</v>
      </c>
      <c r="L85" s="48" t="s">
        <v>222</v>
      </c>
      <c r="M85" s="48">
        <v>36109</v>
      </c>
      <c r="N85" s="48" t="s">
        <v>177</v>
      </c>
      <c r="O85" s="48">
        <v>5756</v>
      </c>
      <c r="P85" s="47" t="s">
        <v>186</v>
      </c>
      <c r="AD85" s="1" t="str">
        <f t="shared" si="2"/>
        <v>FHD6289258</v>
      </c>
    </row>
    <row r="86" spans="1:30">
      <c r="A86" s="48" t="s">
        <v>227</v>
      </c>
      <c r="B86" s="48" t="s">
        <v>189</v>
      </c>
      <c r="C86" s="48">
        <v>71510</v>
      </c>
      <c r="D86" s="48">
        <v>18610</v>
      </c>
      <c r="E86" s="48">
        <v>52900</v>
      </c>
      <c r="F86" s="48" t="s">
        <v>175</v>
      </c>
      <c r="G86" s="48">
        <v>146533</v>
      </c>
      <c r="H86" s="48">
        <v>30</v>
      </c>
      <c r="I86" s="48" t="s">
        <v>129</v>
      </c>
      <c r="J86" s="48">
        <v>69905</v>
      </c>
      <c r="K86" s="48" t="s">
        <v>176</v>
      </c>
      <c r="L86" s="48" t="s">
        <v>222</v>
      </c>
      <c r="M86" s="48">
        <v>34214</v>
      </c>
      <c r="N86" s="48" t="s">
        <v>177</v>
      </c>
      <c r="O86" s="48">
        <v>34214</v>
      </c>
      <c r="P86" s="47" t="s">
        <v>186</v>
      </c>
      <c r="AD86" s="1" t="str">
        <f t="shared" si="2"/>
        <v>FHD6289258</v>
      </c>
    </row>
    <row r="87" spans="1:30">
      <c r="A87" s="48" t="s">
        <v>227</v>
      </c>
      <c r="B87" s="48" t="s">
        <v>189</v>
      </c>
      <c r="C87" s="48">
        <v>71510</v>
      </c>
      <c r="D87" s="48">
        <v>18610</v>
      </c>
      <c r="E87" s="48">
        <v>52900</v>
      </c>
      <c r="F87" s="48" t="s">
        <v>175</v>
      </c>
      <c r="G87" s="48">
        <v>146533</v>
      </c>
      <c r="H87" s="48">
        <v>30</v>
      </c>
      <c r="I87" s="48" t="s">
        <v>129</v>
      </c>
      <c r="J87" s="48">
        <v>69962</v>
      </c>
      <c r="K87" s="48" t="s">
        <v>176</v>
      </c>
      <c r="L87" s="48" t="s">
        <v>190</v>
      </c>
      <c r="M87" s="48">
        <v>31561</v>
      </c>
      <c r="N87" s="48" t="s">
        <v>177</v>
      </c>
      <c r="O87" s="48">
        <v>12930</v>
      </c>
      <c r="P87" s="47" t="s">
        <v>186</v>
      </c>
      <c r="AD87" s="1" t="str">
        <f t="shared" si="2"/>
        <v>FHD6289258</v>
      </c>
    </row>
    <row r="88" spans="1:30">
      <c r="A88" s="48" t="s">
        <v>228</v>
      </c>
      <c r="B88" s="48" t="s">
        <v>189</v>
      </c>
      <c r="C88" s="48">
        <v>71380</v>
      </c>
      <c r="D88" s="48">
        <v>18360</v>
      </c>
      <c r="E88" s="48">
        <v>53020</v>
      </c>
      <c r="F88" s="48" t="s">
        <v>175</v>
      </c>
      <c r="G88" s="48">
        <v>146865.4</v>
      </c>
      <c r="H88" s="48">
        <v>30</v>
      </c>
      <c r="I88" s="48" t="s">
        <v>129</v>
      </c>
      <c r="J88" s="48">
        <v>69962</v>
      </c>
      <c r="K88" s="48" t="s">
        <v>176</v>
      </c>
      <c r="L88" s="48" t="s">
        <v>190</v>
      </c>
      <c r="M88" s="48">
        <v>31561</v>
      </c>
      <c r="N88" s="48" t="s">
        <v>177</v>
      </c>
      <c r="O88" s="48">
        <v>18631</v>
      </c>
      <c r="P88" s="47" t="s">
        <v>186</v>
      </c>
      <c r="AD88" s="1" t="str">
        <f t="shared" si="2"/>
        <v>FHD6427251</v>
      </c>
    </row>
    <row r="89" spans="1:30">
      <c r="A89" s="48" t="s">
        <v>228</v>
      </c>
      <c r="B89" s="48" t="s">
        <v>189</v>
      </c>
      <c r="C89" s="48">
        <v>71380</v>
      </c>
      <c r="D89" s="48">
        <v>18360</v>
      </c>
      <c r="E89" s="48">
        <v>53020</v>
      </c>
      <c r="F89" s="48" t="s">
        <v>175</v>
      </c>
      <c r="G89" s="48">
        <v>146865.4</v>
      </c>
      <c r="H89" s="48">
        <v>30</v>
      </c>
      <c r="I89" s="48" t="s">
        <v>129</v>
      </c>
      <c r="J89" s="48">
        <v>69963</v>
      </c>
      <c r="K89" s="48" t="s">
        <v>176</v>
      </c>
      <c r="L89" s="48" t="s">
        <v>190</v>
      </c>
      <c r="M89" s="48">
        <v>32239</v>
      </c>
      <c r="N89" s="48" t="s">
        <v>177</v>
      </c>
      <c r="O89" s="48">
        <v>32239</v>
      </c>
      <c r="P89" s="47" t="s">
        <v>186</v>
      </c>
      <c r="AD89" s="1" t="str">
        <f t="shared" si="2"/>
        <v>FHD6427251</v>
      </c>
    </row>
    <row r="90" spans="1:30">
      <c r="A90" s="48" t="s">
        <v>228</v>
      </c>
      <c r="B90" s="48" t="s">
        <v>189</v>
      </c>
      <c r="C90" s="48">
        <v>71380</v>
      </c>
      <c r="D90" s="48">
        <v>18360</v>
      </c>
      <c r="E90" s="48">
        <v>53020</v>
      </c>
      <c r="F90" s="48" t="s">
        <v>175</v>
      </c>
      <c r="G90" s="48">
        <v>146865.4</v>
      </c>
      <c r="H90" s="48">
        <v>30</v>
      </c>
      <c r="I90" s="48" t="s">
        <v>129</v>
      </c>
      <c r="J90" s="48">
        <v>69964</v>
      </c>
      <c r="K90" s="48" t="s">
        <v>176</v>
      </c>
      <c r="L90" s="48" t="s">
        <v>190</v>
      </c>
      <c r="M90" s="48">
        <v>37167</v>
      </c>
      <c r="N90" s="48" t="s">
        <v>177</v>
      </c>
      <c r="O90" s="48">
        <v>2150</v>
      </c>
      <c r="P90" s="47" t="s">
        <v>186</v>
      </c>
      <c r="AD90" s="1" t="str">
        <f t="shared" si="2"/>
        <v>FHD6427251</v>
      </c>
    </row>
    <row r="91" spans="1:30">
      <c r="A91" s="48" t="s">
        <v>229</v>
      </c>
      <c r="B91" s="48" t="s">
        <v>189</v>
      </c>
      <c r="C91" s="48">
        <v>84280</v>
      </c>
      <c r="D91" s="48">
        <v>22300</v>
      </c>
      <c r="E91" s="48">
        <v>61980</v>
      </c>
      <c r="F91" s="48" t="s">
        <v>175</v>
      </c>
      <c r="G91" s="48">
        <v>171684.6</v>
      </c>
      <c r="H91" s="48">
        <v>30</v>
      </c>
      <c r="I91" s="48" t="s">
        <v>129</v>
      </c>
      <c r="J91" s="48">
        <v>69964</v>
      </c>
      <c r="K91" s="48" t="s">
        <v>176</v>
      </c>
      <c r="L91" s="48" t="s">
        <v>190</v>
      </c>
      <c r="M91" s="48">
        <v>37167</v>
      </c>
      <c r="N91" s="48" t="s">
        <v>177</v>
      </c>
      <c r="O91" s="48">
        <v>35017</v>
      </c>
      <c r="P91" s="47" t="s">
        <v>186</v>
      </c>
      <c r="AD91" s="1" t="str">
        <f t="shared" si="2"/>
        <v>HPE7169981</v>
      </c>
    </row>
    <row r="92" spans="1:30">
      <c r="A92" s="48" t="s">
        <v>229</v>
      </c>
      <c r="B92" s="48" t="s">
        <v>189</v>
      </c>
      <c r="C92" s="48">
        <v>84280</v>
      </c>
      <c r="D92" s="48">
        <v>22300</v>
      </c>
      <c r="E92" s="48">
        <v>61980</v>
      </c>
      <c r="F92" s="48" t="s">
        <v>175</v>
      </c>
      <c r="G92" s="48">
        <v>171684.6</v>
      </c>
      <c r="H92" s="48">
        <v>30</v>
      </c>
      <c r="I92" s="48" t="s">
        <v>129</v>
      </c>
      <c r="J92" s="48">
        <v>69965</v>
      </c>
      <c r="K92" s="48" t="s">
        <v>176</v>
      </c>
      <c r="L92" s="48" t="s">
        <v>190</v>
      </c>
      <c r="M92" s="48">
        <v>37546</v>
      </c>
      <c r="N92" s="48" t="s">
        <v>177</v>
      </c>
      <c r="O92" s="48">
        <v>26963</v>
      </c>
      <c r="P92" s="47" t="s">
        <v>186</v>
      </c>
      <c r="AD92" s="1" t="str">
        <f t="shared" si="2"/>
        <v>HPE7169981</v>
      </c>
    </row>
    <row r="93" spans="1:30">
      <c r="A93" s="48" t="s">
        <v>230</v>
      </c>
      <c r="B93" s="48" t="s">
        <v>189</v>
      </c>
      <c r="C93" s="48">
        <v>85520</v>
      </c>
      <c r="D93" s="48">
        <v>23150</v>
      </c>
      <c r="E93" s="48">
        <v>62370</v>
      </c>
      <c r="F93" s="48" t="s">
        <v>175</v>
      </c>
      <c r="G93" s="48">
        <v>172764.9</v>
      </c>
      <c r="H93" s="48">
        <v>30</v>
      </c>
      <c r="I93" s="48" t="s">
        <v>129</v>
      </c>
      <c r="J93" s="48">
        <v>69965</v>
      </c>
      <c r="K93" s="48" t="s">
        <v>176</v>
      </c>
      <c r="L93" s="48" t="s">
        <v>190</v>
      </c>
      <c r="M93" s="48">
        <v>37546</v>
      </c>
      <c r="N93" s="48" t="s">
        <v>177</v>
      </c>
      <c r="O93" s="48">
        <v>10583</v>
      </c>
      <c r="P93" s="47" t="s">
        <v>186</v>
      </c>
      <c r="AD93" s="1" t="str">
        <f t="shared" si="2"/>
        <v>HFE7154054</v>
      </c>
    </row>
    <row r="94" spans="1:30">
      <c r="A94" s="48" t="s">
        <v>230</v>
      </c>
      <c r="B94" s="48" t="s">
        <v>189</v>
      </c>
      <c r="C94" s="48">
        <v>85520</v>
      </c>
      <c r="D94" s="48">
        <v>23150</v>
      </c>
      <c r="E94" s="48">
        <v>62370</v>
      </c>
      <c r="F94" s="48" t="s">
        <v>175</v>
      </c>
      <c r="G94" s="48">
        <v>172764.9</v>
      </c>
      <c r="H94" s="48">
        <v>30</v>
      </c>
      <c r="I94" s="48" t="s">
        <v>129</v>
      </c>
      <c r="J94" s="48">
        <v>69966</v>
      </c>
      <c r="K94" s="48" t="s">
        <v>176</v>
      </c>
      <c r="L94" s="48" t="s">
        <v>190</v>
      </c>
      <c r="M94" s="48">
        <v>31681</v>
      </c>
      <c r="N94" s="48" t="s">
        <v>177</v>
      </c>
      <c r="O94" s="48">
        <v>31681</v>
      </c>
      <c r="P94" s="47" t="s">
        <v>186</v>
      </c>
      <c r="AD94" s="1" t="str">
        <f t="shared" si="2"/>
        <v>HFE7154054</v>
      </c>
    </row>
    <row r="95" spans="1:30">
      <c r="A95" s="48" t="s">
        <v>230</v>
      </c>
      <c r="B95" s="48" t="s">
        <v>189</v>
      </c>
      <c r="C95" s="48">
        <v>85520</v>
      </c>
      <c r="D95" s="48">
        <v>23150</v>
      </c>
      <c r="E95" s="48">
        <v>62370</v>
      </c>
      <c r="F95" s="48" t="s">
        <v>175</v>
      </c>
      <c r="G95" s="48">
        <v>172764.9</v>
      </c>
      <c r="H95" s="48">
        <v>30</v>
      </c>
      <c r="I95" s="48" t="s">
        <v>129</v>
      </c>
      <c r="J95" s="48">
        <v>69967</v>
      </c>
      <c r="K95" s="48" t="s">
        <v>176</v>
      </c>
      <c r="L95" s="48" t="s">
        <v>190</v>
      </c>
      <c r="M95" s="48">
        <v>31581</v>
      </c>
      <c r="N95" s="48" t="s">
        <v>177</v>
      </c>
      <c r="O95" s="48">
        <v>20106</v>
      </c>
      <c r="P95" s="47" t="s">
        <v>186</v>
      </c>
      <c r="AD95" s="1" t="str">
        <f t="shared" si="2"/>
        <v>HFE7154054</v>
      </c>
    </row>
    <row r="96" spans="1:30">
      <c r="A96" s="48" t="s">
        <v>231</v>
      </c>
      <c r="B96" s="48" t="s">
        <v>189</v>
      </c>
      <c r="C96" s="48">
        <v>85940</v>
      </c>
      <c r="D96" s="48">
        <v>23780</v>
      </c>
      <c r="E96" s="48">
        <v>62160</v>
      </c>
      <c r="F96" s="48" t="s">
        <v>175</v>
      </c>
      <c r="G96" s="48">
        <v>172183.2</v>
      </c>
      <c r="H96" s="48">
        <v>30</v>
      </c>
      <c r="I96" s="48" t="s">
        <v>129</v>
      </c>
      <c r="J96" s="48">
        <v>69967</v>
      </c>
      <c r="K96" s="48" t="s">
        <v>176</v>
      </c>
      <c r="L96" s="48" t="s">
        <v>190</v>
      </c>
      <c r="M96" s="48">
        <v>31581</v>
      </c>
      <c r="N96" s="48" t="s">
        <v>177</v>
      </c>
      <c r="O96" s="48">
        <v>11475</v>
      </c>
      <c r="P96" s="47" t="s">
        <v>186</v>
      </c>
      <c r="AD96" s="1" t="str">
        <f t="shared" si="2"/>
        <v>HFE7163908</v>
      </c>
    </row>
    <row r="97" spans="1:30">
      <c r="A97" s="48" t="s">
        <v>231</v>
      </c>
      <c r="B97" s="48" t="s">
        <v>189</v>
      </c>
      <c r="C97" s="48">
        <v>85940</v>
      </c>
      <c r="D97" s="48">
        <v>23780</v>
      </c>
      <c r="E97" s="48">
        <v>62160</v>
      </c>
      <c r="F97" s="48" t="s">
        <v>175</v>
      </c>
      <c r="G97" s="48">
        <v>172183.2</v>
      </c>
      <c r="H97" s="48">
        <v>30</v>
      </c>
      <c r="I97" s="48" t="s">
        <v>129</v>
      </c>
      <c r="J97" s="48">
        <v>69968</v>
      </c>
      <c r="K97" s="48" t="s">
        <v>176</v>
      </c>
      <c r="L97" s="48" t="s">
        <v>190</v>
      </c>
      <c r="M97" s="48">
        <v>36868</v>
      </c>
      <c r="N97" s="48" t="s">
        <v>177</v>
      </c>
      <c r="O97" s="48">
        <v>36868</v>
      </c>
      <c r="P97" s="47" t="s">
        <v>186</v>
      </c>
      <c r="AD97" s="1" t="str">
        <f t="shared" si="2"/>
        <v>HFE7163908</v>
      </c>
    </row>
    <row r="98" spans="1:30">
      <c r="A98" s="48" t="s">
        <v>231</v>
      </c>
      <c r="B98" s="48" t="s">
        <v>189</v>
      </c>
      <c r="C98" s="48">
        <v>85940</v>
      </c>
      <c r="D98" s="48">
        <v>23780</v>
      </c>
      <c r="E98" s="48">
        <v>62160</v>
      </c>
      <c r="F98" s="48" t="s">
        <v>175</v>
      </c>
      <c r="G98" s="48">
        <v>172183.2</v>
      </c>
      <c r="H98" s="48">
        <v>30</v>
      </c>
      <c r="I98" s="48" t="s">
        <v>129</v>
      </c>
      <c r="J98" s="48">
        <v>69969</v>
      </c>
      <c r="K98" s="48" t="s">
        <v>176</v>
      </c>
      <c r="L98" s="48" t="s">
        <v>190</v>
      </c>
      <c r="M98" s="48">
        <v>36907</v>
      </c>
      <c r="N98" s="48" t="s">
        <v>177</v>
      </c>
      <c r="O98" s="48">
        <v>13817</v>
      </c>
      <c r="P98" s="47" t="s">
        <v>186</v>
      </c>
      <c r="AD98" s="1" t="str">
        <f t="shared" si="2"/>
        <v>HFE7163908</v>
      </c>
    </row>
    <row r="99" spans="1:30">
      <c r="A99" s="48" t="s">
        <v>232</v>
      </c>
      <c r="B99" s="48" t="s">
        <v>189</v>
      </c>
      <c r="C99" s="48">
        <v>83820</v>
      </c>
      <c r="D99" s="48">
        <v>22680</v>
      </c>
      <c r="E99" s="48">
        <v>61140</v>
      </c>
      <c r="F99" s="48" t="s">
        <v>175</v>
      </c>
      <c r="G99" s="48">
        <v>169357.8</v>
      </c>
      <c r="H99" s="48">
        <v>30</v>
      </c>
      <c r="I99" s="48" t="s">
        <v>129</v>
      </c>
      <c r="J99" s="48">
        <v>69969</v>
      </c>
      <c r="K99" s="48" t="s">
        <v>176</v>
      </c>
      <c r="L99" s="48" t="s">
        <v>190</v>
      </c>
      <c r="M99" s="48">
        <v>36907</v>
      </c>
      <c r="N99" s="48" t="s">
        <v>177</v>
      </c>
      <c r="O99" s="48">
        <v>23090</v>
      </c>
      <c r="P99" s="47" t="s">
        <v>186</v>
      </c>
      <c r="AD99" s="1" t="str">
        <f t="shared" si="2"/>
        <v>HFE7156987</v>
      </c>
    </row>
    <row r="100" spans="1:30">
      <c r="A100" s="48" t="s">
        <v>232</v>
      </c>
      <c r="B100" s="48" t="s">
        <v>189</v>
      </c>
      <c r="C100" s="48">
        <v>83820</v>
      </c>
      <c r="D100" s="48">
        <v>22680</v>
      </c>
      <c r="E100" s="48">
        <v>61140</v>
      </c>
      <c r="F100" s="48" t="s">
        <v>175</v>
      </c>
      <c r="G100" s="48">
        <v>169357.8</v>
      </c>
      <c r="H100" s="48">
        <v>30</v>
      </c>
      <c r="I100" s="48" t="s">
        <v>129</v>
      </c>
      <c r="J100" s="48">
        <v>69971</v>
      </c>
      <c r="K100" s="48" t="s">
        <v>176</v>
      </c>
      <c r="L100" s="48" t="s">
        <v>190</v>
      </c>
      <c r="M100" s="48">
        <v>36508</v>
      </c>
      <c r="N100" s="48" t="s">
        <v>177</v>
      </c>
      <c r="O100" s="48">
        <v>36508</v>
      </c>
      <c r="P100" s="47" t="s">
        <v>186</v>
      </c>
      <c r="AD100" s="1" t="str">
        <f t="shared" si="2"/>
        <v>HFE7156987</v>
      </c>
    </row>
    <row r="101" spans="1:30">
      <c r="A101" s="48" t="s">
        <v>232</v>
      </c>
      <c r="B101" s="48" t="s">
        <v>189</v>
      </c>
      <c r="C101" s="48">
        <v>83820</v>
      </c>
      <c r="D101" s="48">
        <v>22680</v>
      </c>
      <c r="E101" s="48">
        <v>61140</v>
      </c>
      <c r="F101" s="48" t="s">
        <v>175</v>
      </c>
      <c r="G101" s="48">
        <v>169357.8</v>
      </c>
      <c r="H101" s="48">
        <v>30</v>
      </c>
      <c r="I101" s="48" t="s">
        <v>129</v>
      </c>
      <c r="J101" s="48">
        <v>69972</v>
      </c>
      <c r="K101" s="48" t="s">
        <v>176</v>
      </c>
      <c r="L101" s="48" t="s">
        <v>190</v>
      </c>
      <c r="M101" s="48">
        <v>32399</v>
      </c>
      <c r="N101" s="48" t="s">
        <v>177</v>
      </c>
      <c r="O101" s="48">
        <v>1542</v>
      </c>
      <c r="P101" s="47" t="s">
        <v>186</v>
      </c>
      <c r="AD101" s="1" t="str">
        <f t="shared" si="2"/>
        <v>HFE7156987</v>
      </c>
    </row>
  </sheetData>
  <pageMargins left="0.25" right="0" top="0.75" bottom="0.25" header="0" footer="0"/>
  <pageSetup paperSize="5" scale="0" firstPageNumber="0" fitToHeight="0" orientation="landscape" horizontalDpi="0" verticalDpi="0"/>
  <headerFooter alignWithMargins="0"/>
  <customProperties>
    <customPr name="EpmWorksheetKeyString_GUID" r:id="rId1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4" filterMode="1"/>
  <dimension ref="A1:AD102"/>
  <sheetViews>
    <sheetView workbookViewId="0">
      <selection activeCell="A2" sqref="A2:AD102"/>
    </sheetView>
  </sheetViews>
  <sheetFormatPr defaultRowHeight="15"/>
  <cols>
    <col min="1" max="1" width="29.7109375" customWidth="1"/>
    <col min="2" max="2" width="8" style="10" bestFit="1" customWidth="1"/>
    <col min="3" max="3" width="18.5703125" bestFit="1" customWidth="1"/>
    <col min="4" max="4" width="7.5703125" bestFit="1" customWidth="1"/>
    <col min="5" max="6" width="6.5703125" bestFit="1" customWidth="1"/>
    <col min="7" max="7" width="8.7109375" bestFit="1" customWidth="1"/>
    <col min="8" max="8" width="4" bestFit="1" customWidth="1"/>
    <col min="9" max="10" width="6" bestFit="1" customWidth="1"/>
    <col min="11" max="11" width="10" bestFit="1" customWidth="1"/>
    <col min="12" max="12" width="18.5703125" style="28" bestFit="1" customWidth="1"/>
    <col min="13" max="13" width="46.28515625" bestFit="1" customWidth="1"/>
    <col min="14" max="14" width="9.5703125" bestFit="1" customWidth="1"/>
    <col min="15" max="15" width="18.5703125" bestFit="1" customWidth="1"/>
    <col min="16" max="16" width="7.5703125" bestFit="1" customWidth="1"/>
    <col min="17" max="17" width="4.28515625" bestFit="1" customWidth="1"/>
    <col min="18" max="18" width="10.7109375" bestFit="1" customWidth="1"/>
    <col min="19" max="19" width="46.28515625" bestFit="1" customWidth="1"/>
    <col min="20" max="22" width="6.5703125" bestFit="1" customWidth="1"/>
    <col min="23" max="23" width="15.140625" bestFit="1" customWidth="1"/>
    <col min="24" max="24" width="35.85546875" bestFit="1" customWidth="1"/>
    <col min="25" max="25" width="20.28515625" bestFit="1" customWidth="1"/>
    <col min="26" max="26" width="15.140625" bestFit="1" customWidth="1"/>
    <col min="27" max="27" width="35.85546875" bestFit="1" customWidth="1"/>
    <col min="28" max="28" width="20.28515625" bestFit="1" customWidth="1"/>
    <col min="29" max="29" width="18.5703125" bestFit="1" customWidth="1"/>
    <col min="30" max="30" width="9" bestFit="1" customWidth="1"/>
  </cols>
  <sheetData>
    <row r="1" spans="1:30">
      <c r="A1" s="13" t="s">
        <v>19</v>
      </c>
      <c r="B1" s="16" t="s">
        <v>20</v>
      </c>
      <c r="C1" s="11" t="s">
        <v>21</v>
      </c>
      <c r="D1" s="11" t="s">
        <v>22</v>
      </c>
      <c r="E1" s="12" t="s">
        <v>23</v>
      </c>
      <c r="F1" s="13" t="s">
        <v>24</v>
      </c>
      <c r="G1" s="13" t="s">
        <v>25</v>
      </c>
      <c r="H1" s="13" t="s">
        <v>26</v>
      </c>
      <c r="I1" s="13" t="s">
        <v>27</v>
      </c>
      <c r="J1" s="11" t="s">
        <v>28</v>
      </c>
      <c r="K1" s="13" t="s">
        <v>29</v>
      </c>
      <c r="L1" s="29" t="s">
        <v>30</v>
      </c>
      <c r="M1" s="13" t="s">
        <v>31</v>
      </c>
      <c r="N1" s="13" t="s">
        <v>32</v>
      </c>
      <c r="O1" s="13" t="s">
        <v>33</v>
      </c>
      <c r="P1" t="s">
        <v>34</v>
      </c>
      <c r="Q1" t="s">
        <v>35</v>
      </c>
      <c r="R1" t="s">
        <v>36</v>
      </c>
      <c r="S1" t="s">
        <v>37</v>
      </c>
      <c r="T1" t="s">
        <v>38</v>
      </c>
      <c r="U1" t="s">
        <v>39</v>
      </c>
      <c r="V1" t="s">
        <v>40</v>
      </c>
      <c r="W1" t="s">
        <v>42</v>
      </c>
      <c r="X1" t="s">
        <v>41</v>
      </c>
      <c r="Y1" t="s">
        <v>43</v>
      </c>
      <c r="Z1" t="s">
        <v>158</v>
      </c>
      <c r="AA1" t="s">
        <v>159</v>
      </c>
      <c r="AB1" t="s">
        <v>160</v>
      </c>
      <c r="AC1" t="s">
        <v>161</v>
      </c>
      <c r="AD1" t="str">
        <f t="shared" ref="AD1" si="0">H1&amp;G1</f>
        <v>C8C7</v>
      </c>
    </row>
    <row r="2" spans="1:30" hidden="1">
      <c r="A2" s="48" t="s">
        <v>188</v>
      </c>
      <c r="B2" s="49" t="s">
        <v>189</v>
      </c>
      <c r="C2" s="48">
        <v>79660</v>
      </c>
      <c r="D2" s="48">
        <v>22080</v>
      </c>
      <c r="E2" s="48">
        <v>57580</v>
      </c>
      <c r="F2" s="48" t="s">
        <v>175</v>
      </c>
      <c r="G2" s="48">
        <v>159496.6</v>
      </c>
      <c r="H2" s="48">
        <v>31</v>
      </c>
      <c r="I2" s="48" t="s">
        <v>129</v>
      </c>
      <c r="J2" s="48">
        <v>69972</v>
      </c>
      <c r="K2" s="48" t="s">
        <v>176</v>
      </c>
      <c r="L2" s="48" t="s">
        <v>190</v>
      </c>
      <c r="M2" s="48">
        <v>32399</v>
      </c>
      <c r="N2" s="48" t="s">
        <v>177</v>
      </c>
      <c r="O2" s="48">
        <v>30857</v>
      </c>
      <c r="P2" s="51" t="s">
        <v>178</v>
      </c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 t="s">
        <v>233</v>
      </c>
    </row>
    <row r="3" spans="1:30" hidden="1">
      <c r="A3" s="48" t="s">
        <v>188</v>
      </c>
      <c r="B3" s="49" t="s">
        <v>189</v>
      </c>
      <c r="C3" s="48">
        <v>79660</v>
      </c>
      <c r="D3" s="48">
        <v>22080</v>
      </c>
      <c r="E3" s="48">
        <v>57580</v>
      </c>
      <c r="F3" s="48" t="s">
        <v>175</v>
      </c>
      <c r="G3" s="48">
        <v>159496.6</v>
      </c>
      <c r="H3" s="48">
        <v>31</v>
      </c>
      <c r="I3" s="48" t="s">
        <v>129</v>
      </c>
      <c r="J3" s="48">
        <v>70012</v>
      </c>
      <c r="K3" s="48" t="s">
        <v>176</v>
      </c>
      <c r="L3" s="48" t="s">
        <v>191</v>
      </c>
      <c r="M3" s="48">
        <v>37526</v>
      </c>
      <c r="N3" s="48" t="s">
        <v>177</v>
      </c>
      <c r="O3" s="48">
        <v>26723</v>
      </c>
      <c r="P3" s="51" t="s">
        <v>178</v>
      </c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 t="s">
        <v>233</v>
      </c>
    </row>
    <row r="4" spans="1:30" hidden="1">
      <c r="A4" s="48" t="s">
        <v>192</v>
      </c>
      <c r="B4" s="49" t="s">
        <v>189</v>
      </c>
      <c r="C4" s="48">
        <v>84380</v>
      </c>
      <c r="D4" s="48">
        <v>23010</v>
      </c>
      <c r="E4" s="48">
        <v>61370</v>
      </c>
      <c r="F4" s="48" t="s">
        <v>175</v>
      </c>
      <c r="G4" s="48">
        <v>169994.9</v>
      </c>
      <c r="H4" s="48">
        <v>31</v>
      </c>
      <c r="I4" s="48" t="s">
        <v>129</v>
      </c>
      <c r="J4" s="48">
        <v>70012</v>
      </c>
      <c r="K4" s="48" t="s">
        <v>176</v>
      </c>
      <c r="L4" s="48" t="s">
        <v>191</v>
      </c>
      <c r="M4" s="48">
        <v>37526</v>
      </c>
      <c r="N4" s="48" t="s">
        <v>177</v>
      </c>
      <c r="O4" s="48">
        <v>10803</v>
      </c>
      <c r="P4" s="51" t="s">
        <v>178</v>
      </c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 t="s">
        <v>234</v>
      </c>
    </row>
    <row r="5" spans="1:30" hidden="1">
      <c r="A5" s="48" t="s">
        <v>192</v>
      </c>
      <c r="B5" s="49" t="s">
        <v>189</v>
      </c>
      <c r="C5" s="48">
        <v>84380</v>
      </c>
      <c r="D5" s="48">
        <v>23010</v>
      </c>
      <c r="E5" s="48">
        <v>61370</v>
      </c>
      <c r="F5" s="48" t="s">
        <v>175</v>
      </c>
      <c r="G5" s="48">
        <v>169994.9</v>
      </c>
      <c r="H5" s="48">
        <v>31</v>
      </c>
      <c r="I5" s="48" t="s">
        <v>129</v>
      </c>
      <c r="J5" s="48">
        <v>70014</v>
      </c>
      <c r="K5" s="48" t="s">
        <v>176</v>
      </c>
      <c r="L5" s="48" t="s">
        <v>191</v>
      </c>
      <c r="M5" s="48">
        <v>31661</v>
      </c>
      <c r="N5" s="48" t="s">
        <v>177</v>
      </c>
      <c r="O5" s="48">
        <v>31661</v>
      </c>
      <c r="P5" s="51" t="s">
        <v>178</v>
      </c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 t="s">
        <v>234</v>
      </c>
    </row>
    <row r="6" spans="1:30" hidden="1">
      <c r="A6" s="48" t="s">
        <v>192</v>
      </c>
      <c r="B6" s="49" t="s">
        <v>189</v>
      </c>
      <c r="C6" s="48">
        <v>84380</v>
      </c>
      <c r="D6" s="48">
        <v>23010</v>
      </c>
      <c r="E6" s="48">
        <v>61370</v>
      </c>
      <c r="F6" s="48" t="s">
        <v>175</v>
      </c>
      <c r="G6" s="48">
        <v>169994.9</v>
      </c>
      <c r="H6" s="48">
        <v>31</v>
      </c>
      <c r="I6" s="48" t="s">
        <v>129</v>
      </c>
      <c r="J6" s="48">
        <v>70015</v>
      </c>
      <c r="K6" s="48" t="s">
        <v>176</v>
      </c>
      <c r="L6" s="48" t="s">
        <v>191</v>
      </c>
      <c r="M6" s="48">
        <v>31960</v>
      </c>
      <c r="N6" s="48" t="s">
        <v>177</v>
      </c>
      <c r="O6" s="48">
        <v>18906</v>
      </c>
      <c r="P6" s="51" t="s">
        <v>178</v>
      </c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 t="s">
        <v>234</v>
      </c>
    </row>
    <row r="7" spans="1:30" hidden="1">
      <c r="A7" s="48" t="s">
        <v>193</v>
      </c>
      <c r="B7" s="49" t="s">
        <v>189</v>
      </c>
      <c r="C7" s="48">
        <v>87520</v>
      </c>
      <c r="D7" s="48">
        <v>24020</v>
      </c>
      <c r="E7" s="48">
        <v>63500</v>
      </c>
      <c r="F7" s="48" t="s">
        <v>175</v>
      </c>
      <c r="G7" s="48">
        <v>175895</v>
      </c>
      <c r="H7" s="48">
        <v>31</v>
      </c>
      <c r="I7" s="48" t="s">
        <v>129</v>
      </c>
      <c r="J7" s="48">
        <v>70015</v>
      </c>
      <c r="K7" s="48" t="s">
        <v>176</v>
      </c>
      <c r="L7" s="48" t="s">
        <v>191</v>
      </c>
      <c r="M7" s="48">
        <v>31960</v>
      </c>
      <c r="N7" s="48" t="s">
        <v>177</v>
      </c>
      <c r="O7" s="48">
        <v>13054</v>
      </c>
      <c r="P7" s="51" t="s">
        <v>178</v>
      </c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 t="s">
        <v>235</v>
      </c>
    </row>
    <row r="8" spans="1:30" hidden="1">
      <c r="A8" s="48" t="s">
        <v>193</v>
      </c>
      <c r="B8" s="49" t="s">
        <v>189</v>
      </c>
      <c r="C8" s="48">
        <v>87520</v>
      </c>
      <c r="D8" s="48">
        <v>24020</v>
      </c>
      <c r="E8" s="48">
        <v>63500</v>
      </c>
      <c r="F8" s="48" t="s">
        <v>175</v>
      </c>
      <c r="G8" s="48">
        <v>175895</v>
      </c>
      <c r="H8" s="48">
        <v>31</v>
      </c>
      <c r="I8" s="48" t="s">
        <v>129</v>
      </c>
      <c r="J8" s="48">
        <v>70016</v>
      </c>
      <c r="K8" s="48" t="s">
        <v>176</v>
      </c>
      <c r="L8" s="48" t="s">
        <v>191</v>
      </c>
      <c r="M8" s="48">
        <v>37047</v>
      </c>
      <c r="N8" s="48" t="s">
        <v>177</v>
      </c>
      <c r="O8" s="48">
        <v>37047</v>
      </c>
      <c r="P8" s="51" t="s">
        <v>178</v>
      </c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 t="s">
        <v>235</v>
      </c>
    </row>
    <row r="9" spans="1:30" hidden="1">
      <c r="A9" s="48" t="s">
        <v>193</v>
      </c>
      <c r="B9" s="49" t="s">
        <v>189</v>
      </c>
      <c r="C9" s="48">
        <v>87520</v>
      </c>
      <c r="D9" s="48">
        <v>24020</v>
      </c>
      <c r="E9" s="48">
        <v>63500</v>
      </c>
      <c r="F9" s="48" t="s">
        <v>175</v>
      </c>
      <c r="G9" s="48">
        <v>175895</v>
      </c>
      <c r="H9" s="48">
        <v>31</v>
      </c>
      <c r="I9" s="48" t="s">
        <v>129</v>
      </c>
      <c r="J9" s="48">
        <v>70017</v>
      </c>
      <c r="K9" s="48" t="s">
        <v>176</v>
      </c>
      <c r="L9" s="48" t="s">
        <v>191</v>
      </c>
      <c r="M9" s="48">
        <v>36469</v>
      </c>
      <c r="N9" s="48" t="s">
        <v>177</v>
      </c>
      <c r="O9" s="48">
        <v>13399</v>
      </c>
      <c r="P9" s="51" t="s">
        <v>178</v>
      </c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 t="s">
        <v>235</v>
      </c>
    </row>
    <row r="10" spans="1:30" hidden="1">
      <c r="A10" s="48" t="s">
        <v>194</v>
      </c>
      <c r="B10" s="49" t="s">
        <v>189</v>
      </c>
      <c r="C10" s="48">
        <v>70430</v>
      </c>
      <c r="D10" s="48">
        <v>19560</v>
      </c>
      <c r="E10" s="48">
        <v>50870</v>
      </c>
      <c r="F10" s="48" t="s">
        <v>175</v>
      </c>
      <c r="G10" s="48">
        <v>140909.9</v>
      </c>
      <c r="H10" s="48">
        <v>31</v>
      </c>
      <c r="I10" s="48" t="s">
        <v>129</v>
      </c>
      <c r="J10" s="48">
        <v>70017</v>
      </c>
      <c r="K10" s="48" t="s">
        <v>176</v>
      </c>
      <c r="L10" s="48" t="s">
        <v>191</v>
      </c>
      <c r="M10" s="48">
        <v>36469</v>
      </c>
      <c r="N10" s="48" t="s">
        <v>177</v>
      </c>
      <c r="O10" s="48">
        <v>23070</v>
      </c>
      <c r="P10" s="51" t="s">
        <v>178</v>
      </c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 t="s">
        <v>236</v>
      </c>
    </row>
    <row r="11" spans="1:30" hidden="1">
      <c r="A11" s="48" t="s">
        <v>194</v>
      </c>
      <c r="B11" s="49" t="s">
        <v>189</v>
      </c>
      <c r="C11" s="48">
        <v>70430</v>
      </c>
      <c r="D11" s="48">
        <v>19560</v>
      </c>
      <c r="E11" s="48">
        <v>50870</v>
      </c>
      <c r="F11" s="48" t="s">
        <v>175</v>
      </c>
      <c r="G11" s="48">
        <v>140909.9</v>
      </c>
      <c r="H11" s="48">
        <v>31</v>
      </c>
      <c r="I11" s="48" t="s">
        <v>129</v>
      </c>
      <c r="J11" s="48">
        <v>70018</v>
      </c>
      <c r="K11" s="48" t="s">
        <v>176</v>
      </c>
      <c r="L11" s="48" t="s">
        <v>191</v>
      </c>
      <c r="M11" s="48">
        <v>31262</v>
      </c>
      <c r="N11" s="48" t="s">
        <v>177</v>
      </c>
      <c r="O11" s="48">
        <v>27800</v>
      </c>
      <c r="P11" s="51" t="s">
        <v>178</v>
      </c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 t="s">
        <v>236</v>
      </c>
    </row>
    <row r="12" spans="1:30" hidden="1">
      <c r="A12" s="48" t="s">
        <v>195</v>
      </c>
      <c r="B12" s="49" t="s">
        <v>189</v>
      </c>
      <c r="C12" s="48">
        <v>70610</v>
      </c>
      <c r="D12" s="48">
        <v>19640</v>
      </c>
      <c r="E12" s="48">
        <v>50970</v>
      </c>
      <c r="F12" s="48" t="s">
        <v>175</v>
      </c>
      <c r="G12" s="48">
        <v>141186.9</v>
      </c>
      <c r="H12" s="48">
        <v>31</v>
      </c>
      <c r="I12" s="48" t="s">
        <v>129</v>
      </c>
      <c r="J12" s="48">
        <v>70018</v>
      </c>
      <c r="K12" s="48" t="s">
        <v>176</v>
      </c>
      <c r="L12" s="48" t="s">
        <v>191</v>
      </c>
      <c r="M12" s="48">
        <v>31262</v>
      </c>
      <c r="N12" s="48" t="s">
        <v>177</v>
      </c>
      <c r="O12" s="48">
        <v>3462</v>
      </c>
      <c r="P12" s="51" t="s">
        <v>178</v>
      </c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 t="s">
        <v>237</v>
      </c>
    </row>
    <row r="13" spans="1:30" hidden="1">
      <c r="A13" s="48" t="s">
        <v>195</v>
      </c>
      <c r="B13" s="49" t="s">
        <v>189</v>
      </c>
      <c r="C13" s="48">
        <v>70610</v>
      </c>
      <c r="D13" s="48">
        <v>19640</v>
      </c>
      <c r="E13" s="48">
        <v>50970</v>
      </c>
      <c r="F13" s="48" t="s">
        <v>175</v>
      </c>
      <c r="G13" s="48">
        <v>141186.9</v>
      </c>
      <c r="H13" s="48">
        <v>31</v>
      </c>
      <c r="I13" s="48" t="s">
        <v>129</v>
      </c>
      <c r="J13" s="48">
        <v>70019</v>
      </c>
      <c r="K13" s="48" t="s">
        <v>176</v>
      </c>
      <c r="L13" s="48" t="s">
        <v>191</v>
      </c>
      <c r="M13" s="48">
        <v>37466</v>
      </c>
      <c r="N13" s="48" t="s">
        <v>177</v>
      </c>
      <c r="O13" s="48">
        <v>37466</v>
      </c>
      <c r="P13" s="51" t="s">
        <v>178</v>
      </c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 t="s">
        <v>237</v>
      </c>
    </row>
    <row r="14" spans="1:30" hidden="1">
      <c r="A14" s="48" t="s">
        <v>195</v>
      </c>
      <c r="B14" s="49" t="s">
        <v>189</v>
      </c>
      <c r="C14" s="48">
        <v>70610</v>
      </c>
      <c r="D14" s="48">
        <v>19640</v>
      </c>
      <c r="E14" s="48">
        <v>50970</v>
      </c>
      <c r="F14" s="48" t="s">
        <v>175</v>
      </c>
      <c r="G14" s="48">
        <v>141186.9</v>
      </c>
      <c r="H14" s="48">
        <v>31</v>
      </c>
      <c r="I14" s="48" t="s">
        <v>129</v>
      </c>
      <c r="J14" s="48">
        <v>70020</v>
      </c>
      <c r="K14" s="48" t="s">
        <v>176</v>
      </c>
      <c r="L14" s="48" t="s">
        <v>191</v>
      </c>
      <c r="M14" s="48">
        <v>31720</v>
      </c>
      <c r="N14" s="48" t="s">
        <v>177</v>
      </c>
      <c r="O14" s="48">
        <v>10042</v>
      </c>
      <c r="P14" s="51" t="s">
        <v>178</v>
      </c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 t="s">
        <v>237</v>
      </c>
    </row>
    <row r="15" spans="1:30" hidden="1">
      <c r="A15" s="48" t="s">
        <v>196</v>
      </c>
      <c r="B15" s="49" t="s">
        <v>189</v>
      </c>
      <c r="C15" s="48">
        <v>86030</v>
      </c>
      <c r="D15" s="48">
        <v>22140</v>
      </c>
      <c r="E15" s="48">
        <v>63890</v>
      </c>
      <c r="F15" s="48" t="s">
        <v>175</v>
      </c>
      <c r="G15" s="48">
        <v>176975.3</v>
      </c>
      <c r="H15" s="48">
        <v>31</v>
      </c>
      <c r="I15" s="48" t="s">
        <v>129</v>
      </c>
      <c r="J15" s="48">
        <v>70020</v>
      </c>
      <c r="K15" s="48" t="s">
        <v>176</v>
      </c>
      <c r="L15" s="48" t="s">
        <v>191</v>
      </c>
      <c r="M15" s="48">
        <v>31720</v>
      </c>
      <c r="N15" s="48" t="s">
        <v>177</v>
      </c>
      <c r="O15" s="48">
        <v>21678</v>
      </c>
      <c r="P15" s="51" t="s">
        <v>178</v>
      </c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 t="s">
        <v>238</v>
      </c>
    </row>
    <row r="16" spans="1:30" hidden="1">
      <c r="A16" s="48" t="s">
        <v>196</v>
      </c>
      <c r="B16" s="49" t="s">
        <v>189</v>
      </c>
      <c r="C16" s="48">
        <v>86030</v>
      </c>
      <c r="D16" s="48">
        <v>22140</v>
      </c>
      <c r="E16" s="48">
        <v>63890</v>
      </c>
      <c r="F16" s="48" t="s">
        <v>175</v>
      </c>
      <c r="G16" s="48">
        <v>176975.3</v>
      </c>
      <c r="H16" s="48">
        <v>31</v>
      </c>
      <c r="I16" s="48" t="s">
        <v>129</v>
      </c>
      <c r="J16" s="48">
        <v>70021</v>
      </c>
      <c r="K16" s="48" t="s">
        <v>176</v>
      </c>
      <c r="L16" s="48" t="s">
        <v>191</v>
      </c>
      <c r="M16" s="48">
        <v>31960</v>
      </c>
      <c r="N16" s="48" t="s">
        <v>177</v>
      </c>
      <c r="O16" s="48">
        <v>31960</v>
      </c>
      <c r="P16" s="51" t="s">
        <v>178</v>
      </c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 t="s">
        <v>238</v>
      </c>
    </row>
    <row r="17" spans="1:30" hidden="1">
      <c r="A17" s="48" t="s">
        <v>196</v>
      </c>
      <c r="B17" s="49" t="s">
        <v>189</v>
      </c>
      <c r="C17" s="48">
        <v>86030</v>
      </c>
      <c r="D17" s="48">
        <v>22140</v>
      </c>
      <c r="E17" s="48">
        <v>63890</v>
      </c>
      <c r="F17" s="48" t="s">
        <v>175</v>
      </c>
      <c r="G17" s="48">
        <v>176975.3</v>
      </c>
      <c r="H17" s="48">
        <v>31</v>
      </c>
      <c r="I17" s="48" t="s">
        <v>129</v>
      </c>
      <c r="J17" s="48">
        <v>70022</v>
      </c>
      <c r="K17" s="48" t="s">
        <v>176</v>
      </c>
      <c r="L17" s="48" t="s">
        <v>191</v>
      </c>
      <c r="M17" s="48">
        <v>37745</v>
      </c>
      <c r="N17" s="48" t="s">
        <v>177</v>
      </c>
      <c r="O17" s="48">
        <v>10252</v>
      </c>
      <c r="P17" s="51" t="s">
        <v>178</v>
      </c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 t="s">
        <v>238</v>
      </c>
    </row>
    <row r="18" spans="1:30" hidden="1">
      <c r="A18" s="48" t="s">
        <v>197</v>
      </c>
      <c r="B18" s="49" t="s">
        <v>189</v>
      </c>
      <c r="C18" s="48">
        <v>84540</v>
      </c>
      <c r="D18" s="48">
        <v>22420</v>
      </c>
      <c r="E18" s="48">
        <v>62120</v>
      </c>
      <c r="F18" s="48" t="s">
        <v>175</v>
      </c>
      <c r="G18" s="48">
        <v>172072.4</v>
      </c>
      <c r="H18" s="48">
        <v>31</v>
      </c>
      <c r="I18" s="48" t="s">
        <v>129</v>
      </c>
      <c r="J18" s="48">
        <v>70022</v>
      </c>
      <c r="K18" s="48" t="s">
        <v>176</v>
      </c>
      <c r="L18" s="48" t="s">
        <v>191</v>
      </c>
      <c r="M18" s="48">
        <v>37745</v>
      </c>
      <c r="N18" s="48" t="s">
        <v>177</v>
      </c>
      <c r="O18" s="48">
        <v>27493</v>
      </c>
      <c r="P18" s="51" t="s">
        <v>178</v>
      </c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 t="s">
        <v>239</v>
      </c>
    </row>
    <row r="19" spans="1:30" hidden="1">
      <c r="A19" s="48" t="s">
        <v>197</v>
      </c>
      <c r="B19" s="49" t="s">
        <v>189</v>
      </c>
      <c r="C19" s="48">
        <v>84540</v>
      </c>
      <c r="D19" s="48">
        <v>22420</v>
      </c>
      <c r="E19" s="48">
        <v>62120</v>
      </c>
      <c r="F19" s="48" t="s">
        <v>175</v>
      </c>
      <c r="G19" s="48">
        <v>172072.4</v>
      </c>
      <c r="H19" s="48">
        <v>31</v>
      </c>
      <c r="I19" s="48" t="s">
        <v>129</v>
      </c>
      <c r="J19" s="48">
        <v>70023</v>
      </c>
      <c r="K19" s="48" t="s">
        <v>176</v>
      </c>
      <c r="L19" s="48" t="s">
        <v>191</v>
      </c>
      <c r="M19" s="48">
        <v>33975</v>
      </c>
      <c r="N19" s="48" t="s">
        <v>177</v>
      </c>
      <c r="O19" s="48">
        <v>33975</v>
      </c>
      <c r="P19" s="51" t="s">
        <v>178</v>
      </c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 t="s">
        <v>239</v>
      </c>
    </row>
    <row r="20" spans="1:30" hidden="1">
      <c r="A20" s="48" t="s">
        <v>197</v>
      </c>
      <c r="B20" s="49" t="s">
        <v>189</v>
      </c>
      <c r="C20" s="48">
        <v>84540</v>
      </c>
      <c r="D20" s="48">
        <v>22420</v>
      </c>
      <c r="E20" s="48">
        <v>62120</v>
      </c>
      <c r="F20" s="48" t="s">
        <v>175</v>
      </c>
      <c r="G20" s="48">
        <v>172072.4</v>
      </c>
      <c r="H20" s="48">
        <v>31</v>
      </c>
      <c r="I20" s="48" t="s">
        <v>129</v>
      </c>
      <c r="J20" s="48">
        <v>70024</v>
      </c>
      <c r="K20" s="48" t="s">
        <v>176</v>
      </c>
      <c r="L20" s="48" t="s">
        <v>191</v>
      </c>
      <c r="M20" s="48">
        <v>28369</v>
      </c>
      <c r="N20" s="48" t="s">
        <v>177</v>
      </c>
      <c r="O20" s="48">
        <v>652</v>
      </c>
      <c r="P20" s="51" t="s">
        <v>178</v>
      </c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 t="s">
        <v>239</v>
      </c>
    </row>
    <row r="21" spans="1:30" hidden="1">
      <c r="A21" s="48" t="s">
        <v>198</v>
      </c>
      <c r="B21" s="49" t="s">
        <v>189</v>
      </c>
      <c r="C21" s="48">
        <v>86550</v>
      </c>
      <c r="D21" s="48">
        <v>23310</v>
      </c>
      <c r="E21" s="48">
        <v>63240</v>
      </c>
      <c r="F21" s="48" t="s">
        <v>175</v>
      </c>
      <c r="G21" s="48">
        <v>175174.8</v>
      </c>
      <c r="H21" s="48">
        <v>31</v>
      </c>
      <c r="I21" s="48" t="s">
        <v>129</v>
      </c>
      <c r="J21" s="48">
        <v>70024</v>
      </c>
      <c r="K21" s="48" t="s">
        <v>176</v>
      </c>
      <c r="L21" s="48" t="s">
        <v>191</v>
      </c>
      <c r="M21" s="48">
        <v>28369</v>
      </c>
      <c r="N21" s="48" t="s">
        <v>177</v>
      </c>
      <c r="O21" s="48">
        <v>27717</v>
      </c>
      <c r="P21" s="51" t="s">
        <v>178</v>
      </c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 t="s">
        <v>240</v>
      </c>
    </row>
    <row r="22" spans="1:30" hidden="1">
      <c r="A22" s="48" t="s">
        <v>198</v>
      </c>
      <c r="B22" s="49" t="s">
        <v>189</v>
      </c>
      <c r="C22" s="48">
        <v>86550</v>
      </c>
      <c r="D22" s="48">
        <v>23310</v>
      </c>
      <c r="E22" s="48">
        <v>63240</v>
      </c>
      <c r="F22" s="48" t="s">
        <v>175</v>
      </c>
      <c r="G22" s="48">
        <v>175174.8</v>
      </c>
      <c r="H22" s="48">
        <v>31</v>
      </c>
      <c r="I22" s="48" t="s">
        <v>129</v>
      </c>
      <c r="J22" s="48">
        <v>70025</v>
      </c>
      <c r="K22" s="48" t="s">
        <v>176</v>
      </c>
      <c r="L22" s="48" t="s">
        <v>191</v>
      </c>
      <c r="M22" s="48">
        <v>39062</v>
      </c>
      <c r="N22" s="48" t="s">
        <v>177</v>
      </c>
      <c r="O22" s="48">
        <v>35523</v>
      </c>
      <c r="P22" s="51" t="s">
        <v>178</v>
      </c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 t="s">
        <v>240</v>
      </c>
    </row>
    <row r="23" spans="1:30" hidden="1">
      <c r="A23" s="48" t="s">
        <v>199</v>
      </c>
      <c r="B23" s="49" t="s">
        <v>189</v>
      </c>
      <c r="C23" s="48">
        <v>85570</v>
      </c>
      <c r="D23" s="48">
        <v>22640</v>
      </c>
      <c r="E23" s="48">
        <v>62930</v>
      </c>
      <c r="F23" s="48" t="s">
        <v>175</v>
      </c>
      <c r="G23" s="48">
        <v>174316.1</v>
      </c>
      <c r="H23" s="48">
        <v>31</v>
      </c>
      <c r="I23" s="48" t="s">
        <v>129</v>
      </c>
      <c r="J23" s="48">
        <v>70025</v>
      </c>
      <c r="K23" s="48" t="s">
        <v>176</v>
      </c>
      <c r="L23" s="48" t="s">
        <v>191</v>
      </c>
      <c r="M23" s="48">
        <v>39062</v>
      </c>
      <c r="N23" s="48" t="s">
        <v>177</v>
      </c>
      <c r="O23" s="48">
        <v>3539</v>
      </c>
      <c r="P23" s="51" t="s">
        <v>178</v>
      </c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 t="s">
        <v>241</v>
      </c>
    </row>
    <row r="24" spans="1:30" hidden="1">
      <c r="A24" s="48" t="s">
        <v>199</v>
      </c>
      <c r="B24" s="49" t="s">
        <v>189</v>
      </c>
      <c r="C24" s="48">
        <v>85570</v>
      </c>
      <c r="D24" s="48">
        <v>22640</v>
      </c>
      <c r="E24" s="48">
        <v>62930</v>
      </c>
      <c r="F24" s="48" t="s">
        <v>175</v>
      </c>
      <c r="G24" s="48">
        <v>174316.1</v>
      </c>
      <c r="H24" s="48">
        <v>31</v>
      </c>
      <c r="I24" s="48" t="s">
        <v>129</v>
      </c>
      <c r="J24" s="48">
        <v>70026</v>
      </c>
      <c r="K24" s="48" t="s">
        <v>176</v>
      </c>
      <c r="L24" s="48" t="s">
        <v>191</v>
      </c>
      <c r="M24" s="48">
        <v>37207</v>
      </c>
      <c r="N24" s="48" t="s">
        <v>177</v>
      </c>
      <c r="O24" s="48">
        <v>37207</v>
      </c>
      <c r="P24" s="51" t="s">
        <v>178</v>
      </c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 t="s">
        <v>241</v>
      </c>
    </row>
    <row r="25" spans="1:30" hidden="1">
      <c r="A25" s="48" t="s">
        <v>199</v>
      </c>
      <c r="B25" s="49" t="s">
        <v>189</v>
      </c>
      <c r="C25" s="48">
        <v>85570</v>
      </c>
      <c r="D25" s="48">
        <v>22640</v>
      </c>
      <c r="E25" s="48">
        <v>62930</v>
      </c>
      <c r="F25" s="48" t="s">
        <v>175</v>
      </c>
      <c r="G25" s="48">
        <v>174316.1</v>
      </c>
      <c r="H25" s="48">
        <v>31</v>
      </c>
      <c r="I25" s="48" t="s">
        <v>129</v>
      </c>
      <c r="J25" s="48">
        <v>70027</v>
      </c>
      <c r="K25" s="48" t="s">
        <v>176</v>
      </c>
      <c r="L25" s="48" t="s">
        <v>191</v>
      </c>
      <c r="M25" s="48">
        <v>38164</v>
      </c>
      <c r="N25" s="48" t="s">
        <v>177</v>
      </c>
      <c r="O25" s="48">
        <v>22184</v>
      </c>
      <c r="P25" s="51" t="s">
        <v>178</v>
      </c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 t="s">
        <v>241</v>
      </c>
    </row>
    <row r="26" spans="1:30" hidden="1">
      <c r="A26" s="48" t="s">
        <v>200</v>
      </c>
      <c r="B26" s="49" t="s">
        <v>189</v>
      </c>
      <c r="C26" s="48">
        <v>70610</v>
      </c>
      <c r="D26" s="48">
        <v>17890</v>
      </c>
      <c r="E26" s="48">
        <v>52720</v>
      </c>
      <c r="F26" s="48" t="s">
        <v>175</v>
      </c>
      <c r="G26" s="48">
        <v>146034.4</v>
      </c>
      <c r="H26" s="48">
        <v>31</v>
      </c>
      <c r="I26" s="48" t="s">
        <v>129</v>
      </c>
      <c r="J26" s="48">
        <v>70027</v>
      </c>
      <c r="K26" s="48" t="s">
        <v>176</v>
      </c>
      <c r="L26" s="48" t="s">
        <v>191</v>
      </c>
      <c r="M26" s="48">
        <v>38164</v>
      </c>
      <c r="N26" s="48" t="s">
        <v>177</v>
      </c>
      <c r="O26" s="48">
        <v>15980</v>
      </c>
      <c r="P26" s="51" t="s">
        <v>178</v>
      </c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 t="s">
        <v>242</v>
      </c>
    </row>
    <row r="27" spans="1:30" hidden="1">
      <c r="A27" s="48" t="s">
        <v>200</v>
      </c>
      <c r="B27" s="49" t="s">
        <v>189</v>
      </c>
      <c r="C27" s="48">
        <v>70610</v>
      </c>
      <c r="D27" s="48">
        <v>17890</v>
      </c>
      <c r="E27" s="48">
        <v>52720</v>
      </c>
      <c r="F27" s="48" t="s">
        <v>175</v>
      </c>
      <c r="G27" s="48">
        <v>146034.4</v>
      </c>
      <c r="H27" s="48">
        <v>31</v>
      </c>
      <c r="I27" s="48" t="s">
        <v>129</v>
      </c>
      <c r="J27" s="48">
        <v>70028</v>
      </c>
      <c r="K27" s="48" t="s">
        <v>176</v>
      </c>
      <c r="L27" s="48" t="s">
        <v>191</v>
      </c>
      <c r="M27" s="48">
        <v>32937</v>
      </c>
      <c r="N27" s="48" t="s">
        <v>177</v>
      </c>
      <c r="O27" s="48">
        <v>32937</v>
      </c>
      <c r="P27" s="51" t="s">
        <v>178</v>
      </c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 t="s">
        <v>242</v>
      </c>
    </row>
    <row r="28" spans="1:30" hidden="1">
      <c r="A28" s="48" t="s">
        <v>200</v>
      </c>
      <c r="B28" s="49" t="s">
        <v>189</v>
      </c>
      <c r="C28" s="48">
        <v>70610</v>
      </c>
      <c r="D28" s="48">
        <v>17890</v>
      </c>
      <c r="E28" s="48">
        <v>52720</v>
      </c>
      <c r="F28" s="48" t="s">
        <v>175</v>
      </c>
      <c r="G28" s="48">
        <v>146034.4</v>
      </c>
      <c r="H28" s="48">
        <v>31</v>
      </c>
      <c r="I28" s="48" t="s">
        <v>129</v>
      </c>
      <c r="J28" s="48">
        <v>70029</v>
      </c>
      <c r="K28" s="48" t="s">
        <v>176</v>
      </c>
      <c r="L28" s="48" t="s">
        <v>191</v>
      </c>
      <c r="M28" s="48">
        <v>31341</v>
      </c>
      <c r="N28" s="48" t="s">
        <v>177</v>
      </c>
      <c r="O28" s="48">
        <v>3803</v>
      </c>
      <c r="P28" s="51" t="s">
        <v>178</v>
      </c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 t="s">
        <v>242</v>
      </c>
    </row>
    <row r="29" spans="1:30" hidden="1">
      <c r="A29" s="48" t="s">
        <v>201</v>
      </c>
      <c r="B29" s="49" t="s">
        <v>189</v>
      </c>
      <c r="C29" s="48">
        <v>83530</v>
      </c>
      <c r="D29" s="48">
        <v>23510</v>
      </c>
      <c r="E29" s="48">
        <v>60020</v>
      </c>
      <c r="F29" s="48" t="s">
        <v>175</v>
      </c>
      <c r="G29" s="48">
        <v>166255.4</v>
      </c>
      <c r="H29" s="48">
        <v>31</v>
      </c>
      <c r="I29" s="48" t="s">
        <v>129</v>
      </c>
      <c r="J29" s="48">
        <v>70029</v>
      </c>
      <c r="K29" s="48" t="s">
        <v>176</v>
      </c>
      <c r="L29" s="48" t="s">
        <v>191</v>
      </c>
      <c r="M29" s="48">
        <v>31341</v>
      </c>
      <c r="N29" s="48" t="s">
        <v>177</v>
      </c>
      <c r="O29" s="48">
        <v>27538</v>
      </c>
      <c r="P29" s="51" t="s">
        <v>178</v>
      </c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 t="s">
        <v>243</v>
      </c>
    </row>
    <row r="30" spans="1:30" hidden="1">
      <c r="A30" s="48" t="s">
        <v>201</v>
      </c>
      <c r="B30" s="49" t="s">
        <v>189</v>
      </c>
      <c r="C30" s="48">
        <v>83530</v>
      </c>
      <c r="D30" s="48">
        <v>23510</v>
      </c>
      <c r="E30" s="48">
        <v>60020</v>
      </c>
      <c r="F30" s="48" t="s">
        <v>175</v>
      </c>
      <c r="G30" s="48">
        <v>166255.4</v>
      </c>
      <c r="H30" s="48">
        <v>31</v>
      </c>
      <c r="I30" s="48" t="s">
        <v>129</v>
      </c>
      <c r="J30" s="48">
        <v>70030</v>
      </c>
      <c r="K30" s="48" t="s">
        <v>176</v>
      </c>
      <c r="L30" s="48" t="s">
        <v>191</v>
      </c>
      <c r="M30" s="48">
        <v>33177</v>
      </c>
      <c r="N30" s="48" t="s">
        <v>177</v>
      </c>
      <c r="O30" s="48">
        <v>32482</v>
      </c>
      <c r="P30" s="51" t="s">
        <v>178</v>
      </c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 t="s">
        <v>243</v>
      </c>
    </row>
    <row r="31" spans="1:30" hidden="1">
      <c r="A31" s="48" t="s">
        <v>202</v>
      </c>
      <c r="B31" s="49" t="s">
        <v>189</v>
      </c>
      <c r="C31" s="48">
        <v>75050</v>
      </c>
      <c r="D31" s="48">
        <v>19430</v>
      </c>
      <c r="E31" s="48">
        <v>55620</v>
      </c>
      <c r="F31" s="48" t="s">
        <v>175</v>
      </c>
      <c r="G31" s="48">
        <v>154067.4</v>
      </c>
      <c r="H31" s="48">
        <v>31</v>
      </c>
      <c r="I31" s="48" t="s">
        <v>129</v>
      </c>
      <c r="J31" s="48">
        <v>70030</v>
      </c>
      <c r="K31" s="48" t="s">
        <v>176</v>
      </c>
      <c r="L31" s="48" t="s">
        <v>191</v>
      </c>
      <c r="M31" s="48">
        <v>33177</v>
      </c>
      <c r="N31" s="48" t="s">
        <v>177</v>
      </c>
      <c r="O31" s="48">
        <v>695</v>
      </c>
      <c r="P31" s="51" t="s">
        <v>178</v>
      </c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 t="s">
        <v>244</v>
      </c>
    </row>
    <row r="32" spans="1:30" hidden="1">
      <c r="A32" s="48" t="s">
        <v>202</v>
      </c>
      <c r="B32" s="49" t="s">
        <v>189</v>
      </c>
      <c r="C32" s="48">
        <v>75050</v>
      </c>
      <c r="D32" s="48">
        <v>19430</v>
      </c>
      <c r="E32" s="48">
        <v>55620</v>
      </c>
      <c r="F32" s="48" t="s">
        <v>175</v>
      </c>
      <c r="G32" s="48">
        <v>154067.4</v>
      </c>
      <c r="H32" s="48">
        <v>31</v>
      </c>
      <c r="I32" s="48" t="s">
        <v>129</v>
      </c>
      <c r="J32" s="48">
        <v>70031</v>
      </c>
      <c r="K32" s="48" t="s">
        <v>176</v>
      </c>
      <c r="L32" s="48" t="s">
        <v>191</v>
      </c>
      <c r="M32" s="48">
        <v>32359</v>
      </c>
      <c r="N32" s="48" t="s">
        <v>177</v>
      </c>
      <c r="O32" s="48">
        <v>32359</v>
      </c>
      <c r="P32" s="51" t="s">
        <v>178</v>
      </c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 t="s">
        <v>244</v>
      </c>
    </row>
    <row r="33" spans="1:30" hidden="1">
      <c r="A33" s="48" t="s">
        <v>202</v>
      </c>
      <c r="B33" s="49" t="s">
        <v>189</v>
      </c>
      <c r="C33" s="48">
        <v>75050</v>
      </c>
      <c r="D33" s="48">
        <v>19430</v>
      </c>
      <c r="E33" s="48">
        <v>55620</v>
      </c>
      <c r="F33" s="48" t="s">
        <v>175</v>
      </c>
      <c r="G33" s="48">
        <v>154067.4</v>
      </c>
      <c r="H33" s="48">
        <v>31</v>
      </c>
      <c r="I33" s="48" t="s">
        <v>129</v>
      </c>
      <c r="J33" s="48">
        <v>70032</v>
      </c>
      <c r="K33" s="48" t="s">
        <v>176</v>
      </c>
      <c r="L33" s="48" t="s">
        <v>191</v>
      </c>
      <c r="M33" s="48">
        <v>20958</v>
      </c>
      <c r="N33" s="48" t="s">
        <v>177</v>
      </c>
      <c r="O33" s="48">
        <v>20958</v>
      </c>
      <c r="P33" s="51" t="s">
        <v>178</v>
      </c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 t="s">
        <v>244</v>
      </c>
    </row>
    <row r="34" spans="1:30" hidden="1">
      <c r="A34" s="48" t="s">
        <v>202</v>
      </c>
      <c r="B34" s="49" t="s">
        <v>189</v>
      </c>
      <c r="C34" s="48">
        <v>75050</v>
      </c>
      <c r="D34" s="48">
        <v>19430</v>
      </c>
      <c r="E34" s="48">
        <v>55620</v>
      </c>
      <c r="F34" s="48" t="s">
        <v>175</v>
      </c>
      <c r="G34" s="48">
        <v>154067.4</v>
      </c>
      <c r="H34" s="48">
        <v>31</v>
      </c>
      <c r="I34" s="48" t="s">
        <v>129</v>
      </c>
      <c r="J34" s="48">
        <v>70033</v>
      </c>
      <c r="K34" s="48" t="s">
        <v>176</v>
      </c>
      <c r="L34" s="48" t="s">
        <v>191</v>
      </c>
      <c r="M34" s="48">
        <v>11720</v>
      </c>
      <c r="N34" s="48" t="s">
        <v>177</v>
      </c>
      <c r="O34" s="48">
        <v>1608</v>
      </c>
      <c r="P34" s="51" t="s">
        <v>178</v>
      </c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 t="s">
        <v>244</v>
      </c>
    </row>
    <row r="35" spans="1:30" hidden="1">
      <c r="A35" s="48" t="s">
        <v>203</v>
      </c>
      <c r="B35" s="49" t="s">
        <v>189</v>
      </c>
      <c r="C35" s="48">
        <v>84880</v>
      </c>
      <c r="D35" s="48">
        <v>22940</v>
      </c>
      <c r="E35" s="48">
        <v>61940</v>
      </c>
      <c r="F35" s="48" t="s">
        <v>175</v>
      </c>
      <c r="G35" s="48">
        <v>171573.8</v>
      </c>
      <c r="H35" s="48">
        <v>31</v>
      </c>
      <c r="I35" s="48" t="s">
        <v>129</v>
      </c>
      <c r="J35" s="48">
        <v>70033</v>
      </c>
      <c r="K35" s="48" t="s">
        <v>176</v>
      </c>
      <c r="L35" s="48" t="s">
        <v>191</v>
      </c>
      <c r="M35" s="48">
        <v>11720</v>
      </c>
      <c r="N35" s="48" t="s">
        <v>177</v>
      </c>
      <c r="O35" s="48">
        <v>10112</v>
      </c>
      <c r="P35" s="51" t="s">
        <v>178</v>
      </c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 t="s">
        <v>245</v>
      </c>
    </row>
    <row r="36" spans="1:30" hidden="1">
      <c r="A36" s="48" t="s">
        <v>203</v>
      </c>
      <c r="B36" s="49" t="s">
        <v>189</v>
      </c>
      <c r="C36" s="48">
        <v>84880</v>
      </c>
      <c r="D36" s="48">
        <v>22940</v>
      </c>
      <c r="E36" s="48">
        <v>61940</v>
      </c>
      <c r="F36" s="48" t="s">
        <v>175</v>
      </c>
      <c r="G36" s="48">
        <v>171573.8</v>
      </c>
      <c r="H36" s="48">
        <v>31</v>
      </c>
      <c r="I36" s="48" t="s">
        <v>129</v>
      </c>
      <c r="J36" s="48">
        <v>70034</v>
      </c>
      <c r="K36" s="48" t="s">
        <v>176</v>
      </c>
      <c r="L36" s="48" t="s">
        <v>191</v>
      </c>
      <c r="M36" s="48">
        <v>33177</v>
      </c>
      <c r="N36" s="48" t="s">
        <v>177</v>
      </c>
      <c r="O36" s="48">
        <v>33177</v>
      </c>
      <c r="P36" s="51" t="s">
        <v>178</v>
      </c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 t="s">
        <v>245</v>
      </c>
    </row>
    <row r="37" spans="1:30" hidden="1">
      <c r="A37" s="48" t="s">
        <v>203</v>
      </c>
      <c r="B37" s="49" t="s">
        <v>189</v>
      </c>
      <c r="C37" s="48">
        <v>84880</v>
      </c>
      <c r="D37" s="48">
        <v>22940</v>
      </c>
      <c r="E37" s="48">
        <v>61940</v>
      </c>
      <c r="F37" s="48" t="s">
        <v>175</v>
      </c>
      <c r="G37" s="48">
        <v>171573.8</v>
      </c>
      <c r="H37" s="48">
        <v>31</v>
      </c>
      <c r="I37" s="48" t="s">
        <v>129</v>
      </c>
      <c r="J37" s="48">
        <v>70035</v>
      </c>
      <c r="K37" s="48" t="s">
        <v>176</v>
      </c>
      <c r="L37" s="48" t="s">
        <v>191</v>
      </c>
      <c r="M37" s="48">
        <v>32937</v>
      </c>
      <c r="N37" s="48" t="s">
        <v>177</v>
      </c>
      <c r="O37" s="48">
        <v>18651</v>
      </c>
      <c r="P37" s="51" t="s">
        <v>178</v>
      </c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 t="s">
        <v>245</v>
      </c>
    </row>
    <row r="38" spans="1:30" hidden="1">
      <c r="A38" s="48" t="s">
        <v>204</v>
      </c>
      <c r="B38" s="49" t="s">
        <v>189</v>
      </c>
      <c r="C38" s="48">
        <v>85410</v>
      </c>
      <c r="D38" s="48">
        <v>23280</v>
      </c>
      <c r="E38" s="48">
        <v>62130</v>
      </c>
      <c r="F38" s="48" t="s">
        <v>175</v>
      </c>
      <c r="G38" s="48">
        <v>172100.1</v>
      </c>
      <c r="H38" s="48">
        <v>31</v>
      </c>
      <c r="I38" s="48" t="s">
        <v>129</v>
      </c>
      <c r="J38" s="48">
        <v>70035</v>
      </c>
      <c r="K38" s="48" t="s">
        <v>176</v>
      </c>
      <c r="L38" s="48" t="s">
        <v>191</v>
      </c>
      <c r="M38" s="48">
        <v>32937</v>
      </c>
      <c r="N38" s="48" t="s">
        <v>177</v>
      </c>
      <c r="O38" s="48">
        <v>14286</v>
      </c>
      <c r="P38" s="51" t="s">
        <v>178</v>
      </c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 t="s">
        <v>246</v>
      </c>
    </row>
    <row r="39" spans="1:30" hidden="1">
      <c r="A39" s="48" t="s">
        <v>204</v>
      </c>
      <c r="B39" s="49" t="s">
        <v>189</v>
      </c>
      <c r="C39" s="48">
        <v>85410</v>
      </c>
      <c r="D39" s="48">
        <v>23280</v>
      </c>
      <c r="E39" s="48">
        <v>62130</v>
      </c>
      <c r="F39" s="48" t="s">
        <v>175</v>
      </c>
      <c r="G39" s="48">
        <v>172100.1</v>
      </c>
      <c r="H39" s="48">
        <v>31</v>
      </c>
      <c r="I39" s="48" t="s">
        <v>129</v>
      </c>
      <c r="J39" s="48">
        <v>70036</v>
      </c>
      <c r="K39" s="48" t="s">
        <v>176</v>
      </c>
      <c r="L39" s="48" t="s">
        <v>191</v>
      </c>
      <c r="M39" s="48">
        <v>39321</v>
      </c>
      <c r="N39" s="48" t="s">
        <v>177</v>
      </c>
      <c r="O39" s="48">
        <v>39321</v>
      </c>
      <c r="P39" s="51" t="s">
        <v>178</v>
      </c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 t="s">
        <v>246</v>
      </c>
    </row>
    <row r="40" spans="1:30" hidden="1">
      <c r="A40" s="48" t="s">
        <v>204</v>
      </c>
      <c r="B40" s="49" t="s">
        <v>189</v>
      </c>
      <c r="C40" s="48">
        <v>85410</v>
      </c>
      <c r="D40" s="48">
        <v>23280</v>
      </c>
      <c r="E40" s="48">
        <v>62130</v>
      </c>
      <c r="F40" s="48" t="s">
        <v>175</v>
      </c>
      <c r="G40" s="48">
        <v>172100.1</v>
      </c>
      <c r="H40" s="48">
        <v>31</v>
      </c>
      <c r="I40" s="48" t="s">
        <v>129</v>
      </c>
      <c r="J40" s="48">
        <v>70037</v>
      </c>
      <c r="K40" s="48" t="s">
        <v>176</v>
      </c>
      <c r="L40" s="48" t="s">
        <v>191</v>
      </c>
      <c r="M40" s="48">
        <v>32818</v>
      </c>
      <c r="N40" s="48" t="s">
        <v>177</v>
      </c>
      <c r="O40" s="48">
        <v>8523</v>
      </c>
      <c r="P40" s="51" t="s">
        <v>178</v>
      </c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 t="s">
        <v>246</v>
      </c>
    </row>
    <row r="41" spans="1:30" hidden="1">
      <c r="A41" s="48" t="s">
        <v>205</v>
      </c>
      <c r="B41" s="49" t="s">
        <v>189</v>
      </c>
      <c r="C41" s="48">
        <v>85640</v>
      </c>
      <c r="D41" s="48">
        <v>22840</v>
      </c>
      <c r="E41" s="48">
        <v>62800</v>
      </c>
      <c r="F41" s="48" t="s">
        <v>175</v>
      </c>
      <c r="G41" s="48">
        <v>173956</v>
      </c>
      <c r="H41" s="48">
        <v>31</v>
      </c>
      <c r="I41" s="48" t="s">
        <v>129</v>
      </c>
      <c r="J41" s="48">
        <v>70037</v>
      </c>
      <c r="K41" s="48" t="s">
        <v>176</v>
      </c>
      <c r="L41" s="48" t="s">
        <v>191</v>
      </c>
      <c r="M41" s="48">
        <v>32818</v>
      </c>
      <c r="N41" s="48" t="s">
        <v>177</v>
      </c>
      <c r="O41" s="48">
        <v>24295</v>
      </c>
      <c r="P41" s="51" t="s">
        <v>178</v>
      </c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 t="s">
        <v>247</v>
      </c>
    </row>
    <row r="42" spans="1:30" hidden="1">
      <c r="A42" s="48" t="s">
        <v>205</v>
      </c>
      <c r="B42" s="49" t="s">
        <v>189</v>
      </c>
      <c r="C42" s="48">
        <v>85640</v>
      </c>
      <c r="D42" s="48">
        <v>22840</v>
      </c>
      <c r="E42" s="48">
        <v>62800</v>
      </c>
      <c r="F42" s="48" t="s">
        <v>175</v>
      </c>
      <c r="G42" s="48">
        <v>173956</v>
      </c>
      <c r="H42" s="48">
        <v>31</v>
      </c>
      <c r="I42" s="48" t="s">
        <v>129</v>
      </c>
      <c r="J42" s="48">
        <v>70038</v>
      </c>
      <c r="K42" s="48" t="s">
        <v>176</v>
      </c>
      <c r="L42" s="48" t="s">
        <v>191</v>
      </c>
      <c r="M42" s="48">
        <v>36868</v>
      </c>
      <c r="N42" s="48" t="s">
        <v>177</v>
      </c>
      <c r="O42" s="48">
        <v>36868</v>
      </c>
      <c r="P42" s="51" t="s">
        <v>178</v>
      </c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 t="s">
        <v>247</v>
      </c>
    </row>
    <row r="43" spans="1:30" hidden="1">
      <c r="A43" s="48" t="s">
        <v>205</v>
      </c>
      <c r="B43" s="49" t="s">
        <v>189</v>
      </c>
      <c r="C43" s="48">
        <v>85640</v>
      </c>
      <c r="D43" s="48">
        <v>22840</v>
      </c>
      <c r="E43" s="48">
        <v>62800</v>
      </c>
      <c r="F43" s="48" t="s">
        <v>175</v>
      </c>
      <c r="G43" s="48">
        <v>173956</v>
      </c>
      <c r="H43" s="48">
        <v>31</v>
      </c>
      <c r="I43" s="48" t="s">
        <v>129</v>
      </c>
      <c r="J43" s="48">
        <v>70039</v>
      </c>
      <c r="K43" s="48" t="s">
        <v>176</v>
      </c>
      <c r="L43" s="48" t="s">
        <v>191</v>
      </c>
      <c r="M43" s="48">
        <v>37865</v>
      </c>
      <c r="N43" s="48" t="s">
        <v>177</v>
      </c>
      <c r="O43" s="48">
        <v>1637</v>
      </c>
      <c r="P43" s="51" t="s">
        <v>178</v>
      </c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 t="s">
        <v>247</v>
      </c>
    </row>
    <row r="44" spans="1:30" hidden="1">
      <c r="A44" s="48" t="s">
        <v>206</v>
      </c>
      <c r="B44" s="49" t="s">
        <v>189</v>
      </c>
      <c r="C44" s="48">
        <v>83360</v>
      </c>
      <c r="D44" s="48">
        <v>24290</v>
      </c>
      <c r="E44" s="48">
        <v>59070</v>
      </c>
      <c r="F44" s="48" t="s">
        <v>175</v>
      </c>
      <c r="G44" s="48">
        <v>163623.9</v>
      </c>
      <c r="H44" s="48">
        <v>31</v>
      </c>
      <c r="I44" s="48" t="s">
        <v>129</v>
      </c>
      <c r="J44" s="48">
        <v>70039</v>
      </c>
      <c r="K44" s="48" t="s">
        <v>176</v>
      </c>
      <c r="L44" s="48" t="s">
        <v>191</v>
      </c>
      <c r="M44" s="48">
        <v>37865</v>
      </c>
      <c r="N44" s="48" t="s">
        <v>177</v>
      </c>
      <c r="O44" s="48">
        <v>36228</v>
      </c>
      <c r="P44" s="51" t="s">
        <v>178</v>
      </c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 t="s">
        <v>248</v>
      </c>
    </row>
    <row r="45" spans="1:30" hidden="1">
      <c r="A45" s="48" t="s">
        <v>206</v>
      </c>
      <c r="B45" s="49" t="s">
        <v>189</v>
      </c>
      <c r="C45" s="48">
        <v>83360</v>
      </c>
      <c r="D45" s="48">
        <v>24290</v>
      </c>
      <c r="E45" s="48">
        <v>59070</v>
      </c>
      <c r="F45" s="48" t="s">
        <v>175</v>
      </c>
      <c r="G45" s="48">
        <v>163623.9</v>
      </c>
      <c r="H45" s="48">
        <v>31</v>
      </c>
      <c r="I45" s="48" t="s">
        <v>129</v>
      </c>
      <c r="J45" s="48">
        <v>70040</v>
      </c>
      <c r="K45" s="48" t="s">
        <v>176</v>
      </c>
      <c r="L45" s="48" t="s">
        <v>191</v>
      </c>
      <c r="M45" s="48">
        <v>16977</v>
      </c>
      <c r="N45" s="48" t="s">
        <v>177</v>
      </c>
      <c r="O45" s="48">
        <v>16977</v>
      </c>
      <c r="P45" s="51" t="s">
        <v>178</v>
      </c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 t="s">
        <v>248</v>
      </c>
    </row>
    <row r="46" spans="1:30" hidden="1">
      <c r="A46" s="48" t="s">
        <v>206</v>
      </c>
      <c r="B46" s="49" t="s">
        <v>189</v>
      </c>
      <c r="C46" s="48">
        <v>83360</v>
      </c>
      <c r="D46" s="48">
        <v>24290</v>
      </c>
      <c r="E46" s="48">
        <v>59070</v>
      </c>
      <c r="F46" s="48" t="s">
        <v>175</v>
      </c>
      <c r="G46" s="48">
        <v>163623.9</v>
      </c>
      <c r="H46" s="48">
        <v>31</v>
      </c>
      <c r="I46" s="48" t="s">
        <v>129</v>
      </c>
      <c r="J46" s="48">
        <v>70041</v>
      </c>
      <c r="K46" s="48" t="s">
        <v>176</v>
      </c>
      <c r="L46" s="48" t="s">
        <v>191</v>
      </c>
      <c r="M46" s="48">
        <v>31880</v>
      </c>
      <c r="N46" s="48" t="s">
        <v>177</v>
      </c>
      <c r="O46" s="48">
        <v>5865</v>
      </c>
      <c r="P46" s="51" t="s">
        <v>178</v>
      </c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 t="s">
        <v>248</v>
      </c>
    </row>
    <row r="47" spans="1:30" hidden="1">
      <c r="A47" s="48" t="s">
        <v>207</v>
      </c>
      <c r="B47" s="49" t="s">
        <v>189</v>
      </c>
      <c r="C47" s="48">
        <v>66840</v>
      </c>
      <c r="D47" s="48">
        <v>18690</v>
      </c>
      <c r="E47" s="48">
        <v>48150</v>
      </c>
      <c r="F47" s="48" t="s">
        <v>175</v>
      </c>
      <c r="G47" s="48">
        <v>133375.5</v>
      </c>
      <c r="H47" s="48">
        <v>31</v>
      </c>
      <c r="I47" s="48" t="s">
        <v>129</v>
      </c>
      <c r="J47" s="48">
        <v>70041</v>
      </c>
      <c r="K47" s="48" t="s">
        <v>176</v>
      </c>
      <c r="L47" s="48" t="s">
        <v>191</v>
      </c>
      <c r="M47" s="48">
        <v>31880</v>
      </c>
      <c r="N47" s="48" t="s">
        <v>177</v>
      </c>
      <c r="O47" s="48">
        <v>26015</v>
      </c>
      <c r="P47" s="51" t="s">
        <v>178</v>
      </c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 t="s">
        <v>249</v>
      </c>
    </row>
    <row r="48" spans="1:30" hidden="1">
      <c r="A48" s="48" t="s">
        <v>207</v>
      </c>
      <c r="B48" s="49" t="s">
        <v>189</v>
      </c>
      <c r="C48" s="48">
        <v>66840</v>
      </c>
      <c r="D48" s="48">
        <v>18690</v>
      </c>
      <c r="E48" s="48">
        <v>48150</v>
      </c>
      <c r="F48" s="48" t="s">
        <v>175</v>
      </c>
      <c r="G48" s="48">
        <v>133375.5</v>
      </c>
      <c r="H48" s="48">
        <v>31</v>
      </c>
      <c r="I48" s="48" t="s">
        <v>129</v>
      </c>
      <c r="J48" s="48">
        <v>70066</v>
      </c>
      <c r="K48" s="48" t="s">
        <v>176</v>
      </c>
      <c r="L48" s="48" t="s">
        <v>208</v>
      </c>
      <c r="M48" s="48">
        <v>260</v>
      </c>
      <c r="N48" s="48" t="s">
        <v>177</v>
      </c>
      <c r="O48" s="48">
        <v>260</v>
      </c>
      <c r="P48" s="51" t="s">
        <v>178</v>
      </c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 t="s">
        <v>249</v>
      </c>
    </row>
    <row r="49" spans="1:30" hidden="1">
      <c r="A49" s="48" t="s">
        <v>207</v>
      </c>
      <c r="B49" s="49" t="s">
        <v>189</v>
      </c>
      <c r="C49" s="48">
        <v>66840</v>
      </c>
      <c r="D49" s="48">
        <v>18690</v>
      </c>
      <c r="E49" s="48">
        <v>48150</v>
      </c>
      <c r="F49" s="48" t="s">
        <v>175</v>
      </c>
      <c r="G49" s="48">
        <v>133375.5</v>
      </c>
      <c r="H49" s="48">
        <v>31</v>
      </c>
      <c r="I49" s="48" t="s">
        <v>129</v>
      </c>
      <c r="J49" s="48">
        <v>70067</v>
      </c>
      <c r="K49" s="48" t="s">
        <v>176</v>
      </c>
      <c r="L49" s="48" t="s">
        <v>208</v>
      </c>
      <c r="M49" s="48">
        <v>37685</v>
      </c>
      <c r="N49" s="48" t="s">
        <v>177</v>
      </c>
      <c r="O49" s="48">
        <v>21875</v>
      </c>
      <c r="P49" s="51" t="s">
        <v>178</v>
      </c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 t="s">
        <v>249</v>
      </c>
    </row>
    <row r="50" spans="1:30">
      <c r="A50" s="48" t="s">
        <v>209</v>
      </c>
      <c r="B50" s="49" t="s">
        <v>210</v>
      </c>
      <c r="C50" s="48">
        <v>68880</v>
      </c>
      <c r="D50" s="48">
        <v>19520</v>
      </c>
      <c r="E50" s="48">
        <v>49360</v>
      </c>
      <c r="F50" s="48" t="s">
        <v>175</v>
      </c>
      <c r="G50" s="48">
        <v>136727.20000000001</v>
      </c>
      <c r="H50" s="48">
        <v>30</v>
      </c>
      <c r="I50" s="48" t="s">
        <v>129</v>
      </c>
      <c r="J50" s="48">
        <v>69639</v>
      </c>
      <c r="K50" s="48" t="s">
        <v>176</v>
      </c>
      <c r="L50" s="48" t="s">
        <v>211</v>
      </c>
      <c r="M50" s="48">
        <v>37606</v>
      </c>
      <c r="N50" s="48" t="s">
        <v>177</v>
      </c>
      <c r="O50" s="48">
        <v>28380</v>
      </c>
      <c r="P50" s="51" t="s">
        <v>186</v>
      </c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 t="s">
        <v>250</v>
      </c>
    </row>
    <row r="51" spans="1:30">
      <c r="A51" s="48" t="s">
        <v>209</v>
      </c>
      <c r="B51" s="49" t="s">
        <v>210</v>
      </c>
      <c r="C51" s="48">
        <v>68880</v>
      </c>
      <c r="D51" s="48">
        <v>19520</v>
      </c>
      <c r="E51" s="48">
        <v>49360</v>
      </c>
      <c r="F51" s="48" t="s">
        <v>175</v>
      </c>
      <c r="G51" s="48">
        <v>136727.20000000001</v>
      </c>
      <c r="H51" s="48">
        <v>30</v>
      </c>
      <c r="I51" s="48" t="s">
        <v>129</v>
      </c>
      <c r="J51" s="48">
        <v>69640</v>
      </c>
      <c r="K51" s="48" t="s">
        <v>176</v>
      </c>
      <c r="L51" s="48" t="s">
        <v>211</v>
      </c>
      <c r="M51" s="48">
        <v>36249</v>
      </c>
      <c r="N51" s="48" t="s">
        <v>177</v>
      </c>
      <c r="O51" s="48">
        <v>20980</v>
      </c>
      <c r="P51" s="51" t="s">
        <v>186</v>
      </c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 t="s">
        <v>250</v>
      </c>
    </row>
    <row r="52" spans="1:30">
      <c r="A52" s="48" t="s">
        <v>212</v>
      </c>
      <c r="B52" s="49" t="s">
        <v>189</v>
      </c>
      <c r="C52" s="48">
        <v>75460</v>
      </c>
      <c r="D52" s="48">
        <v>19810</v>
      </c>
      <c r="E52" s="48">
        <v>55650</v>
      </c>
      <c r="F52" s="48" t="s">
        <v>175</v>
      </c>
      <c r="G52" s="48">
        <v>154150.5</v>
      </c>
      <c r="H52" s="48">
        <v>30</v>
      </c>
      <c r="I52" s="48" t="s">
        <v>129</v>
      </c>
      <c r="J52" s="48">
        <v>69640</v>
      </c>
      <c r="K52" s="48" t="s">
        <v>176</v>
      </c>
      <c r="L52" s="48" t="s">
        <v>211</v>
      </c>
      <c r="M52" s="48">
        <v>36249</v>
      </c>
      <c r="N52" s="48" t="s">
        <v>177</v>
      </c>
      <c r="O52" s="48">
        <v>15269</v>
      </c>
      <c r="P52" s="51" t="s">
        <v>186</v>
      </c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 t="s">
        <v>251</v>
      </c>
    </row>
    <row r="53" spans="1:30">
      <c r="A53" s="48" t="s">
        <v>212</v>
      </c>
      <c r="B53" s="49" t="s">
        <v>189</v>
      </c>
      <c r="C53" s="48">
        <v>75460</v>
      </c>
      <c r="D53" s="48">
        <v>19810</v>
      </c>
      <c r="E53" s="48">
        <v>55650</v>
      </c>
      <c r="F53" s="48" t="s">
        <v>175</v>
      </c>
      <c r="G53" s="48">
        <v>154150.5</v>
      </c>
      <c r="H53" s="48">
        <v>30</v>
      </c>
      <c r="I53" s="48" t="s">
        <v>129</v>
      </c>
      <c r="J53" s="48">
        <v>69641</v>
      </c>
      <c r="K53" s="48" t="s">
        <v>176</v>
      </c>
      <c r="L53" s="48" t="s">
        <v>211</v>
      </c>
      <c r="M53" s="48">
        <v>36927</v>
      </c>
      <c r="N53" s="48" t="s">
        <v>177</v>
      </c>
      <c r="O53" s="48">
        <v>36927</v>
      </c>
      <c r="P53" s="51" t="s">
        <v>186</v>
      </c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 t="s">
        <v>251</v>
      </c>
    </row>
    <row r="54" spans="1:30">
      <c r="A54" s="48" t="s">
        <v>212</v>
      </c>
      <c r="B54" s="49" t="s">
        <v>189</v>
      </c>
      <c r="C54" s="48">
        <v>75460</v>
      </c>
      <c r="D54" s="48">
        <v>19810</v>
      </c>
      <c r="E54" s="48">
        <v>55650</v>
      </c>
      <c r="F54" s="48" t="s">
        <v>175</v>
      </c>
      <c r="G54" s="48">
        <v>154150.5</v>
      </c>
      <c r="H54" s="48">
        <v>30</v>
      </c>
      <c r="I54" s="48" t="s">
        <v>129</v>
      </c>
      <c r="J54" s="48">
        <v>69642</v>
      </c>
      <c r="K54" s="48" t="s">
        <v>176</v>
      </c>
      <c r="L54" s="48" t="s">
        <v>211</v>
      </c>
      <c r="M54" s="48">
        <v>37227</v>
      </c>
      <c r="N54" s="48" t="s">
        <v>177</v>
      </c>
      <c r="O54" s="48">
        <v>3454</v>
      </c>
      <c r="P54" s="51" t="s">
        <v>186</v>
      </c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 t="s">
        <v>251</v>
      </c>
    </row>
    <row r="55" spans="1:30">
      <c r="A55" s="48" t="s">
        <v>213</v>
      </c>
      <c r="B55" s="49" t="s">
        <v>189</v>
      </c>
      <c r="C55" s="48">
        <v>73340</v>
      </c>
      <c r="D55" s="48">
        <v>19620</v>
      </c>
      <c r="E55" s="48">
        <v>53720</v>
      </c>
      <c r="F55" s="48" t="s">
        <v>175</v>
      </c>
      <c r="G55" s="48">
        <v>148804.4</v>
      </c>
      <c r="H55" s="48">
        <v>30</v>
      </c>
      <c r="I55" s="48" t="s">
        <v>129</v>
      </c>
      <c r="J55" s="48">
        <v>69642</v>
      </c>
      <c r="K55" s="48" t="s">
        <v>176</v>
      </c>
      <c r="L55" s="48" t="s">
        <v>211</v>
      </c>
      <c r="M55" s="48">
        <v>37227</v>
      </c>
      <c r="N55" s="48" t="s">
        <v>177</v>
      </c>
      <c r="O55" s="48">
        <v>33773</v>
      </c>
      <c r="P55" s="51" t="s">
        <v>186</v>
      </c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 t="s">
        <v>252</v>
      </c>
    </row>
    <row r="56" spans="1:30">
      <c r="A56" s="48" t="s">
        <v>213</v>
      </c>
      <c r="B56" s="49" t="s">
        <v>189</v>
      </c>
      <c r="C56" s="48">
        <v>73340</v>
      </c>
      <c r="D56" s="48">
        <v>19620</v>
      </c>
      <c r="E56" s="48">
        <v>53720</v>
      </c>
      <c r="F56" s="48" t="s">
        <v>175</v>
      </c>
      <c r="G56" s="48">
        <v>148804.4</v>
      </c>
      <c r="H56" s="48">
        <v>30</v>
      </c>
      <c r="I56" s="48" t="s">
        <v>129</v>
      </c>
      <c r="J56" s="48">
        <v>69643</v>
      </c>
      <c r="K56" s="48" t="s">
        <v>176</v>
      </c>
      <c r="L56" s="48" t="s">
        <v>211</v>
      </c>
      <c r="M56" s="48">
        <v>36389</v>
      </c>
      <c r="N56" s="48" t="s">
        <v>177</v>
      </c>
      <c r="O56" s="48">
        <v>19947</v>
      </c>
      <c r="P56" s="51" t="s">
        <v>186</v>
      </c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 t="s">
        <v>252</v>
      </c>
    </row>
    <row r="57" spans="1:30">
      <c r="A57" s="48" t="s">
        <v>214</v>
      </c>
      <c r="B57" s="49" t="s">
        <v>189</v>
      </c>
      <c r="C57" s="48">
        <v>78660</v>
      </c>
      <c r="D57" s="48">
        <v>18720</v>
      </c>
      <c r="E57" s="48">
        <v>59940</v>
      </c>
      <c r="F57" s="48" t="s">
        <v>175</v>
      </c>
      <c r="G57" s="48">
        <v>166033.79999999999</v>
      </c>
      <c r="H57" s="48">
        <v>30</v>
      </c>
      <c r="I57" s="48" t="s">
        <v>129</v>
      </c>
      <c r="J57" s="48">
        <v>69643</v>
      </c>
      <c r="K57" s="48" t="s">
        <v>176</v>
      </c>
      <c r="L57" s="48" t="s">
        <v>211</v>
      </c>
      <c r="M57" s="48">
        <v>36389</v>
      </c>
      <c r="N57" s="48" t="s">
        <v>177</v>
      </c>
      <c r="O57" s="48">
        <v>16442</v>
      </c>
      <c r="P57" s="51" t="s">
        <v>186</v>
      </c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 t="s">
        <v>253</v>
      </c>
    </row>
    <row r="58" spans="1:30">
      <c r="A58" s="48" t="s">
        <v>214</v>
      </c>
      <c r="B58" s="49" t="s">
        <v>189</v>
      </c>
      <c r="C58" s="48">
        <v>78660</v>
      </c>
      <c r="D58" s="48">
        <v>18720</v>
      </c>
      <c r="E58" s="48">
        <v>59940</v>
      </c>
      <c r="F58" s="48" t="s">
        <v>175</v>
      </c>
      <c r="G58" s="48">
        <v>166033.79999999999</v>
      </c>
      <c r="H58" s="48">
        <v>30</v>
      </c>
      <c r="I58" s="48" t="s">
        <v>129</v>
      </c>
      <c r="J58" s="48">
        <v>69644</v>
      </c>
      <c r="K58" s="48" t="s">
        <v>176</v>
      </c>
      <c r="L58" s="48" t="s">
        <v>211</v>
      </c>
      <c r="M58" s="48">
        <v>37167</v>
      </c>
      <c r="N58" s="48" t="s">
        <v>177</v>
      </c>
      <c r="O58" s="48">
        <v>37167</v>
      </c>
      <c r="P58" s="51" t="s">
        <v>186</v>
      </c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 t="s">
        <v>253</v>
      </c>
    </row>
    <row r="59" spans="1:30">
      <c r="A59" s="48" t="s">
        <v>214</v>
      </c>
      <c r="B59" s="49" t="s">
        <v>189</v>
      </c>
      <c r="C59" s="48">
        <v>78660</v>
      </c>
      <c r="D59" s="48">
        <v>18720</v>
      </c>
      <c r="E59" s="48">
        <v>59940</v>
      </c>
      <c r="F59" s="48" t="s">
        <v>175</v>
      </c>
      <c r="G59" s="48">
        <v>166033.79999999999</v>
      </c>
      <c r="H59" s="48">
        <v>30</v>
      </c>
      <c r="I59" s="48" t="s">
        <v>129</v>
      </c>
      <c r="J59" s="48">
        <v>69645</v>
      </c>
      <c r="K59" s="48" t="s">
        <v>176</v>
      </c>
      <c r="L59" s="48" t="s">
        <v>211</v>
      </c>
      <c r="M59" s="48">
        <v>35671</v>
      </c>
      <c r="N59" s="48" t="s">
        <v>177</v>
      </c>
      <c r="O59" s="48">
        <v>6331</v>
      </c>
      <c r="P59" s="51" t="s">
        <v>186</v>
      </c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 t="s">
        <v>253</v>
      </c>
    </row>
    <row r="60" spans="1:30">
      <c r="A60" s="48" t="s">
        <v>215</v>
      </c>
      <c r="B60" s="49" t="s">
        <v>189</v>
      </c>
      <c r="C60" s="48">
        <v>79420</v>
      </c>
      <c r="D60" s="48">
        <v>19100</v>
      </c>
      <c r="E60" s="48">
        <v>60320</v>
      </c>
      <c r="F60" s="48" t="s">
        <v>175</v>
      </c>
      <c r="G60" s="48">
        <v>167086.39999999999</v>
      </c>
      <c r="H60" s="48">
        <v>30</v>
      </c>
      <c r="I60" s="48" t="s">
        <v>129</v>
      </c>
      <c r="J60" s="48">
        <v>69645</v>
      </c>
      <c r="K60" s="48" t="s">
        <v>176</v>
      </c>
      <c r="L60" s="48" t="s">
        <v>211</v>
      </c>
      <c r="M60" s="48">
        <v>35671</v>
      </c>
      <c r="N60" s="48" t="s">
        <v>177</v>
      </c>
      <c r="O60" s="48">
        <v>29340</v>
      </c>
      <c r="P60" s="51" t="s">
        <v>186</v>
      </c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 t="s">
        <v>254</v>
      </c>
    </row>
    <row r="61" spans="1:30">
      <c r="A61" s="48" t="s">
        <v>215</v>
      </c>
      <c r="B61" s="49" t="s">
        <v>189</v>
      </c>
      <c r="C61" s="48">
        <v>79420</v>
      </c>
      <c r="D61" s="48">
        <v>19100</v>
      </c>
      <c r="E61" s="48">
        <v>60320</v>
      </c>
      <c r="F61" s="48" t="s">
        <v>175</v>
      </c>
      <c r="G61" s="48">
        <v>167086.39999999999</v>
      </c>
      <c r="H61" s="48">
        <v>30</v>
      </c>
      <c r="I61" s="48" t="s">
        <v>129</v>
      </c>
      <c r="J61" s="48">
        <v>69646</v>
      </c>
      <c r="K61" s="48" t="s">
        <v>176</v>
      </c>
      <c r="L61" s="48" t="s">
        <v>211</v>
      </c>
      <c r="M61" s="48">
        <v>37227</v>
      </c>
      <c r="N61" s="48" t="s">
        <v>177</v>
      </c>
      <c r="O61" s="48">
        <v>30980</v>
      </c>
      <c r="P61" s="51" t="s">
        <v>186</v>
      </c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 t="s">
        <v>254</v>
      </c>
    </row>
    <row r="62" spans="1:30">
      <c r="A62" s="48" t="s">
        <v>216</v>
      </c>
      <c r="B62" s="49" t="s">
        <v>189</v>
      </c>
      <c r="C62" s="48">
        <v>77210</v>
      </c>
      <c r="D62" s="48">
        <v>18090</v>
      </c>
      <c r="E62" s="48">
        <v>59120</v>
      </c>
      <c r="F62" s="48" t="s">
        <v>175</v>
      </c>
      <c r="G62" s="48">
        <v>163762.4</v>
      </c>
      <c r="H62" s="48">
        <v>30</v>
      </c>
      <c r="I62" s="48" t="s">
        <v>129</v>
      </c>
      <c r="J62" s="48">
        <v>69646</v>
      </c>
      <c r="K62" s="48" t="s">
        <v>176</v>
      </c>
      <c r="L62" s="48" t="s">
        <v>211</v>
      </c>
      <c r="M62" s="48">
        <v>37227</v>
      </c>
      <c r="N62" s="48" t="s">
        <v>177</v>
      </c>
      <c r="O62" s="48">
        <v>6247</v>
      </c>
      <c r="P62" s="51" t="s">
        <v>186</v>
      </c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 t="s">
        <v>255</v>
      </c>
    </row>
    <row r="63" spans="1:30">
      <c r="A63" s="48" t="s">
        <v>216</v>
      </c>
      <c r="B63" s="49" t="s">
        <v>189</v>
      </c>
      <c r="C63" s="48">
        <v>77210</v>
      </c>
      <c r="D63" s="48">
        <v>18090</v>
      </c>
      <c r="E63" s="48">
        <v>59120</v>
      </c>
      <c r="F63" s="48" t="s">
        <v>175</v>
      </c>
      <c r="G63" s="48">
        <v>163762.4</v>
      </c>
      <c r="H63" s="48">
        <v>30</v>
      </c>
      <c r="I63" s="48" t="s">
        <v>129</v>
      </c>
      <c r="J63" s="48">
        <v>69763</v>
      </c>
      <c r="K63" s="48" t="s">
        <v>176</v>
      </c>
      <c r="L63" s="48" t="s">
        <v>211</v>
      </c>
      <c r="M63" s="48">
        <v>26134</v>
      </c>
      <c r="N63" s="48" t="s">
        <v>177</v>
      </c>
      <c r="O63" s="48">
        <v>26134</v>
      </c>
      <c r="P63" s="51" t="s">
        <v>186</v>
      </c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 t="s">
        <v>255</v>
      </c>
    </row>
    <row r="64" spans="1:30">
      <c r="A64" s="48" t="s">
        <v>216</v>
      </c>
      <c r="B64" s="49" t="s">
        <v>189</v>
      </c>
      <c r="C64" s="48">
        <v>77210</v>
      </c>
      <c r="D64" s="48">
        <v>18090</v>
      </c>
      <c r="E64" s="48">
        <v>59120</v>
      </c>
      <c r="F64" s="48" t="s">
        <v>175</v>
      </c>
      <c r="G64" s="48">
        <v>163762.4</v>
      </c>
      <c r="H64" s="48">
        <v>30</v>
      </c>
      <c r="I64" s="48" t="s">
        <v>129</v>
      </c>
      <c r="J64" s="48">
        <v>69764</v>
      </c>
      <c r="K64" s="48" t="s">
        <v>176</v>
      </c>
      <c r="L64" s="48" t="s">
        <v>211</v>
      </c>
      <c r="M64" s="48">
        <v>17356</v>
      </c>
      <c r="N64" s="48" t="s">
        <v>177</v>
      </c>
      <c r="O64" s="48">
        <v>17356</v>
      </c>
      <c r="P64" s="51" t="s">
        <v>186</v>
      </c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 t="s">
        <v>255</v>
      </c>
    </row>
    <row r="65" spans="1:30">
      <c r="A65" s="48" t="s">
        <v>216</v>
      </c>
      <c r="B65" s="49" t="s">
        <v>189</v>
      </c>
      <c r="C65" s="48">
        <v>77210</v>
      </c>
      <c r="D65" s="48">
        <v>18090</v>
      </c>
      <c r="E65" s="48">
        <v>59120</v>
      </c>
      <c r="F65" s="48" t="s">
        <v>175</v>
      </c>
      <c r="G65" s="48">
        <v>163762.4</v>
      </c>
      <c r="H65" s="48">
        <v>30</v>
      </c>
      <c r="I65" s="48" t="s">
        <v>129</v>
      </c>
      <c r="J65" s="48">
        <v>69765</v>
      </c>
      <c r="K65" s="48" t="s">
        <v>176</v>
      </c>
      <c r="L65" s="48" t="s">
        <v>211</v>
      </c>
      <c r="M65" s="48">
        <v>34813</v>
      </c>
      <c r="N65" s="48" t="s">
        <v>177</v>
      </c>
      <c r="O65" s="48">
        <v>9383</v>
      </c>
      <c r="P65" s="51" t="s">
        <v>186</v>
      </c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 t="s">
        <v>255</v>
      </c>
    </row>
    <row r="66" spans="1:30">
      <c r="A66" s="48" t="s">
        <v>217</v>
      </c>
      <c r="B66" s="49" t="s">
        <v>189</v>
      </c>
      <c r="C66" s="48">
        <v>68860</v>
      </c>
      <c r="D66" s="48">
        <v>18650</v>
      </c>
      <c r="E66" s="48">
        <v>50210</v>
      </c>
      <c r="F66" s="48" t="s">
        <v>175</v>
      </c>
      <c r="G66" s="48">
        <v>139081.70000000001</v>
      </c>
      <c r="H66" s="48">
        <v>30</v>
      </c>
      <c r="I66" s="48" t="s">
        <v>129</v>
      </c>
      <c r="J66" s="48">
        <v>69765</v>
      </c>
      <c r="K66" s="48" t="s">
        <v>176</v>
      </c>
      <c r="L66" s="48" t="s">
        <v>211</v>
      </c>
      <c r="M66" s="48">
        <v>34813</v>
      </c>
      <c r="N66" s="48" t="s">
        <v>177</v>
      </c>
      <c r="O66" s="48">
        <v>25430</v>
      </c>
      <c r="P66" s="51" t="s">
        <v>186</v>
      </c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 t="s">
        <v>256</v>
      </c>
    </row>
    <row r="67" spans="1:30">
      <c r="A67" s="48" t="s">
        <v>217</v>
      </c>
      <c r="B67" s="49" t="s">
        <v>189</v>
      </c>
      <c r="C67" s="48">
        <v>68860</v>
      </c>
      <c r="D67" s="48">
        <v>18650</v>
      </c>
      <c r="E67" s="48">
        <v>50210</v>
      </c>
      <c r="F67" s="48" t="s">
        <v>175</v>
      </c>
      <c r="G67" s="48">
        <v>139081.70000000001</v>
      </c>
      <c r="H67" s="48">
        <v>30</v>
      </c>
      <c r="I67" s="48" t="s">
        <v>129</v>
      </c>
      <c r="J67" s="48">
        <v>69766</v>
      </c>
      <c r="K67" s="48" t="s">
        <v>176</v>
      </c>
      <c r="L67" s="48" t="s">
        <v>211</v>
      </c>
      <c r="M67" s="48">
        <v>35012</v>
      </c>
      <c r="N67" s="48" t="s">
        <v>177</v>
      </c>
      <c r="O67" s="48">
        <v>24780</v>
      </c>
      <c r="P67" s="51" t="s">
        <v>186</v>
      </c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 t="s">
        <v>256</v>
      </c>
    </row>
    <row r="68" spans="1:30">
      <c r="A68" s="48" t="s">
        <v>218</v>
      </c>
      <c r="B68" s="49" t="s">
        <v>189</v>
      </c>
      <c r="C68" s="48">
        <v>70690</v>
      </c>
      <c r="D68" s="48">
        <v>17980</v>
      </c>
      <c r="E68" s="48">
        <v>52710</v>
      </c>
      <c r="F68" s="48" t="s">
        <v>175</v>
      </c>
      <c r="G68" s="48">
        <v>146006.70000000001</v>
      </c>
      <c r="H68" s="48">
        <v>30</v>
      </c>
      <c r="I68" s="48" t="s">
        <v>129</v>
      </c>
      <c r="J68" s="48">
        <v>69766</v>
      </c>
      <c r="K68" s="48" t="s">
        <v>176</v>
      </c>
      <c r="L68" s="48" t="s">
        <v>211</v>
      </c>
      <c r="M68" s="48">
        <v>35012</v>
      </c>
      <c r="N68" s="48" t="s">
        <v>177</v>
      </c>
      <c r="O68" s="48">
        <v>10232</v>
      </c>
      <c r="P68" s="51" t="s">
        <v>186</v>
      </c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 t="s">
        <v>257</v>
      </c>
    </row>
    <row r="69" spans="1:30">
      <c r="A69" s="48" t="s">
        <v>218</v>
      </c>
      <c r="B69" s="49" t="s">
        <v>189</v>
      </c>
      <c r="C69" s="48">
        <v>70690</v>
      </c>
      <c r="D69" s="48">
        <v>17980</v>
      </c>
      <c r="E69" s="48">
        <v>52710</v>
      </c>
      <c r="F69" s="48" t="s">
        <v>175</v>
      </c>
      <c r="G69" s="48">
        <v>146006.70000000001</v>
      </c>
      <c r="H69" s="48">
        <v>30</v>
      </c>
      <c r="I69" s="48" t="s">
        <v>129</v>
      </c>
      <c r="J69" s="48">
        <v>69767</v>
      </c>
      <c r="K69" s="48" t="s">
        <v>176</v>
      </c>
      <c r="L69" s="48" t="s">
        <v>211</v>
      </c>
      <c r="M69" s="48">
        <v>41795</v>
      </c>
      <c r="N69" s="48" t="s">
        <v>177</v>
      </c>
      <c r="O69" s="48">
        <v>41795</v>
      </c>
      <c r="P69" s="51" t="s">
        <v>186</v>
      </c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 t="s">
        <v>257</v>
      </c>
    </row>
    <row r="70" spans="1:30">
      <c r="A70" s="48" t="s">
        <v>218</v>
      </c>
      <c r="B70" s="49" t="s">
        <v>189</v>
      </c>
      <c r="C70" s="48">
        <v>70690</v>
      </c>
      <c r="D70" s="48">
        <v>17980</v>
      </c>
      <c r="E70" s="48">
        <v>52710</v>
      </c>
      <c r="F70" s="48" t="s">
        <v>175</v>
      </c>
      <c r="G70" s="48">
        <v>146006.70000000001</v>
      </c>
      <c r="H70" s="48">
        <v>30</v>
      </c>
      <c r="I70" s="48" t="s">
        <v>129</v>
      </c>
      <c r="J70" s="48">
        <v>69859</v>
      </c>
      <c r="K70" s="48" t="s">
        <v>176</v>
      </c>
      <c r="L70" s="48" t="s">
        <v>219</v>
      </c>
      <c r="M70" s="48">
        <v>31960</v>
      </c>
      <c r="N70" s="48" t="s">
        <v>177</v>
      </c>
      <c r="O70" s="48">
        <v>683</v>
      </c>
      <c r="P70" s="51" t="s">
        <v>186</v>
      </c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 t="s">
        <v>257</v>
      </c>
    </row>
    <row r="71" spans="1:30">
      <c r="A71" s="48" t="s">
        <v>220</v>
      </c>
      <c r="B71" s="49" t="s">
        <v>189</v>
      </c>
      <c r="C71" s="48">
        <v>76570</v>
      </c>
      <c r="D71" s="48">
        <v>20480</v>
      </c>
      <c r="E71" s="48">
        <v>56090</v>
      </c>
      <c r="F71" s="48" t="s">
        <v>175</v>
      </c>
      <c r="G71" s="48">
        <v>155369.29999999999</v>
      </c>
      <c r="H71" s="48">
        <v>30</v>
      </c>
      <c r="I71" s="48" t="s">
        <v>129</v>
      </c>
      <c r="J71" s="48">
        <v>69859</v>
      </c>
      <c r="K71" s="48" t="s">
        <v>176</v>
      </c>
      <c r="L71" s="48" t="s">
        <v>219</v>
      </c>
      <c r="M71" s="48">
        <v>31960</v>
      </c>
      <c r="N71" s="48" t="s">
        <v>177</v>
      </c>
      <c r="O71" s="48">
        <v>31277</v>
      </c>
      <c r="P71" s="51" t="s">
        <v>186</v>
      </c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 t="s">
        <v>258</v>
      </c>
    </row>
    <row r="72" spans="1:30">
      <c r="A72" s="48" t="s">
        <v>220</v>
      </c>
      <c r="B72" s="49" t="s">
        <v>189</v>
      </c>
      <c r="C72" s="48">
        <v>76570</v>
      </c>
      <c r="D72" s="48">
        <v>20480</v>
      </c>
      <c r="E72" s="48">
        <v>56090</v>
      </c>
      <c r="F72" s="48" t="s">
        <v>175</v>
      </c>
      <c r="G72" s="48">
        <v>155369.29999999999</v>
      </c>
      <c r="H72" s="48">
        <v>30</v>
      </c>
      <c r="I72" s="48" t="s">
        <v>129</v>
      </c>
      <c r="J72" s="48">
        <v>69860</v>
      </c>
      <c r="K72" s="48" t="s">
        <v>176</v>
      </c>
      <c r="L72" s="48" t="s">
        <v>219</v>
      </c>
      <c r="M72" s="48">
        <v>31820</v>
      </c>
      <c r="N72" s="48" t="s">
        <v>177</v>
      </c>
      <c r="O72" s="48">
        <v>24813</v>
      </c>
      <c r="P72" s="51" t="s">
        <v>186</v>
      </c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 t="s">
        <v>258</v>
      </c>
    </row>
    <row r="73" spans="1:30">
      <c r="A73" s="48" t="s">
        <v>221</v>
      </c>
      <c r="B73" s="49" t="s">
        <v>189</v>
      </c>
      <c r="C73" s="48">
        <v>69290</v>
      </c>
      <c r="D73" s="48">
        <v>18560</v>
      </c>
      <c r="E73" s="48">
        <v>50730</v>
      </c>
      <c r="F73" s="48" t="s">
        <v>175</v>
      </c>
      <c r="G73" s="48">
        <v>140522.1</v>
      </c>
      <c r="H73" s="48">
        <v>30</v>
      </c>
      <c r="I73" s="48" t="s">
        <v>129</v>
      </c>
      <c r="J73" s="48">
        <v>69860</v>
      </c>
      <c r="K73" s="48" t="s">
        <v>176</v>
      </c>
      <c r="L73" s="48" t="s">
        <v>219</v>
      </c>
      <c r="M73" s="48">
        <v>31820</v>
      </c>
      <c r="N73" s="48" t="s">
        <v>177</v>
      </c>
      <c r="O73" s="48">
        <v>7007</v>
      </c>
      <c r="P73" s="51" t="s">
        <v>186</v>
      </c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 t="s">
        <v>259</v>
      </c>
    </row>
    <row r="74" spans="1:30">
      <c r="A74" s="48" t="s">
        <v>221</v>
      </c>
      <c r="B74" s="49" t="s">
        <v>189</v>
      </c>
      <c r="C74" s="48">
        <v>69290</v>
      </c>
      <c r="D74" s="48">
        <v>18560</v>
      </c>
      <c r="E74" s="48">
        <v>50730</v>
      </c>
      <c r="F74" s="48" t="s">
        <v>175</v>
      </c>
      <c r="G74" s="48">
        <v>140522.1</v>
      </c>
      <c r="H74" s="48">
        <v>30</v>
      </c>
      <c r="I74" s="48" t="s">
        <v>129</v>
      </c>
      <c r="J74" s="48">
        <v>69861</v>
      </c>
      <c r="K74" s="48" t="s">
        <v>176</v>
      </c>
      <c r="L74" s="48" t="s">
        <v>219</v>
      </c>
      <c r="M74" s="48">
        <v>31681</v>
      </c>
      <c r="N74" s="48" t="s">
        <v>177</v>
      </c>
      <c r="O74" s="48">
        <v>31681</v>
      </c>
      <c r="P74" s="51" t="s">
        <v>186</v>
      </c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 t="s">
        <v>259</v>
      </c>
    </row>
    <row r="75" spans="1:30">
      <c r="A75" s="48" t="s">
        <v>221</v>
      </c>
      <c r="B75" s="49" t="s">
        <v>189</v>
      </c>
      <c r="C75" s="48">
        <v>69290</v>
      </c>
      <c r="D75" s="48">
        <v>18560</v>
      </c>
      <c r="E75" s="48">
        <v>50730</v>
      </c>
      <c r="F75" s="48" t="s">
        <v>175</v>
      </c>
      <c r="G75" s="48">
        <v>140522.1</v>
      </c>
      <c r="H75" s="48">
        <v>30</v>
      </c>
      <c r="I75" s="48" t="s">
        <v>129</v>
      </c>
      <c r="J75" s="48">
        <v>69898</v>
      </c>
      <c r="K75" s="48" t="s">
        <v>176</v>
      </c>
      <c r="L75" s="48" t="s">
        <v>222</v>
      </c>
      <c r="M75" s="48">
        <v>31820</v>
      </c>
      <c r="N75" s="48" t="s">
        <v>177</v>
      </c>
      <c r="O75" s="48">
        <v>12042</v>
      </c>
      <c r="P75" s="51" t="s">
        <v>186</v>
      </c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 t="s">
        <v>259</v>
      </c>
    </row>
    <row r="76" spans="1:30">
      <c r="A76" s="48" t="s">
        <v>223</v>
      </c>
      <c r="B76" s="49" t="s">
        <v>189</v>
      </c>
      <c r="C76" s="48">
        <v>70240</v>
      </c>
      <c r="D76" s="48">
        <v>18380</v>
      </c>
      <c r="E76" s="48">
        <v>51860</v>
      </c>
      <c r="F76" s="48" t="s">
        <v>175</v>
      </c>
      <c r="G76" s="48">
        <v>143652.20000000001</v>
      </c>
      <c r="H76" s="48">
        <v>30</v>
      </c>
      <c r="I76" s="48" t="s">
        <v>129</v>
      </c>
      <c r="J76" s="48">
        <v>69898</v>
      </c>
      <c r="K76" s="48" t="s">
        <v>176</v>
      </c>
      <c r="L76" s="48" t="s">
        <v>222</v>
      </c>
      <c r="M76" s="48">
        <v>31820</v>
      </c>
      <c r="N76" s="48" t="s">
        <v>177</v>
      </c>
      <c r="O76" s="48">
        <v>19778</v>
      </c>
      <c r="P76" s="51" t="s">
        <v>186</v>
      </c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 t="s">
        <v>260</v>
      </c>
    </row>
    <row r="77" spans="1:30">
      <c r="A77" s="48" t="s">
        <v>223</v>
      </c>
      <c r="B77" s="49" t="s">
        <v>189</v>
      </c>
      <c r="C77" s="48">
        <v>70240</v>
      </c>
      <c r="D77" s="48">
        <v>18380</v>
      </c>
      <c r="E77" s="48">
        <v>51860</v>
      </c>
      <c r="F77" s="48" t="s">
        <v>175</v>
      </c>
      <c r="G77" s="48">
        <v>143652.20000000001</v>
      </c>
      <c r="H77" s="48">
        <v>30</v>
      </c>
      <c r="I77" s="48" t="s">
        <v>129</v>
      </c>
      <c r="J77" s="48">
        <v>69899</v>
      </c>
      <c r="K77" s="48" t="s">
        <v>176</v>
      </c>
      <c r="L77" s="48" t="s">
        <v>222</v>
      </c>
      <c r="M77" s="48">
        <v>31601</v>
      </c>
      <c r="N77" s="48" t="s">
        <v>177</v>
      </c>
      <c r="O77" s="48">
        <v>31601</v>
      </c>
      <c r="P77" s="51" t="s">
        <v>186</v>
      </c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 t="s">
        <v>260</v>
      </c>
    </row>
    <row r="78" spans="1:30">
      <c r="A78" s="48" t="s">
        <v>223</v>
      </c>
      <c r="B78" s="49" t="s">
        <v>189</v>
      </c>
      <c r="C78" s="48">
        <v>70240</v>
      </c>
      <c r="D78" s="48">
        <v>18380</v>
      </c>
      <c r="E78" s="48">
        <v>51860</v>
      </c>
      <c r="F78" s="48" t="s">
        <v>175</v>
      </c>
      <c r="G78" s="48">
        <v>143652.20000000001</v>
      </c>
      <c r="H78" s="48">
        <v>30</v>
      </c>
      <c r="I78" s="48" t="s">
        <v>129</v>
      </c>
      <c r="J78" s="48">
        <v>69900</v>
      </c>
      <c r="K78" s="48" t="s">
        <v>176</v>
      </c>
      <c r="L78" s="48" t="s">
        <v>222</v>
      </c>
      <c r="M78" s="48">
        <v>37885</v>
      </c>
      <c r="N78" s="48" t="s">
        <v>177</v>
      </c>
      <c r="O78" s="48">
        <v>481</v>
      </c>
      <c r="P78" s="51" t="s">
        <v>186</v>
      </c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 t="s">
        <v>260</v>
      </c>
    </row>
    <row r="79" spans="1:30">
      <c r="A79" s="48" t="s">
        <v>224</v>
      </c>
      <c r="B79" s="49" t="s">
        <v>189</v>
      </c>
      <c r="C79" s="48">
        <v>76680</v>
      </c>
      <c r="D79" s="48">
        <v>19820</v>
      </c>
      <c r="E79" s="48">
        <v>56860</v>
      </c>
      <c r="F79" s="48" t="s">
        <v>175</v>
      </c>
      <c r="G79" s="48">
        <v>157502.20000000001</v>
      </c>
      <c r="H79" s="48">
        <v>30</v>
      </c>
      <c r="I79" s="48" t="s">
        <v>129</v>
      </c>
      <c r="J79" s="48">
        <v>69900</v>
      </c>
      <c r="K79" s="48" t="s">
        <v>176</v>
      </c>
      <c r="L79" s="48" t="s">
        <v>222</v>
      </c>
      <c r="M79" s="48">
        <v>37885</v>
      </c>
      <c r="N79" s="48" t="s">
        <v>177</v>
      </c>
      <c r="O79" s="48">
        <v>37404</v>
      </c>
      <c r="P79" s="51" t="s">
        <v>186</v>
      </c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 t="s">
        <v>261</v>
      </c>
    </row>
    <row r="80" spans="1:30">
      <c r="A80" s="48" t="s">
        <v>224</v>
      </c>
      <c r="B80" s="49" t="s">
        <v>189</v>
      </c>
      <c r="C80" s="48">
        <v>76680</v>
      </c>
      <c r="D80" s="48">
        <v>19820</v>
      </c>
      <c r="E80" s="48">
        <v>56860</v>
      </c>
      <c r="F80" s="48" t="s">
        <v>175</v>
      </c>
      <c r="G80" s="48">
        <v>157502.20000000001</v>
      </c>
      <c r="H80" s="48">
        <v>30</v>
      </c>
      <c r="I80" s="48" t="s">
        <v>129</v>
      </c>
      <c r="J80" s="48">
        <v>69901</v>
      </c>
      <c r="K80" s="48" t="s">
        <v>176</v>
      </c>
      <c r="L80" s="48" t="s">
        <v>222</v>
      </c>
      <c r="M80" s="48">
        <v>31421</v>
      </c>
      <c r="N80" s="48" t="s">
        <v>177</v>
      </c>
      <c r="O80" s="48">
        <v>19456</v>
      </c>
      <c r="P80" s="51" t="s">
        <v>186</v>
      </c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 t="s">
        <v>261</v>
      </c>
    </row>
    <row r="81" spans="1:30">
      <c r="A81" s="48" t="s">
        <v>225</v>
      </c>
      <c r="B81" s="49" t="s">
        <v>189</v>
      </c>
      <c r="C81" s="48">
        <v>77630</v>
      </c>
      <c r="D81" s="48">
        <v>18600</v>
      </c>
      <c r="E81" s="48">
        <v>59030</v>
      </c>
      <c r="F81" s="48" t="s">
        <v>175</v>
      </c>
      <c r="G81" s="48">
        <v>163513.1</v>
      </c>
      <c r="H81" s="48">
        <v>30</v>
      </c>
      <c r="I81" s="48" t="s">
        <v>129</v>
      </c>
      <c r="J81" s="48">
        <v>69901</v>
      </c>
      <c r="K81" s="48" t="s">
        <v>176</v>
      </c>
      <c r="L81" s="48" t="s">
        <v>222</v>
      </c>
      <c r="M81" s="48">
        <v>31421</v>
      </c>
      <c r="N81" s="48" t="s">
        <v>177</v>
      </c>
      <c r="O81" s="48">
        <v>11965</v>
      </c>
      <c r="P81" s="51" t="s">
        <v>186</v>
      </c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 t="s">
        <v>262</v>
      </c>
    </row>
    <row r="82" spans="1:30">
      <c r="A82" s="48" t="s">
        <v>225</v>
      </c>
      <c r="B82" s="49" t="s">
        <v>189</v>
      </c>
      <c r="C82" s="48">
        <v>77630</v>
      </c>
      <c r="D82" s="48">
        <v>18600</v>
      </c>
      <c r="E82" s="48">
        <v>59030</v>
      </c>
      <c r="F82" s="48" t="s">
        <v>175</v>
      </c>
      <c r="G82" s="48">
        <v>163513.1</v>
      </c>
      <c r="H82" s="48">
        <v>30</v>
      </c>
      <c r="I82" s="48" t="s">
        <v>129</v>
      </c>
      <c r="J82" s="48">
        <v>69902</v>
      </c>
      <c r="K82" s="48" t="s">
        <v>176</v>
      </c>
      <c r="L82" s="48" t="s">
        <v>222</v>
      </c>
      <c r="M82" s="48">
        <v>33117</v>
      </c>
      <c r="N82" s="48" t="s">
        <v>177</v>
      </c>
      <c r="O82" s="48">
        <v>33117</v>
      </c>
      <c r="P82" s="51" t="s">
        <v>186</v>
      </c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 t="s">
        <v>262</v>
      </c>
    </row>
    <row r="83" spans="1:30">
      <c r="A83" s="48" t="s">
        <v>225</v>
      </c>
      <c r="B83" s="49" t="s">
        <v>189</v>
      </c>
      <c r="C83" s="48">
        <v>77630</v>
      </c>
      <c r="D83" s="48">
        <v>18600</v>
      </c>
      <c r="E83" s="48">
        <v>59030</v>
      </c>
      <c r="F83" s="48" t="s">
        <v>175</v>
      </c>
      <c r="G83" s="48">
        <v>163513.1</v>
      </c>
      <c r="H83" s="48">
        <v>30</v>
      </c>
      <c r="I83" s="48" t="s">
        <v>129</v>
      </c>
      <c r="J83" s="48">
        <v>69903</v>
      </c>
      <c r="K83" s="48" t="s">
        <v>176</v>
      </c>
      <c r="L83" s="48" t="s">
        <v>222</v>
      </c>
      <c r="M83" s="48">
        <v>34095</v>
      </c>
      <c r="N83" s="48" t="s">
        <v>177</v>
      </c>
      <c r="O83" s="48">
        <v>13948</v>
      </c>
      <c r="P83" s="51" t="s">
        <v>186</v>
      </c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 t="s">
        <v>262</v>
      </c>
    </row>
    <row r="84" spans="1:30">
      <c r="A84" s="48" t="s">
        <v>226</v>
      </c>
      <c r="B84" s="49" t="s">
        <v>189</v>
      </c>
      <c r="C84" s="48">
        <v>69550</v>
      </c>
      <c r="D84" s="48">
        <v>19050</v>
      </c>
      <c r="E84" s="48">
        <v>50500</v>
      </c>
      <c r="F84" s="48" t="s">
        <v>175</v>
      </c>
      <c r="G84" s="48">
        <v>139885</v>
      </c>
      <c r="H84" s="48">
        <v>30</v>
      </c>
      <c r="I84" s="48" t="s">
        <v>129</v>
      </c>
      <c r="J84" s="48">
        <v>69903</v>
      </c>
      <c r="K84" s="48" t="s">
        <v>176</v>
      </c>
      <c r="L84" s="48" t="s">
        <v>222</v>
      </c>
      <c r="M84" s="48">
        <v>34095</v>
      </c>
      <c r="N84" s="48" t="s">
        <v>177</v>
      </c>
      <c r="O84" s="48">
        <v>20147</v>
      </c>
      <c r="P84" s="51" t="s">
        <v>186</v>
      </c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 t="s">
        <v>263</v>
      </c>
    </row>
    <row r="85" spans="1:30">
      <c r="A85" s="48" t="s">
        <v>226</v>
      </c>
      <c r="B85" s="49" t="s">
        <v>189</v>
      </c>
      <c r="C85" s="48">
        <v>69550</v>
      </c>
      <c r="D85" s="48">
        <v>19050</v>
      </c>
      <c r="E85" s="48">
        <v>50500</v>
      </c>
      <c r="F85" s="48" t="s">
        <v>175</v>
      </c>
      <c r="G85" s="48">
        <v>139885</v>
      </c>
      <c r="H85" s="48">
        <v>30</v>
      </c>
      <c r="I85" s="48" t="s">
        <v>129</v>
      </c>
      <c r="J85" s="48">
        <v>69904</v>
      </c>
      <c r="K85" s="48" t="s">
        <v>176</v>
      </c>
      <c r="L85" s="48" t="s">
        <v>222</v>
      </c>
      <c r="M85" s="48">
        <v>36109</v>
      </c>
      <c r="N85" s="48" t="s">
        <v>177</v>
      </c>
      <c r="O85" s="48">
        <v>30353</v>
      </c>
      <c r="P85" s="51" t="s">
        <v>186</v>
      </c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 t="s">
        <v>263</v>
      </c>
    </row>
    <row r="86" spans="1:30">
      <c r="A86" s="48" t="s">
        <v>227</v>
      </c>
      <c r="B86" s="49" t="s">
        <v>189</v>
      </c>
      <c r="C86" s="48">
        <v>71510</v>
      </c>
      <c r="D86" s="48">
        <v>18610</v>
      </c>
      <c r="E86" s="48">
        <v>52900</v>
      </c>
      <c r="F86" s="48" t="s">
        <v>175</v>
      </c>
      <c r="G86" s="48">
        <v>146533</v>
      </c>
      <c r="H86" s="48">
        <v>30</v>
      </c>
      <c r="I86" s="48" t="s">
        <v>129</v>
      </c>
      <c r="J86" s="48">
        <v>69904</v>
      </c>
      <c r="K86" s="48" t="s">
        <v>176</v>
      </c>
      <c r="L86" s="48" t="s">
        <v>222</v>
      </c>
      <c r="M86" s="48">
        <v>36109</v>
      </c>
      <c r="N86" s="48" t="s">
        <v>177</v>
      </c>
      <c r="O86" s="48">
        <v>5756</v>
      </c>
      <c r="P86" s="51" t="s">
        <v>186</v>
      </c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 t="s">
        <v>264</v>
      </c>
    </row>
    <row r="87" spans="1:30">
      <c r="A87" s="48" t="s">
        <v>227</v>
      </c>
      <c r="B87" s="49" t="s">
        <v>189</v>
      </c>
      <c r="C87" s="48">
        <v>71510</v>
      </c>
      <c r="D87" s="48">
        <v>18610</v>
      </c>
      <c r="E87" s="48">
        <v>52900</v>
      </c>
      <c r="F87" s="48" t="s">
        <v>175</v>
      </c>
      <c r="G87" s="48">
        <v>146533</v>
      </c>
      <c r="H87" s="48">
        <v>30</v>
      </c>
      <c r="I87" s="48" t="s">
        <v>129</v>
      </c>
      <c r="J87" s="48">
        <v>69905</v>
      </c>
      <c r="K87" s="48" t="s">
        <v>176</v>
      </c>
      <c r="L87" s="48" t="s">
        <v>222</v>
      </c>
      <c r="M87" s="48">
        <v>34214</v>
      </c>
      <c r="N87" s="48" t="s">
        <v>177</v>
      </c>
      <c r="O87" s="48">
        <v>34214</v>
      </c>
      <c r="P87" s="51" t="s">
        <v>186</v>
      </c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 t="s">
        <v>264</v>
      </c>
    </row>
    <row r="88" spans="1:30">
      <c r="A88" s="48" t="s">
        <v>227</v>
      </c>
      <c r="B88" s="49" t="s">
        <v>189</v>
      </c>
      <c r="C88" s="48">
        <v>71510</v>
      </c>
      <c r="D88" s="48">
        <v>18610</v>
      </c>
      <c r="E88" s="48">
        <v>52900</v>
      </c>
      <c r="F88" s="48" t="s">
        <v>175</v>
      </c>
      <c r="G88" s="48">
        <v>146533</v>
      </c>
      <c r="H88" s="48">
        <v>30</v>
      </c>
      <c r="I88" s="48" t="s">
        <v>129</v>
      </c>
      <c r="J88" s="48">
        <v>69962</v>
      </c>
      <c r="K88" s="48" t="s">
        <v>176</v>
      </c>
      <c r="L88" s="48" t="s">
        <v>190</v>
      </c>
      <c r="M88" s="48">
        <v>31561</v>
      </c>
      <c r="N88" s="48" t="s">
        <v>177</v>
      </c>
      <c r="O88" s="48">
        <v>12930</v>
      </c>
      <c r="P88" s="51" t="s">
        <v>186</v>
      </c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 t="s">
        <v>264</v>
      </c>
    </row>
    <row r="89" spans="1:30">
      <c r="A89" s="48" t="s">
        <v>228</v>
      </c>
      <c r="B89" s="49" t="s">
        <v>189</v>
      </c>
      <c r="C89" s="48">
        <v>71380</v>
      </c>
      <c r="D89" s="48">
        <v>18360</v>
      </c>
      <c r="E89" s="48">
        <v>53020</v>
      </c>
      <c r="F89" s="48" t="s">
        <v>175</v>
      </c>
      <c r="G89" s="48">
        <v>146865.4</v>
      </c>
      <c r="H89" s="48">
        <v>30</v>
      </c>
      <c r="I89" s="48" t="s">
        <v>129</v>
      </c>
      <c r="J89" s="48">
        <v>69962</v>
      </c>
      <c r="K89" s="48" t="s">
        <v>176</v>
      </c>
      <c r="L89" s="48" t="s">
        <v>190</v>
      </c>
      <c r="M89" s="48">
        <v>31561</v>
      </c>
      <c r="N89" s="48" t="s">
        <v>177</v>
      </c>
      <c r="O89" s="48">
        <v>18631</v>
      </c>
      <c r="P89" s="51" t="s">
        <v>186</v>
      </c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 t="s">
        <v>265</v>
      </c>
    </row>
    <row r="90" spans="1:30">
      <c r="A90" s="48" t="s">
        <v>228</v>
      </c>
      <c r="B90" s="49" t="s">
        <v>189</v>
      </c>
      <c r="C90" s="48">
        <v>71380</v>
      </c>
      <c r="D90" s="48">
        <v>18360</v>
      </c>
      <c r="E90" s="48">
        <v>53020</v>
      </c>
      <c r="F90" s="48" t="s">
        <v>175</v>
      </c>
      <c r="G90" s="48">
        <v>146865.4</v>
      </c>
      <c r="H90" s="48">
        <v>30</v>
      </c>
      <c r="I90" s="48" t="s">
        <v>129</v>
      </c>
      <c r="J90" s="48">
        <v>69963</v>
      </c>
      <c r="K90" s="48" t="s">
        <v>176</v>
      </c>
      <c r="L90" s="48" t="s">
        <v>190</v>
      </c>
      <c r="M90" s="48">
        <v>32239</v>
      </c>
      <c r="N90" s="48" t="s">
        <v>177</v>
      </c>
      <c r="O90" s="48">
        <v>32239</v>
      </c>
      <c r="P90" s="51" t="s">
        <v>186</v>
      </c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 t="s">
        <v>265</v>
      </c>
    </row>
    <row r="91" spans="1:30">
      <c r="A91" s="48" t="s">
        <v>228</v>
      </c>
      <c r="B91" s="49" t="s">
        <v>189</v>
      </c>
      <c r="C91" s="48">
        <v>71380</v>
      </c>
      <c r="D91" s="48">
        <v>18360</v>
      </c>
      <c r="E91" s="48">
        <v>53020</v>
      </c>
      <c r="F91" s="48" t="s">
        <v>175</v>
      </c>
      <c r="G91" s="48">
        <v>146865.4</v>
      </c>
      <c r="H91" s="48">
        <v>30</v>
      </c>
      <c r="I91" s="48" t="s">
        <v>129</v>
      </c>
      <c r="J91" s="48">
        <v>69964</v>
      </c>
      <c r="K91" s="48" t="s">
        <v>176</v>
      </c>
      <c r="L91" s="48" t="s">
        <v>190</v>
      </c>
      <c r="M91" s="48">
        <v>37167</v>
      </c>
      <c r="N91" s="48" t="s">
        <v>177</v>
      </c>
      <c r="O91" s="48">
        <v>2150</v>
      </c>
      <c r="P91" s="51" t="s">
        <v>186</v>
      </c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 t="s">
        <v>265</v>
      </c>
    </row>
    <row r="92" spans="1:30">
      <c r="A92" s="48" t="s">
        <v>229</v>
      </c>
      <c r="B92" s="49" t="s">
        <v>189</v>
      </c>
      <c r="C92" s="48">
        <v>84280</v>
      </c>
      <c r="D92" s="48">
        <v>22300</v>
      </c>
      <c r="E92" s="48">
        <v>61980</v>
      </c>
      <c r="F92" s="48" t="s">
        <v>175</v>
      </c>
      <c r="G92" s="48">
        <v>171684.6</v>
      </c>
      <c r="H92" s="48">
        <v>30</v>
      </c>
      <c r="I92" s="48" t="s">
        <v>129</v>
      </c>
      <c r="J92" s="48">
        <v>69964</v>
      </c>
      <c r="K92" s="48" t="s">
        <v>176</v>
      </c>
      <c r="L92" s="48" t="s">
        <v>190</v>
      </c>
      <c r="M92" s="48">
        <v>37167</v>
      </c>
      <c r="N92" s="48" t="s">
        <v>177</v>
      </c>
      <c r="O92" s="48">
        <v>35017</v>
      </c>
      <c r="P92" s="51" t="s">
        <v>186</v>
      </c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 t="s">
        <v>266</v>
      </c>
    </row>
    <row r="93" spans="1:30">
      <c r="A93" s="48" t="s">
        <v>229</v>
      </c>
      <c r="B93" s="49" t="s">
        <v>189</v>
      </c>
      <c r="C93" s="48">
        <v>84280</v>
      </c>
      <c r="D93" s="48">
        <v>22300</v>
      </c>
      <c r="E93" s="48">
        <v>61980</v>
      </c>
      <c r="F93" s="48" t="s">
        <v>175</v>
      </c>
      <c r="G93" s="48">
        <v>171684.6</v>
      </c>
      <c r="H93" s="48">
        <v>30</v>
      </c>
      <c r="I93" s="48" t="s">
        <v>129</v>
      </c>
      <c r="J93" s="48">
        <v>69965</v>
      </c>
      <c r="K93" s="48" t="s">
        <v>176</v>
      </c>
      <c r="L93" s="48" t="s">
        <v>190</v>
      </c>
      <c r="M93" s="48">
        <v>37546</v>
      </c>
      <c r="N93" s="48" t="s">
        <v>177</v>
      </c>
      <c r="O93" s="48">
        <v>26963</v>
      </c>
      <c r="P93" s="51" t="s">
        <v>186</v>
      </c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 t="s">
        <v>266</v>
      </c>
    </row>
    <row r="94" spans="1:30">
      <c r="A94" s="48" t="s">
        <v>230</v>
      </c>
      <c r="B94" s="49" t="s">
        <v>189</v>
      </c>
      <c r="C94" s="48">
        <v>85520</v>
      </c>
      <c r="D94" s="48">
        <v>23150</v>
      </c>
      <c r="E94" s="48">
        <v>62370</v>
      </c>
      <c r="F94" s="48" t="s">
        <v>175</v>
      </c>
      <c r="G94" s="48">
        <v>172764.9</v>
      </c>
      <c r="H94" s="48">
        <v>30</v>
      </c>
      <c r="I94" s="48" t="s">
        <v>129</v>
      </c>
      <c r="J94" s="48">
        <v>69965</v>
      </c>
      <c r="K94" s="48" t="s">
        <v>176</v>
      </c>
      <c r="L94" s="48" t="s">
        <v>190</v>
      </c>
      <c r="M94" s="48">
        <v>37546</v>
      </c>
      <c r="N94" s="48" t="s">
        <v>177</v>
      </c>
      <c r="O94" s="48">
        <v>10583</v>
      </c>
      <c r="P94" s="51" t="s">
        <v>186</v>
      </c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 t="s">
        <v>267</v>
      </c>
    </row>
    <row r="95" spans="1:30">
      <c r="A95" s="48" t="s">
        <v>230</v>
      </c>
      <c r="B95" s="49" t="s">
        <v>189</v>
      </c>
      <c r="C95" s="48">
        <v>85520</v>
      </c>
      <c r="D95" s="48">
        <v>23150</v>
      </c>
      <c r="E95" s="48">
        <v>62370</v>
      </c>
      <c r="F95" s="48" t="s">
        <v>175</v>
      </c>
      <c r="G95" s="48">
        <v>172764.9</v>
      </c>
      <c r="H95" s="48">
        <v>30</v>
      </c>
      <c r="I95" s="48" t="s">
        <v>129</v>
      </c>
      <c r="J95" s="48">
        <v>69966</v>
      </c>
      <c r="K95" s="48" t="s">
        <v>176</v>
      </c>
      <c r="L95" s="48" t="s">
        <v>190</v>
      </c>
      <c r="M95" s="48">
        <v>31681</v>
      </c>
      <c r="N95" s="48" t="s">
        <v>177</v>
      </c>
      <c r="O95" s="48">
        <v>31681</v>
      </c>
      <c r="P95" s="51" t="s">
        <v>186</v>
      </c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 t="s">
        <v>267</v>
      </c>
    </row>
    <row r="96" spans="1:30">
      <c r="A96" s="48" t="s">
        <v>230</v>
      </c>
      <c r="B96" s="49" t="s">
        <v>189</v>
      </c>
      <c r="C96" s="48">
        <v>85520</v>
      </c>
      <c r="D96" s="48">
        <v>23150</v>
      </c>
      <c r="E96" s="48">
        <v>62370</v>
      </c>
      <c r="F96" s="48" t="s">
        <v>175</v>
      </c>
      <c r="G96" s="48">
        <v>172764.9</v>
      </c>
      <c r="H96" s="48">
        <v>30</v>
      </c>
      <c r="I96" s="48" t="s">
        <v>129</v>
      </c>
      <c r="J96" s="48">
        <v>69967</v>
      </c>
      <c r="K96" s="48" t="s">
        <v>176</v>
      </c>
      <c r="L96" s="48" t="s">
        <v>190</v>
      </c>
      <c r="M96" s="48">
        <v>31581</v>
      </c>
      <c r="N96" s="48" t="s">
        <v>177</v>
      </c>
      <c r="O96" s="48">
        <v>20106</v>
      </c>
      <c r="P96" s="51" t="s">
        <v>186</v>
      </c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 t="s">
        <v>267</v>
      </c>
    </row>
    <row r="97" spans="1:30">
      <c r="A97" s="48" t="s">
        <v>231</v>
      </c>
      <c r="B97" s="49" t="s">
        <v>189</v>
      </c>
      <c r="C97" s="48">
        <v>85940</v>
      </c>
      <c r="D97" s="48">
        <v>23780</v>
      </c>
      <c r="E97" s="48">
        <v>62160</v>
      </c>
      <c r="F97" s="48" t="s">
        <v>175</v>
      </c>
      <c r="G97" s="48">
        <v>172183.2</v>
      </c>
      <c r="H97" s="48">
        <v>30</v>
      </c>
      <c r="I97" s="48" t="s">
        <v>129</v>
      </c>
      <c r="J97" s="48">
        <v>69967</v>
      </c>
      <c r="K97" s="48" t="s">
        <v>176</v>
      </c>
      <c r="L97" s="48" t="s">
        <v>190</v>
      </c>
      <c r="M97" s="48">
        <v>31581</v>
      </c>
      <c r="N97" s="48" t="s">
        <v>177</v>
      </c>
      <c r="O97" s="48">
        <v>11475</v>
      </c>
      <c r="P97" s="51" t="s">
        <v>186</v>
      </c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 t="s">
        <v>268</v>
      </c>
    </row>
    <row r="98" spans="1:30">
      <c r="A98" s="48" t="s">
        <v>231</v>
      </c>
      <c r="B98" s="49" t="s">
        <v>189</v>
      </c>
      <c r="C98" s="48">
        <v>85940</v>
      </c>
      <c r="D98" s="48">
        <v>23780</v>
      </c>
      <c r="E98" s="48">
        <v>62160</v>
      </c>
      <c r="F98" s="48" t="s">
        <v>175</v>
      </c>
      <c r="G98" s="48">
        <v>172183.2</v>
      </c>
      <c r="H98" s="48">
        <v>30</v>
      </c>
      <c r="I98" s="48" t="s">
        <v>129</v>
      </c>
      <c r="J98" s="48">
        <v>69968</v>
      </c>
      <c r="K98" s="48" t="s">
        <v>176</v>
      </c>
      <c r="L98" s="48" t="s">
        <v>190</v>
      </c>
      <c r="M98" s="48">
        <v>36868</v>
      </c>
      <c r="N98" s="48" t="s">
        <v>177</v>
      </c>
      <c r="O98" s="48">
        <v>36868</v>
      </c>
      <c r="P98" s="51" t="s">
        <v>186</v>
      </c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 t="s">
        <v>268</v>
      </c>
    </row>
    <row r="99" spans="1:30">
      <c r="A99" s="48" t="s">
        <v>231</v>
      </c>
      <c r="B99" s="49" t="s">
        <v>189</v>
      </c>
      <c r="C99" s="48">
        <v>85940</v>
      </c>
      <c r="D99" s="48">
        <v>23780</v>
      </c>
      <c r="E99" s="48">
        <v>62160</v>
      </c>
      <c r="F99" s="48" t="s">
        <v>175</v>
      </c>
      <c r="G99" s="48">
        <v>172183.2</v>
      </c>
      <c r="H99" s="48">
        <v>30</v>
      </c>
      <c r="I99" s="48" t="s">
        <v>129</v>
      </c>
      <c r="J99" s="48">
        <v>69969</v>
      </c>
      <c r="K99" s="48" t="s">
        <v>176</v>
      </c>
      <c r="L99" s="48" t="s">
        <v>190</v>
      </c>
      <c r="M99" s="48">
        <v>36907</v>
      </c>
      <c r="N99" s="48" t="s">
        <v>177</v>
      </c>
      <c r="O99" s="48">
        <v>13817</v>
      </c>
      <c r="P99" s="51" t="s">
        <v>186</v>
      </c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 t="s">
        <v>268</v>
      </c>
    </row>
    <row r="100" spans="1:30">
      <c r="A100" s="48" t="s">
        <v>232</v>
      </c>
      <c r="B100" s="49" t="s">
        <v>189</v>
      </c>
      <c r="C100" s="48">
        <v>83820</v>
      </c>
      <c r="D100" s="48">
        <v>22680</v>
      </c>
      <c r="E100" s="48">
        <v>61140</v>
      </c>
      <c r="F100" s="48" t="s">
        <v>175</v>
      </c>
      <c r="G100" s="48">
        <v>169357.8</v>
      </c>
      <c r="H100" s="48">
        <v>30</v>
      </c>
      <c r="I100" s="48" t="s">
        <v>129</v>
      </c>
      <c r="J100" s="48">
        <v>69969</v>
      </c>
      <c r="K100" s="48" t="s">
        <v>176</v>
      </c>
      <c r="L100" s="48" t="s">
        <v>190</v>
      </c>
      <c r="M100" s="48">
        <v>36907</v>
      </c>
      <c r="N100" s="48" t="s">
        <v>177</v>
      </c>
      <c r="O100" s="48">
        <v>23090</v>
      </c>
      <c r="P100" s="51" t="s">
        <v>186</v>
      </c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 t="s">
        <v>269</v>
      </c>
    </row>
    <row r="101" spans="1:30">
      <c r="A101" s="48" t="s">
        <v>232</v>
      </c>
      <c r="B101" s="49" t="s">
        <v>189</v>
      </c>
      <c r="C101" s="48">
        <v>83820</v>
      </c>
      <c r="D101" s="48">
        <v>22680</v>
      </c>
      <c r="E101" s="48">
        <v>61140</v>
      </c>
      <c r="F101" s="48" t="s">
        <v>175</v>
      </c>
      <c r="G101" s="48">
        <v>169357.8</v>
      </c>
      <c r="H101" s="48">
        <v>30</v>
      </c>
      <c r="I101" s="48" t="s">
        <v>129</v>
      </c>
      <c r="J101" s="48">
        <v>69971</v>
      </c>
      <c r="K101" s="48" t="s">
        <v>176</v>
      </c>
      <c r="L101" s="48" t="s">
        <v>190</v>
      </c>
      <c r="M101" s="48">
        <v>36508</v>
      </c>
      <c r="N101" s="48" t="s">
        <v>177</v>
      </c>
      <c r="O101" s="48">
        <v>36508</v>
      </c>
      <c r="P101" s="51" t="s">
        <v>186</v>
      </c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 t="s">
        <v>269</v>
      </c>
    </row>
    <row r="102" spans="1:30">
      <c r="A102" s="48" t="s">
        <v>232</v>
      </c>
      <c r="B102" s="49" t="s">
        <v>189</v>
      </c>
      <c r="C102" s="48">
        <v>83820</v>
      </c>
      <c r="D102" s="48">
        <v>22680</v>
      </c>
      <c r="E102" s="48">
        <v>61140</v>
      </c>
      <c r="F102" s="48" t="s">
        <v>175</v>
      </c>
      <c r="G102" s="48">
        <v>169357.8</v>
      </c>
      <c r="H102" s="48">
        <v>30</v>
      </c>
      <c r="I102" s="48" t="s">
        <v>129</v>
      </c>
      <c r="J102" s="48">
        <v>69972</v>
      </c>
      <c r="K102" s="48" t="s">
        <v>176</v>
      </c>
      <c r="L102" s="48" t="s">
        <v>190</v>
      </c>
      <c r="M102" s="48">
        <v>32399</v>
      </c>
      <c r="N102" s="48" t="s">
        <v>177</v>
      </c>
      <c r="O102" s="48">
        <v>1542</v>
      </c>
      <c r="P102" s="51" t="s">
        <v>186</v>
      </c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 t="s">
        <v>269</v>
      </c>
    </row>
  </sheetData>
  <autoFilter ref="A1:AD102" xr:uid="{52188003-16CA-4154-8AFA-4B205FB5D77B}">
    <filterColumn colId="8">
      <filters>
        <filter val="06315338001603"/>
      </filters>
    </filterColumn>
    <filterColumn colId="15">
      <filters>
        <filter val="CENTRO SUL"/>
      </filters>
    </filterColumn>
  </autoFilter>
  <pageMargins left="0.511811024" right="0.511811024" top="0.78740157499999996" bottom="0.78740157499999996" header="0.31496062000000002" footer="0.31496062000000002"/>
  <pageSetup orientation="portrait" r:id="rId1"/>
  <customProperties>
    <customPr name="EpmWorksheetKeyString_GUID" r:id="rId2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T58"/>
  <sheetViews>
    <sheetView topLeftCell="H1" workbookViewId="0">
      <selection activeCell="K45" sqref="K45"/>
    </sheetView>
  </sheetViews>
  <sheetFormatPr defaultColWidth="8.85546875" defaultRowHeight="15"/>
  <cols>
    <col min="1" max="1" width="17.7109375" style="1" bestFit="1" customWidth="1"/>
    <col min="2" max="2" width="31" style="1" bestFit="1" customWidth="1"/>
    <col min="3" max="3" width="16.5703125" style="33" bestFit="1" customWidth="1"/>
    <col min="4" max="4" width="42.85546875" style="1" customWidth="1"/>
    <col min="5" max="5" width="25.5703125" style="32" customWidth="1"/>
    <col min="6" max="6" width="8.85546875" style="1"/>
    <col min="7" max="7" width="28.7109375" style="1" customWidth="1"/>
    <col min="8" max="8" width="18" style="1" bestFit="1" customWidth="1"/>
    <col min="9" max="10" width="8.85546875" style="1"/>
    <col min="11" max="11" width="49.85546875" style="1" bestFit="1" customWidth="1"/>
    <col min="12" max="12" width="11.7109375" style="1" bestFit="1" customWidth="1"/>
    <col min="13" max="14" width="10.7109375" style="1" bestFit="1" customWidth="1"/>
    <col min="15" max="16384" width="8.85546875" style="1"/>
  </cols>
  <sheetData>
    <row r="1" spans="1:20">
      <c r="A1" s="1" t="s">
        <v>1</v>
      </c>
      <c r="B1" s="1" t="s">
        <v>2</v>
      </c>
      <c r="C1" s="31"/>
      <c r="D1" s="31" t="s">
        <v>3</v>
      </c>
      <c r="E1" s="31" t="s">
        <v>1</v>
      </c>
      <c r="G1" s="1" t="s">
        <v>4</v>
      </c>
      <c r="K1"/>
      <c r="L1"/>
      <c r="M1" s="1">
        <v>3</v>
      </c>
      <c r="N1" s="38" t="s">
        <v>129</v>
      </c>
      <c r="O1" s="1" t="s">
        <v>186</v>
      </c>
      <c r="P1" s="45" t="s">
        <v>182</v>
      </c>
    </row>
    <row r="2" spans="1:20">
      <c r="A2" s="14" t="s">
        <v>63</v>
      </c>
      <c r="B2" s="22" t="s">
        <v>80</v>
      </c>
      <c r="C2" s="34" t="str">
        <f>SUBSTITUTE(SUBSTITUTE(SUBSTITUTE(E2,".",""),"/",""),"-","")</f>
        <v>02003402000760</v>
      </c>
      <c r="D2" s="35" t="s">
        <v>5</v>
      </c>
      <c r="E2" s="36" t="s">
        <v>6</v>
      </c>
      <c r="G2" s="24" t="s">
        <v>8</v>
      </c>
      <c r="H2" s="25" t="s">
        <v>108</v>
      </c>
      <c r="K2"/>
      <c r="L2"/>
      <c r="M2"/>
      <c r="N2" s="13"/>
      <c r="O2"/>
      <c r="P2"/>
      <c r="Q2"/>
    </row>
    <row r="3" spans="1:20">
      <c r="A3" s="14" t="s">
        <v>64</v>
      </c>
      <c r="B3" s="22" t="s">
        <v>81</v>
      </c>
      <c r="C3" s="34" t="str">
        <f t="shared" ref="C3:C10" si="0">SUBSTITUTE(SUBSTITUTE(SUBSTITUTE(E3,".",""),"/",""),"-","")</f>
        <v>56216872000146</v>
      </c>
      <c r="D3" s="35" t="s">
        <v>157</v>
      </c>
      <c r="E3" s="36" t="s">
        <v>7</v>
      </c>
      <c r="G3" s="24" t="s">
        <v>109</v>
      </c>
      <c r="H3" s="26" t="s">
        <v>110</v>
      </c>
      <c r="I3" s="1" t="s">
        <v>9</v>
      </c>
      <c r="K3"/>
      <c r="L3"/>
      <c r="M3"/>
    </row>
    <row r="4" spans="1:20">
      <c r="A4" s="14" t="s">
        <v>65</v>
      </c>
      <c r="B4" s="22" t="s">
        <v>82</v>
      </c>
      <c r="C4" s="34" t="str">
        <f t="shared" si="0"/>
        <v>04244527000112</v>
      </c>
      <c r="D4" s="35" t="s">
        <v>10</v>
      </c>
      <c r="E4" s="36" t="s">
        <v>11</v>
      </c>
      <c r="G4" s="6"/>
      <c r="H4" s="8"/>
      <c r="I4" s="1" t="s">
        <v>12</v>
      </c>
      <c r="K4"/>
      <c r="L4"/>
      <c r="M4"/>
      <c r="N4"/>
      <c r="O4"/>
      <c r="P4"/>
      <c r="Q4"/>
      <c r="R4"/>
      <c r="S4"/>
      <c r="T4"/>
    </row>
    <row r="5" spans="1:20">
      <c r="A5" s="15" t="s">
        <v>66</v>
      </c>
      <c r="B5" s="23" t="s">
        <v>83</v>
      </c>
      <c r="C5" s="34" t="str">
        <f t="shared" si="0"/>
        <v>05527694000133</v>
      </c>
      <c r="D5" s="35" t="s">
        <v>13</v>
      </c>
      <c r="E5" s="36" t="s">
        <v>14</v>
      </c>
      <c r="G5" s="9"/>
      <c r="H5" s="7"/>
      <c r="K5" s="30" t="s">
        <v>27</v>
      </c>
      <c r="L5" s="30" t="s">
        <v>34</v>
      </c>
      <c r="M5"/>
      <c r="N5"/>
      <c r="O5"/>
      <c r="P5"/>
      <c r="Q5"/>
      <c r="R5"/>
      <c r="S5"/>
      <c r="T5"/>
    </row>
    <row r="6" spans="1:20" ht="15.75">
      <c r="A6" s="14" t="s">
        <v>67</v>
      </c>
      <c r="B6" s="22" t="s">
        <v>84</v>
      </c>
      <c r="C6" s="34" t="str">
        <f t="shared" si="0"/>
        <v>09079434000101</v>
      </c>
      <c r="D6" s="35" t="s">
        <v>15</v>
      </c>
      <c r="E6" s="36" t="s">
        <v>16</v>
      </c>
      <c r="G6" s="43" t="s">
        <v>173</v>
      </c>
      <c r="H6" s="44"/>
      <c r="J6" s="1">
        <f t="shared" ref="J6:J37" si="1">IF(K6&lt;&gt;"",IF(K6=K5,J5+1,1),"")</f>
        <v>1</v>
      </c>
      <c r="K6" t="s">
        <v>129</v>
      </c>
      <c r="L6" t="s">
        <v>178</v>
      </c>
      <c r="M6"/>
      <c r="N6"/>
      <c r="O6"/>
      <c r="P6"/>
      <c r="Q6"/>
      <c r="R6"/>
      <c r="S6"/>
      <c r="T6"/>
    </row>
    <row r="7" spans="1:20">
      <c r="A7" s="15" t="s">
        <v>68</v>
      </c>
      <c r="B7" s="22" t="s">
        <v>85</v>
      </c>
      <c r="C7" s="34" t="str">
        <f t="shared" si="0"/>
        <v>04731861000109</v>
      </c>
      <c r="D7" s="35" t="s">
        <v>105</v>
      </c>
      <c r="E7" s="36" t="s">
        <v>106</v>
      </c>
      <c r="G7" s="40" t="s">
        <v>169</v>
      </c>
      <c r="H7" s="40" t="s">
        <v>171</v>
      </c>
      <c r="J7" s="1">
        <f t="shared" si="1"/>
        <v>2</v>
      </c>
      <c r="K7" t="s">
        <v>129</v>
      </c>
      <c r="L7" t="s">
        <v>186</v>
      </c>
      <c r="M7"/>
      <c r="N7"/>
      <c r="O7"/>
      <c r="P7"/>
      <c r="Q7"/>
      <c r="R7"/>
      <c r="S7"/>
      <c r="T7"/>
    </row>
    <row r="8" spans="1:20">
      <c r="A8" s="14" t="s">
        <v>69</v>
      </c>
      <c r="B8" s="22" t="s">
        <v>86</v>
      </c>
      <c r="C8" s="34" t="str">
        <f t="shared" si="0"/>
        <v>02933023000265</v>
      </c>
      <c r="D8" s="35" t="s">
        <v>107</v>
      </c>
      <c r="E8" s="36" t="s">
        <v>18</v>
      </c>
      <c r="G8" s="40" t="s">
        <v>170</v>
      </c>
      <c r="H8" s="40" t="s">
        <v>172</v>
      </c>
      <c r="J8" s="1" t="str">
        <f t="shared" si="1"/>
        <v/>
      </c>
      <c r="K8"/>
      <c r="L8"/>
      <c r="M8"/>
      <c r="N8"/>
      <c r="O8"/>
      <c r="P8"/>
      <c r="Q8"/>
      <c r="R8"/>
      <c r="S8"/>
      <c r="T8"/>
    </row>
    <row r="9" spans="1:20">
      <c r="A9" s="14" t="s">
        <v>70</v>
      </c>
      <c r="B9" s="22" t="s">
        <v>87</v>
      </c>
      <c r="C9" s="34" t="str">
        <f t="shared" si="0"/>
        <v>25278404000172</v>
      </c>
      <c r="D9" s="35" t="s">
        <v>156</v>
      </c>
      <c r="E9" s="36" t="s">
        <v>17</v>
      </c>
      <c r="G9" s="40" t="s">
        <v>167</v>
      </c>
      <c r="H9" s="41" t="s">
        <v>119</v>
      </c>
      <c r="J9" s="1" t="str">
        <f t="shared" si="1"/>
        <v/>
      </c>
      <c r="K9"/>
      <c r="L9"/>
      <c r="M9"/>
      <c r="N9"/>
      <c r="O9"/>
      <c r="P9"/>
      <c r="Q9"/>
      <c r="R9"/>
      <c r="S9"/>
      <c r="T9"/>
    </row>
    <row r="10" spans="1:20">
      <c r="A10" s="14" t="s">
        <v>71</v>
      </c>
      <c r="B10" s="22" t="s">
        <v>88</v>
      </c>
      <c r="C10" s="34" t="str">
        <f t="shared" si="0"/>
        <v>61145488000300</v>
      </c>
      <c r="D10" s="35" t="s">
        <v>162</v>
      </c>
      <c r="E10" s="36" t="s">
        <v>163</v>
      </c>
      <c r="G10" s="42" t="s">
        <v>174</v>
      </c>
      <c r="H10" s="40" t="s">
        <v>119</v>
      </c>
      <c r="J10" s="1" t="str">
        <f t="shared" si="1"/>
        <v/>
      </c>
      <c r="K10"/>
      <c r="L10"/>
      <c r="M10"/>
      <c r="N10"/>
      <c r="O10"/>
      <c r="P10"/>
      <c r="Q10"/>
      <c r="R10"/>
      <c r="S10"/>
      <c r="T10"/>
    </row>
    <row r="11" spans="1:20">
      <c r="A11" s="14" t="s">
        <v>72</v>
      </c>
      <c r="B11" s="22" t="s">
        <v>89</v>
      </c>
      <c r="C11" s="34" t="str">
        <f t="shared" ref="C11" si="2">SUBSTITUTE(SUBSTITUTE(SUBSTITUTE(E11,".",""),"/",""),"-","")</f>
        <v>02933023000265</v>
      </c>
      <c r="D11" s="35" t="s">
        <v>165</v>
      </c>
      <c r="E11" s="36" t="s">
        <v>18</v>
      </c>
      <c r="G11" s="40"/>
      <c r="H11" s="40"/>
      <c r="J11" s="1" t="str">
        <f t="shared" si="1"/>
        <v/>
      </c>
      <c r="K11"/>
      <c r="L11"/>
      <c r="M11"/>
      <c r="N11"/>
      <c r="O11"/>
      <c r="P11"/>
      <c r="Q11"/>
      <c r="R11"/>
      <c r="S11"/>
      <c r="T11"/>
    </row>
    <row r="12" spans="1:20">
      <c r="A12" s="14" t="s">
        <v>73</v>
      </c>
      <c r="B12" s="22" t="s">
        <v>90</v>
      </c>
      <c r="C12" s="34" t="str">
        <f t="shared" ref="C12" si="3">SUBSTITUTE(SUBSTITUTE(SUBSTITUTE(E12,".",""),"/",""),"-","")</f>
        <v>05527694000133</v>
      </c>
      <c r="D12" s="35" t="s">
        <v>166</v>
      </c>
      <c r="E12" s="36" t="s">
        <v>14</v>
      </c>
      <c r="G12" s="40"/>
      <c r="H12" s="40"/>
      <c r="J12" s="1" t="str">
        <f t="shared" si="1"/>
        <v/>
      </c>
      <c r="K12"/>
      <c r="L12"/>
      <c r="M12"/>
      <c r="N12"/>
      <c r="O12"/>
      <c r="P12"/>
      <c r="Q12"/>
      <c r="R12"/>
      <c r="S12"/>
      <c r="T12"/>
    </row>
    <row r="13" spans="1:20">
      <c r="A13" s="14" t="s">
        <v>74</v>
      </c>
      <c r="B13" s="22" t="s">
        <v>91</v>
      </c>
      <c r="C13" s="34" t="s">
        <v>180</v>
      </c>
      <c r="D13" s="35" t="s">
        <v>179</v>
      </c>
      <c r="E13" s="36" t="s">
        <v>181</v>
      </c>
      <c r="G13" s="40"/>
      <c r="H13" s="40"/>
      <c r="J13" s="1" t="str">
        <f t="shared" si="1"/>
        <v/>
      </c>
      <c r="K13"/>
      <c r="L13"/>
      <c r="M13"/>
      <c r="N13"/>
      <c r="O13"/>
      <c r="P13"/>
      <c r="Q13"/>
      <c r="R13"/>
    </row>
    <row r="14" spans="1:20">
      <c r="A14" s="14" t="s">
        <v>66</v>
      </c>
      <c r="B14" s="22" t="s">
        <v>92</v>
      </c>
      <c r="C14" s="34" t="s">
        <v>183</v>
      </c>
      <c r="D14" s="35" t="s">
        <v>178</v>
      </c>
      <c r="E14" s="36" t="s">
        <v>184</v>
      </c>
      <c r="G14" s="40"/>
      <c r="H14" s="40"/>
      <c r="J14" s="1" t="str">
        <f t="shared" si="1"/>
        <v/>
      </c>
      <c r="K14"/>
      <c r="L14"/>
      <c r="M14"/>
      <c r="N14"/>
      <c r="O14"/>
      <c r="P14"/>
      <c r="Q14"/>
      <c r="R14"/>
    </row>
    <row r="15" spans="1:20">
      <c r="A15" s="14" t="s">
        <v>75</v>
      </c>
      <c r="B15" s="22" t="s">
        <v>93</v>
      </c>
      <c r="C15" s="34">
        <v>81072399000207</v>
      </c>
      <c r="D15" s="35" t="s">
        <v>186</v>
      </c>
      <c r="E15" s="46" t="s">
        <v>187</v>
      </c>
      <c r="J15" s="1" t="str">
        <f t="shared" si="1"/>
        <v/>
      </c>
      <c r="K15"/>
      <c r="L15"/>
      <c r="M15"/>
      <c r="N15"/>
      <c r="O15"/>
      <c r="P15"/>
      <c r="Q15"/>
      <c r="R15"/>
    </row>
    <row r="16" spans="1:20">
      <c r="A16" s="14" t="s">
        <v>69</v>
      </c>
      <c r="B16" s="22" t="s">
        <v>94</v>
      </c>
      <c r="C16" s="34"/>
      <c r="D16" s="35"/>
      <c r="E16" s="36"/>
      <c r="J16" s="1" t="str">
        <f t="shared" si="1"/>
        <v/>
      </c>
      <c r="K16"/>
      <c r="L16"/>
      <c r="M16"/>
      <c r="N16"/>
      <c r="O16"/>
      <c r="P16"/>
      <c r="Q16"/>
      <c r="R16"/>
    </row>
    <row r="17" spans="1:17">
      <c r="A17" s="14" t="s">
        <v>67</v>
      </c>
      <c r="B17" s="22" t="s">
        <v>95</v>
      </c>
      <c r="C17" s="34"/>
      <c r="D17" s="35"/>
      <c r="E17" s="36"/>
      <c r="J17" s="1" t="str">
        <f t="shared" si="1"/>
        <v/>
      </c>
      <c r="K17"/>
      <c r="L17"/>
      <c r="M17"/>
      <c r="N17"/>
      <c r="O17"/>
      <c r="P17"/>
      <c r="Q17"/>
    </row>
    <row r="18" spans="1:17">
      <c r="A18" s="14" t="s">
        <v>74</v>
      </c>
      <c r="B18" s="22" t="s">
        <v>96</v>
      </c>
      <c r="C18" s="34"/>
      <c r="D18" s="35"/>
      <c r="E18" s="36"/>
      <c r="J18" s="1" t="str">
        <f t="shared" si="1"/>
        <v/>
      </c>
      <c r="K18"/>
      <c r="L18"/>
      <c r="M18"/>
      <c r="N18"/>
      <c r="O18"/>
      <c r="P18"/>
      <c r="Q18"/>
    </row>
    <row r="19" spans="1:17">
      <c r="A19" s="14" t="s">
        <v>60</v>
      </c>
      <c r="B19" s="22" t="s">
        <v>97</v>
      </c>
      <c r="C19" s="34"/>
      <c r="D19" s="35"/>
      <c r="E19" s="36"/>
      <c r="J19" s="1" t="str">
        <f t="shared" si="1"/>
        <v/>
      </c>
      <c r="K19"/>
      <c r="L19"/>
      <c r="M19"/>
      <c r="N19"/>
      <c r="O19"/>
      <c r="P19"/>
      <c r="Q19"/>
    </row>
    <row r="20" spans="1:17">
      <c r="A20" s="14" t="s">
        <v>76</v>
      </c>
      <c r="B20" s="22" t="s">
        <v>98</v>
      </c>
      <c r="C20" s="34"/>
      <c r="D20" s="35"/>
      <c r="E20" s="36"/>
      <c r="J20" s="1" t="str">
        <f t="shared" si="1"/>
        <v/>
      </c>
      <c r="K20"/>
      <c r="L20"/>
      <c r="M20"/>
      <c r="N20"/>
      <c r="O20"/>
      <c r="P20"/>
      <c r="Q20"/>
    </row>
    <row r="21" spans="1:17">
      <c r="A21" s="14" t="s">
        <v>61</v>
      </c>
      <c r="B21" s="22" t="s">
        <v>99</v>
      </c>
      <c r="C21" s="34"/>
      <c r="D21" s="35"/>
      <c r="E21" s="36"/>
      <c r="J21" s="1" t="str">
        <f t="shared" si="1"/>
        <v/>
      </c>
      <c r="K21"/>
      <c r="L21"/>
      <c r="M21"/>
      <c r="N21"/>
      <c r="O21"/>
      <c r="P21"/>
      <c r="Q21"/>
    </row>
    <row r="22" spans="1:17">
      <c r="A22" s="14" t="s">
        <v>62</v>
      </c>
      <c r="B22" s="22" t="s">
        <v>100</v>
      </c>
      <c r="C22" s="34"/>
      <c r="D22" s="35"/>
      <c r="E22" s="36"/>
      <c r="J22" s="1" t="str">
        <f t="shared" si="1"/>
        <v/>
      </c>
      <c r="K22"/>
      <c r="L22"/>
      <c r="M22"/>
      <c r="N22"/>
      <c r="O22"/>
      <c r="P22"/>
      <c r="Q22"/>
    </row>
    <row r="23" spans="1:17">
      <c r="A23" s="14" t="s">
        <v>77</v>
      </c>
      <c r="B23" s="22" t="s">
        <v>101</v>
      </c>
      <c r="C23" s="34"/>
      <c r="D23" s="35"/>
      <c r="E23" s="36"/>
      <c r="J23" s="1" t="str">
        <f t="shared" si="1"/>
        <v/>
      </c>
      <c r="K23"/>
      <c r="L23"/>
      <c r="M23"/>
      <c r="N23"/>
      <c r="O23"/>
      <c r="P23"/>
      <c r="Q23"/>
    </row>
    <row r="24" spans="1:17">
      <c r="A24" s="14" t="s">
        <v>78</v>
      </c>
      <c r="B24" s="22" t="s">
        <v>102</v>
      </c>
      <c r="C24" s="34"/>
      <c r="D24" s="35"/>
      <c r="E24" s="36"/>
      <c r="J24" s="1" t="str">
        <f t="shared" si="1"/>
        <v/>
      </c>
      <c r="K24"/>
      <c r="L24"/>
      <c r="M24"/>
      <c r="N24"/>
      <c r="O24"/>
      <c r="P24"/>
      <c r="Q24"/>
    </row>
    <row r="25" spans="1:17">
      <c r="A25" s="14" t="s">
        <v>79</v>
      </c>
      <c r="B25" s="22" t="s">
        <v>103</v>
      </c>
      <c r="C25" s="34"/>
      <c r="D25" s="35"/>
      <c r="E25" s="36"/>
      <c r="J25" s="1" t="str">
        <f t="shared" si="1"/>
        <v/>
      </c>
      <c r="K25"/>
      <c r="L25"/>
      <c r="M25"/>
      <c r="N25"/>
      <c r="O25"/>
      <c r="P25"/>
      <c r="Q25"/>
    </row>
    <row r="26" spans="1:17">
      <c r="A26" s="14" t="s">
        <v>59</v>
      </c>
      <c r="B26" s="22" t="s">
        <v>104</v>
      </c>
      <c r="C26" s="34"/>
      <c r="D26" s="35"/>
      <c r="E26" s="36"/>
      <c r="J26" s="1" t="str">
        <f t="shared" si="1"/>
        <v/>
      </c>
      <c r="K26"/>
      <c r="L26"/>
      <c r="M26"/>
      <c r="N26"/>
      <c r="O26"/>
      <c r="P26"/>
      <c r="Q26"/>
    </row>
    <row r="27" spans="1:17">
      <c r="A27" s="1" t="s">
        <v>124</v>
      </c>
      <c r="B27" s="22" t="s">
        <v>155</v>
      </c>
      <c r="C27" s="34"/>
      <c r="D27" s="35"/>
      <c r="E27" s="36"/>
      <c r="J27" s="1" t="str">
        <f t="shared" si="1"/>
        <v/>
      </c>
      <c r="K27"/>
      <c r="L27"/>
      <c r="M27"/>
      <c r="N27"/>
      <c r="O27"/>
      <c r="P27"/>
      <c r="Q27"/>
    </row>
    <row r="28" spans="1:17">
      <c r="A28" s="1" t="s">
        <v>125</v>
      </c>
      <c r="B28" s="22" t="s">
        <v>155</v>
      </c>
      <c r="C28" s="34"/>
      <c r="D28" s="35"/>
      <c r="E28" s="36"/>
      <c r="J28" s="1" t="str">
        <f t="shared" si="1"/>
        <v/>
      </c>
      <c r="K28"/>
      <c r="L28"/>
      <c r="M28"/>
      <c r="N28"/>
      <c r="O28"/>
      <c r="P28"/>
      <c r="Q28"/>
    </row>
    <row r="29" spans="1:17">
      <c r="A29" s="1" t="s">
        <v>126</v>
      </c>
      <c r="B29" s="22" t="s">
        <v>155</v>
      </c>
      <c r="C29" s="34"/>
      <c r="D29" s="35"/>
      <c r="E29" s="36"/>
      <c r="J29" s="1" t="str">
        <f t="shared" si="1"/>
        <v/>
      </c>
      <c r="K29"/>
      <c r="L29"/>
      <c r="M29"/>
      <c r="N29"/>
      <c r="O29"/>
      <c r="P29"/>
      <c r="Q29"/>
    </row>
    <row r="30" spans="1:17">
      <c r="A30" s="1" t="s">
        <v>127</v>
      </c>
      <c r="B30" s="22" t="s">
        <v>155</v>
      </c>
      <c r="C30" s="34"/>
      <c r="D30" s="35"/>
      <c r="E30" s="36"/>
      <c r="J30" s="1" t="str">
        <f t="shared" si="1"/>
        <v/>
      </c>
      <c r="K30"/>
      <c r="L30"/>
      <c r="M30"/>
      <c r="N30"/>
      <c r="O30"/>
      <c r="P30"/>
      <c r="Q30"/>
    </row>
    <row r="31" spans="1:17">
      <c r="A31" s="1" t="s">
        <v>128</v>
      </c>
      <c r="B31" s="22" t="s">
        <v>155</v>
      </c>
      <c r="C31" s="34"/>
      <c r="D31" s="35"/>
      <c r="E31" s="36"/>
      <c r="J31" s="1" t="str">
        <f t="shared" si="1"/>
        <v/>
      </c>
      <c r="K31"/>
      <c r="L31"/>
      <c r="M31"/>
      <c r="N31"/>
      <c r="O31"/>
      <c r="P31"/>
      <c r="Q31"/>
    </row>
    <row r="32" spans="1:17">
      <c r="A32" s="1" t="s">
        <v>129</v>
      </c>
      <c r="B32" s="22" t="s">
        <v>155</v>
      </c>
      <c r="C32" s="34"/>
      <c r="D32" s="35"/>
      <c r="E32" s="36"/>
      <c r="J32" s="1" t="str">
        <f t="shared" si="1"/>
        <v/>
      </c>
      <c r="K32"/>
      <c r="L32"/>
      <c r="M32"/>
      <c r="N32"/>
      <c r="O32"/>
      <c r="P32"/>
      <c r="Q32"/>
    </row>
    <row r="33" spans="1:17">
      <c r="A33" s="1" t="s">
        <v>130</v>
      </c>
      <c r="B33" s="22" t="s">
        <v>155</v>
      </c>
      <c r="J33" s="1" t="str">
        <f t="shared" si="1"/>
        <v/>
      </c>
      <c r="K33"/>
      <c r="L33"/>
      <c r="M33"/>
      <c r="N33"/>
      <c r="O33"/>
      <c r="P33"/>
      <c r="Q33"/>
    </row>
    <row r="34" spans="1:17">
      <c r="A34" s="1" t="s">
        <v>131</v>
      </c>
      <c r="B34" s="22" t="s">
        <v>155</v>
      </c>
      <c r="D34" s="37" t="s">
        <v>164</v>
      </c>
      <c r="J34" s="1" t="str">
        <f t="shared" si="1"/>
        <v/>
      </c>
      <c r="K34"/>
      <c r="L34"/>
      <c r="M34"/>
      <c r="N34"/>
      <c r="O34"/>
      <c r="P34"/>
      <c r="Q34"/>
    </row>
    <row r="35" spans="1:17">
      <c r="A35" s="1" t="s">
        <v>132</v>
      </c>
      <c r="B35" s="22" t="s">
        <v>155</v>
      </c>
      <c r="J35" s="1" t="str">
        <f t="shared" si="1"/>
        <v/>
      </c>
      <c r="K35"/>
      <c r="L35"/>
      <c r="M35"/>
      <c r="N35"/>
      <c r="O35"/>
      <c r="P35"/>
      <c r="Q35"/>
    </row>
    <row r="36" spans="1:17">
      <c r="A36" s="1" t="s">
        <v>133</v>
      </c>
      <c r="B36" s="22" t="s">
        <v>155</v>
      </c>
      <c r="J36" s="1" t="str">
        <f t="shared" si="1"/>
        <v/>
      </c>
      <c r="K36"/>
      <c r="L36"/>
      <c r="M36"/>
      <c r="N36"/>
      <c r="O36"/>
      <c r="P36"/>
      <c r="Q36"/>
    </row>
    <row r="37" spans="1:17">
      <c r="A37" s="1" t="s">
        <v>134</v>
      </c>
      <c r="B37" s="22" t="s">
        <v>155</v>
      </c>
      <c r="J37" s="1" t="str">
        <f t="shared" si="1"/>
        <v/>
      </c>
      <c r="K37"/>
      <c r="L37"/>
      <c r="M37"/>
      <c r="N37"/>
      <c r="O37"/>
      <c r="P37"/>
      <c r="Q37"/>
    </row>
    <row r="38" spans="1:17">
      <c r="A38" s="1" t="s">
        <v>135</v>
      </c>
      <c r="B38" s="22" t="s">
        <v>155</v>
      </c>
      <c r="J38" s="1" t="str">
        <f t="shared" ref="J38:J54" si="4">IF(K38&lt;&gt;"",IF(K38=K37,J37+1,1),"")</f>
        <v/>
      </c>
      <c r="K38"/>
      <c r="L38"/>
      <c r="M38"/>
      <c r="N38"/>
      <c r="O38"/>
      <c r="P38"/>
      <c r="Q38"/>
    </row>
    <row r="39" spans="1:17">
      <c r="A39" s="1" t="s">
        <v>136</v>
      </c>
      <c r="B39" s="22" t="s">
        <v>155</v>
      </c>
      <c r="J39" s="1" t="str">
        <f t="shared" si="4"/>
        <v/>
      </c>
      <c r="K39"/>
      <c r="L39"/>
      <c r="M39"/>
      <c r="N39"/>
      <c r="O39"/>
      <c r="P39"/>
      <c r="Q39"/>
    </row>
    <row r="40" spans="1:17">
      <c r="A40" s="1" t="s">
        <v>137</v>
      </c>
      <c r="B40" s="22" t="s">
        <v>155</v>
      </c>
      <c r="J40" s="1" t="str">
        <f t="shared" si="4"/>
        <v/>
      </c>
      <c r="K40"/>
      <c r="L40"/>
      <c r="M40"/>
      <c r="N40"/>
      <c r="O40"/>
      <c r="P40"/>
      <c r="Q40"/>
    </row>
    <row r="41" spans="1:17">
      <c r="A41" s="1" t="s">
        <v>138</v>
      </c>
      <c r="B41" s="22" t="s">
        <v>155</v>
      </c>
      <c r="J41" s="1" t="str">
        <f t="shared" si="4"/>
        <v/>
      </c>
      <c r="K41"/>
      <c r="L41"/>
      <c r="M41"/>
      <c r="N41"/>
      <c r="O41"/>
      <c r="P41"/>
      <c r="Q41"/>
    </row>
    <row r="42" spans="1:17">
      <c r="A42" s="1" t="s">
        <v>139</v>
      </c>
      <c r="B42" s="22" t="s">
        <v>155</v>
      </c>
      <c r="J42" s="1" t="str">
        <f t="shared" si="4"/>
        <v/>
      </c>
      <c r="K42"/>
      <c r="L42"/>
      <c r="M42"/>
      <c r="N42"/>
      <c r="O42"/>
      <c r="P42"/>
      <c r="Q42"/>
    </row>
    <row r="43" spans="1:17">
      <c r="A43" s="1" t="s">
        <v>140</v>
      </c>
      <c r="B43" s="22" t="s">
        <v>155</v>
      </c>
      <c r="J43" s="1" t="str">
        <f t="shared" si="4"/>
        <v/>
      </c>
      <c r="K43"/>
      <c r="L43"/>
      <c r="M43"/>
      <c r="N43"/>
      <c r="O43"/>
      <c r="P43"/>
      <c r="Q43"/>
    </row>
    <row r="44" spans="1:17">
      <c r="A44" s="1" t="s">
        <v>141</v>
      </c>
      <c r="B44" s="22" t="s">
        <v>155</v>
      </c>
      <c r="J44" s="1" t="str">
        <f t="shared" si="4"/>
        <v/>
      </c>
      <c r="K44"/>
      <c r="L44"/>
      <c r="M44"/>
      <c r="N44"/>
      <c r="O44"/>
      <c r="P44"/>
      <c r="Q44"/>
    </row>
    <row r="45" spans="1:17">
      <c r="A45" s="1" t="s">
        <v>142</v>
      </c>
      <c r="B45" s="22" t="s">
        <v>155</v>
      </c>
      <c r="J45" s="1" t="str">
        <f t="shared" si="4"/>
        <v/>
      </c>
      <c r="K45"/>
      <c r="L45"/>
      <c r="M45"/>
      <c r="N45"/>
      <c r="O45"/>
      <c r="P45"/>
      <c r="Q45"/>
    </row>
    <row r="46" spans="1:17">
      <c r="A46" s="1" t="s">
        <v>143</v>
      </c>
      <c r="B46" s="22" t="s">
        <v>155</v>
      </c>
      <c r="J46" s="1" t="str">
        <f t="shared" si="4"/>
        <v/>
      </c>
      <c r="K46"/>
      <c r="L46"/>
      <c r="M46"/>
      <c r="N46"/>
      <c r="O46"/>
      <c r="P46"/>
      <c r="Q46"/>
    </row>
    <row r="47" spans="1:17">
      <c r="A47" s="1" t="s">
        <v>144</v>
      </c>
      <c r="B47" s="22" t="s">
        <v>155</v>
      </c>
      <c r="J47" s="1" t="str">
        <f t="shared" si="4"/>
        <v/>
      </c>
      <c r="K47"/>
      <c r="L47"/>
      <c r="M47"/>
      <c r="N47"/>
      <c r="O47"/>
      <c r="P47"/>
      <c r="Q47"/>
    </row>
    <row r="48" spans="1:17">
      <c r="A48" s="1" t="s">
        <v>145</v>
      </c>
      <c r="B48" s="22" t="s">
        <v>155</v>
      </c>
      <c r="J48" s="1" t="str">
        <f t="shared" si="4"/>
        <v/>
      </c>
      <c r="K48"/>
      <c r="L48"/>
      <c r="M48"/>
      <c r="N48"/>
      <c r="O48"/>
      <c r="P48"/>
      <c r="Q48"/>
    </row>
    <row r="49" spans="1:17">
      <c r="A49" s="1" t="s">
        <v>146</v>
      </c>
      <c r="B49" s="22" t="s">
        <v>155</v>
      </c>
      <c r="J49" s="1" t="str">
        <f t="shared" si="4"/>
        <v/>
      </c>
      <c r="K49"/>
      <c r="L49"/>
      <c r="M49"/>
      <c r="N49"/>
      <c r="O49"/>
      <c r="P49"/>
      <c r="Q49"/>
    </row>
    <row r="50" spans="1:17">
      <c r="A50" s="1" t="s">
        <v>147</v>
      </c>
      <c r="B50" s="22" t="s">
        <v>155</v>
      </c>
      <c r="J50" s="1" t="str">
        <f t="shared" si="4"/>
        <v/>
      </c>
      <c r="K50"/>
      <c r="L50"/>
      <c r="M50"/>
    </row>
    <row r="51" spans="1:17">
      <c r="A51" s="1" t="s">
        <v>148</v>
      </c>
      <c r="B51" s="22" t="s">
        <v>155</v>
      </c>
      <c r="J51" s="1" t="str">
        <f t="shared" si="4"/>
        <v/>
      </c>
      <c r="K51"/>
      <c r="L51"/>
      <c r="M51"/>
    </row>
    <row r="52" spans="1:17">
      <c r="A52" s="1" t="s">
        <v>149</v>
      </c>
      <c r="B52" s="22" t="s">
        <v>155</v>
      </c>
      <c r="J52" s="1" t="str">
        <f t="shared" si="4"/>
        <v/>
      </c>
      <c r="K52"/>
    </row>
    <row r="53" spans="1:17">
      <c r="A53" s="1" t="s">
        <v>150</v>
      </c>
      <c r="B53" s="22" t="s">
        <v>155</v>
      </c>
      <c r="J53" s="1" t="str">
        <f t="shared" si="4"/>
        <v/>
      </c>
    </row>
    <row r="54" spans="1:17">
      <c r="A54" s="1" t="s">
        <v>151</v>
      </c>
      <c r="B54" s="22" t="s">
        <v>155</v>
      </c>
      <c r="J54" s="1" t="str">
        <f t="shared" si="4"/>
        <v/>
      </c>
    </row>
    <row r="55" spans="1:17">
      <c r="A55" s="1" t="s">
        <v>152</v>
      </c>
      <c r="B55" s="22" t="s">
        <v>155</v>
      </c>
    </row>
    <row r="56" spans="1:17">
      <c r="A56" s="1" t="s">
        <v>153</v>
      </c>
      <c r="B56" s="22" t="s">
        <v>155</v>
      </c>
    </row>
    <row r="57" spans="1:17">
      <c r="A57" s="1" t="s">
        <v>154</v>
      </c>
      <c r="B57" s="22" t="s">
        <v>155</v>
      </c>
    </row>
    <row r="58" spans="1:17">
      <c r="A58" s="38" t="s">
        <v>168</v>
      </c>
      <c r="B58" s="22" t="s">
        <v>155</v>
      </c>
    </row>
  </sheetData>
  <pageMargins left="0.511811024" right="0.511811024" top="0.78740157499999996" bottom="0.78740157499999996" header="0.31496062000000002" footer="0.31496062000000002"/>
  <pageSetup orientation="portrait" r:id="rId2"/>
  <customProperties>
    <customPr name="EpmWorksheetKeyString_GUID" r:id="rId3"/>
  </customProperties>
  <legacyDrawing r:id="rId4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2"/>
  <dimension ref="A1:R63"/>
  <sheetViews>
    <sheetView tabSelected="1" workbookViewId="0">
      <selection activeCell="F11" sqref="F11"/>
    </sheetView>
  </sheetViews>
  <sheetFormatPr defaultColWidth="13.140625" defaultRowHeight="15"/>
  <cols>
    <col min="1" max="4" width="13.140625" style="1"/>
    <col min="5" max="5" width="20" style="1" customWidth="1"/>
    <col min="6" max="6" width="17.5703125" style="1" bestFit="1" customWidth="1"/>
    <col min="7" max="11" width="13.140625" style="1"/>
    <col min="12" max="12" width="13.140625" style="20"/>
    <col min="13" max="15" width="13.140625" style="1"/>
    <col min="16" max="16" width="14.85546875" style="19" bestFit="1" customWidth="1"/>
    <col min="17" max="17" width="32.140625" style="19" bestFit="1" customWidth="1"/>
    <col min="18" max="18" width="13.7109375" style="19" bestFit="1" customWidth="1"/>
    <col min="19" max="16384" width="13.140625" style="1"/>
  </cols>
  <sheetData>
    <row r="1" spans="1:17">
      <c r="A1" s="1" t="s">
        <v>111</v>
      </c>
      <c r="F1" s="3" t="s">
        <v>44</v>
      </c>
    </row>
    <row r="2" spans="1:17">
      <c r="H2" s="2" t="s">
        <v>45</v>
      </c>
    </row>
    <row r="3" spans="1:17">
      <c r="A3" s="4" t="s">
        <v>112</v>
      </c>
      <c r="E3" s="2" t="s">
        <v>113</v>
      </c>
      <c r="O3" s="5" t="s">
        <v>114</v>
      </c>
    </row>
    <row r="4" spans="1:17">
      <c r="A4" s="4" t="s">
        <v>46</v>
      </c>
      <c r="B4" s="18" t="s">
        <v>115</v>
      </c>
      <c r="C4" s="21" t="str">
        <f>B10</f>
        <v>06315338001603</v>
      </c>
    </row>
    <row r="5" spans="1:17">
      <c r="A5" s="4" t="s">
        <v>47</v>
      </c>
      <c r="B5" s="18" t="s">
        <v>116</v>
      </c>
    </row>
    <row r="6" spans="1:17">
      <c r="A6" s="4" t="s">
        <v>48</v>
      </c>
      <c r="B6" s="18" t="s">
        <v>117</v>
      </c>
    </row>
    <row r="7" spans="1:17">
      <c r="A7" s="4" t="s">
        <v>49</v>
      </c>
      <c r="B7" s="24" t="s">
        <v>186</v>
      </c>
      <c r="C7" s="39" t="str">
        <f>VLOOKUP(B7,BASE!D:E,2,0)</f>
        <v>81.072.399/0002-07</v>
      </c>
      <c r="E7" s="9" t="s">
        <v>118</v>
      </c>
      <c r="F7" s="1" t="str">
        <f>BASE!P1</f>
        <v>01.258.944/0005-50</v>
      </c>
    </row>
    <row r="8" spans="1:17">
      <c r="A8" s="4" t="s">
        <v>50</v>
      </c>
      <c r="B8" s="18" t="s">
        <v>120</v>
      </c>
    </row>
    <row r="9" spans="1:17">
      <c r="A9" s="4" t="s">
        <v>51</v>
      </c>
      <c r="C9" s="5" t="s">
        <v>52</v>
      </c>
      <c r="D9" s="5" t="s">
        <v>53</v>
      </c>
      <c r="E9" s="5" t="s">
        <v>54</v>
      </c>
      <c r="F9" s="3" t="s">
        <v>55</v>
      </c>
      <c r="G9" s="3" t="s">
        <v>56</v>
      </c>
      <c r="H9" s="3" t="s">
        <v>57</v>
      </c>
      <c r="J9" s="3" t="s">
        <v>58</v>
      </c>
      <c r="K9" s="3" t="s">
        <v>121</v>
      </c>
      <c r="L9" s="17" t="s">
        <v>0</v>
      </c>
      <c r="N9" s="5" t="s">
        <v>58</v>
      </c>
      <c r="O9" s="3" t="s">
        <v>122</v>
      </c>
      <c r="Q9" s="19" t="s">
        <v>123</v>
      </c>
    </row>
    <row r="10" spans="1:17">
      <c r="A10" s="22" t="str">
        <f>VLOOKUP(B10,BASE!A:B,2,0)</f>
        <v>INFORMAR NOBLE</v>
      </c>
      <c r="B10" s="27" t="str">
        <f>BASE!N1</f>
        <v>06315338001603</v>
      </c>
    </row>
    <row r="11" spans="1:17">
      <c r="A11" s="1" t="s">
        <v>250</v>
      </c>
      <c r="C11" s="48">
        <v>68880</v>
      </c>
      <c r="D11" s="48">
        <v>19520</v>
      </c>
      <c r="E11" s="48">
        <v>49360</v>
      </c>
      <c r="F11" s="50" t="s">
        <v>210</v>
      </c>
      <c r="J11" s="48">
        <v>28380</v>
      </c>
      <c r="K11" s="1">
        <v>0</v>
      </c>
      <c r="L11" s="53">
        <v>69639</v>
      </c>
      <c r="M11" s="48" t="s">
        <v>176</v>
      </c>
      <c r="N11" s="52">
        <v>28380</v>
      </c>
      <c r="O11" s="1" t="s">
        <v>185</v>
      </c>
    </row>
    <row r="12" spans="1:17">
      <c r="A12" s="1" t="s">
        <v>250</v>
      </c>
      <c r="C12" s="48">
        <v>68880</v>
      </c>
      <c r="D12" s="48">
        <v>19520</v>
      </c>
      <c r="E12" s="48">
        <v>49360</v>
      </c>
      <c r="F12" s="50" t="s">
        <v>210</v>
      </c>
      <c r="J12" s="48">
        <v>20980</v>
      </c>
      <c r="K12" s="1">
        <v>0</v>
      </c>
      <c r="L12" s="53">
        <v>69640</v>
      </c>
      <c r="M12" s="48" t="s">
        <v>176</v>
      </c>
      <c r="N12" s="52">
        <v>20980</v>
      </c>
      <c r="O12" s="1" t="s">
        <v>185</v>
      </c>
    </row>
    <row r="13" spans="1:17">
      <c r="A13" s="1" t="s">
        <v>251</v>
      </c>
      <c r="C13" s="48">
        <v>75460</v>
      </c>
      <c r="D13" s="48">
        <v>19810</v>
      </c>
      <c r="E13" s="48">
        <v>55650</v>
      </c>
      <c r="F13" s="50" t="s">
        <v>189</v>
      </c>
      <c r="J13" s="48">
        <v>15269</v>
      </c>
      <c r="K13" s="1">
        <v>0</v>
      </c>
      <c r="L13" s="53">
        <v>69640</v>
      </c>
      <c r="M13" s="48" t="s">
        <v>176</v>
      </c>
      <c r="N13" s="52">
        <v>15269</v>
      </c>
      <c r="O13" s="1" t="s">
        <v>185</v>
      </c>
    </row>
    <row r="14" spans="1:17">
      <c r="A14" s="1" t="s">
        <v>251</v>
      </c>
      <c r="C14" s="48">
        <v>75460</v>
      </c>
      <c r="D14" s="48">
        <v>19810</v>
      </c>
      <c r="E14" s="48">
        <v>55650</v>
      </c>
      <c r="F14" s="50" t="s">
        <v>189</v>
      </c>
      <c r="J14" s="48">
        <v>36927</v>
      </c>
      <c r="K14" s="1">
        <v>0</v>
      </c>
      <c r="L14" s="53">
        <v>69641</v>
      </c>
      <c r="M14" s="48" t="s">
        <v>176</v>
      </c>
      <c r="N14" s="52">
        <v>36927</v>
      </c>
      <c r="O14" s="1" t="s">
        <v>185</v>
      </c>
    </row>
    <row r="15" spans="1:17">
      <c r="A15" s="1" t="s">
        <v>251</v>
      </c>
      <c r="C15" s="48">
        <v>75460</v>
      </c>
      <c r="D15" s="48">
        <v>19810</v>
      </c>
      <c r="E15" s="48">
        <v>55650</v>
      </c>
      <c r="F15" s="50" t="s">
        <v>189</v>
      </c>
      <c r="J15" s="48">
        <v>3454</v>
      </c>
      <c r="K15" s="1">
        <v>0</v>
      </c>
      <c r="L15" s="53">
        <v>69642</v>
      </c>
      <c r="M15" s="48" t="s">
        <v>176</v>
      </c>
      <c r="N15" s="52">
        <v>3454</v>
      </c>
      <c r="O15" s="1" t="s">
        <v>185</v>
      </c>
    </row>
    <row r="16" spans="1:17">
      <c r="A16" s="1" t="s">
        <v>252</v>
      </c>
      <c r="C16" s="48">
        <v>73340</v>
      </c>
      <c r="D16" s="48">
        <v>19620</v>
      </c>
      <c r="E16" s="48">
        <v>53720</v>
      </c>
      <c r="F16" s="50" t="s">
        <v>189</v>
      </c>
      <c r="J16" s="48">
        <v>33773</v>
      </c>
      <c r="K16" s="1">
        <v>0</v>
      </c>
      <c r="L16" s="53">
        <v>69642</v>
      </c>
      <c r="M16" s="48" t="s">
        <v>176</v>
      </c>
      <c r="N16" s="52">
        <v>33773</v>
      </c>
      <c r="O16" s="1" t="s">
        <v>185</v>
      </c>
    </row>
    <row r="17" spans="1:15">
      <c r="A17" s="1" t="s">
        <v>252</v>
      </c>
      <c r="C17" s="48">
        <v>73340</v>
      </c>
      <c r="D17" s="48">
        <v>19620</v>
      </c>
      <c r="E17" s="48">
        <v>53720</v>
      </c>
      <c r="F17" s="50" t="s">
        <v>189</v>
      </c>
      <c r="J17" s="48">
        <v>19947</v>
      </c>
      <c r="K17" s="1">
        <v>0</v>
      </c>
      <c r="L17" s="53">
        <v>69643</v>
      </c>
      <c r="M17" s="48" t="s">
        <v>176</v>
      </c>
      <c r="N17" s="52">
        <v>19947</v>
      </c>
      <c r="O17" s="1" t="s">
        <v>185</v>
      </c>
    </row>
    <row r="18" spans="1:15">
      <c r="A18" s="1" t="s">
        <v>253</v>
      </c>
      <c r="C18" s="48">
        <v>78660</v>
      </c>
      <c r="D18" s="48">
        <v>18720</v>
      </c>
      <c r="E18" s="48">
        <v>59940</v>
      </c>
      <c r="F18" s="50" t="s">
        <v>189</v>
      </c>
      <c r="J18" s="48">
        <v>16442</v>
      </c>
      <c r="K18" s="1">
        <v>0</v>
      </c>
      <c r="L18" s="53">
        <v>69643</v>
      </c>
      <c r="M18" s="48" t="s">
        <v>176</v>
      </c>
      <c r="N18" s="52">
        <v>16442</v>
      </c>
      <c r="O18" s="1" t="s">
        <v>185</v>
      </c>
    </row>
    <row r="19" spans="1:15">
      <c r="A19" s="1" t="s">
        <v>253</v>
      </c>
      <c r="C19" s="48">
        <v>78660</v>
      </c>
      <c r="D19" s="48">
        <v>18720</v>
      </c>
      <c r="E19" s="48">
        <v>59940</v>
      </c>
      <c r="F19" s="50" t="s">
        <v>189</v>
      </c>
      <c r="J19" s="48">
        <v>37167</v>
      </c>
      <c r="K19" s="1">
        <v>0</v>
      </c>
      <c r="L19" s="53">
        <v>69644</v>
      </c>
      <c r="M19" s="48" t="s">
        <v>176</v>
      </c>
      <c r="N19" s="52">
        <v>37167</v>
      </c>
      <c r="O19" s="1" t="s">
        <v>185</v>
      </c>
    </row>
    <row r="20" spans="1:15">
      <c r="A20" s="1" t="s">
        <v>253</v>
      </c>
      <c r="C20" s="48">
        <v>78660</v>
      </c>
      <c r="D20" s="48">
        <v>18720</v>
      </c>
      <c r="E20" s="48">
        <v>59940</v>
      </c>
      <c r="F20" s="50" t="s">
        <v>189</v>
      </c>
      <c r="J20" s="48">
        <v>6331</v>
      </c>
      <c r="K20" s="1">
        <v>0</v>
      </c>
      <c r="L20" s="53">
        <v>69645</v>
      </c>
      <c r="M20" s="48" t="s">
        <v>176</v>
      </c>
      <c r="N20" s="52">
        <v>6331</v>
      </c>
      <c r="O20" s="1" t="s">
        <v>185</v>
      </c>
    </row>
    <row r="21" spans="1:15">
      <c r="A21" s="1" t="s">
        <v>254</v>
      </c>
      <c r="C21" s="48">
        <v>79420</v>
      </c>
      <c r="D21" s="48">
        <v>19100</v>
      </c>
      <c r="E21" s="48">
        <v>60320</v>
      </c>
      <c r="F21" s="50" t="s">
        <v>189</v>
      </c>
      <c r="J21" s="48">
        <v>29340</v>
      </c>
      <c r="K21" s="1">
        <v>0</v>
      </c>
      <c r="L21" s="53">
        <v>69645</v>
      </c>
      <c r="M21" s="48" t="s">
        <v>176</v>
      </c>
      <c r="N21" s="52">
        <v>29340</v>
      </c>
      <c r="O21" s="1" t="s">
        <v>185</v>
      </c>
    </row>
    <row r="22" spans="1:15">
      <c r="A22" s="1" t="s">
        <v>254</v>
      </c>
      <c r="C22" s="48">
        <v>79420</v>
      </c>
      <c r="D22" s="48">
        <v>19100</v>
      </c>
      <c r="E22" s="48">
        <v>60320</v>
      </c>
      <c r="F22" s="50" t="s">
        <v>189</v>
      </c>
      <c r="J22" s="48">
        <v>30980</v>
      </c>
      <c r="K22" s="1">
        <v>0</v>
      </c>
      <c r="L22" s="53">
        <v>69646</v>
      </c>
      <c r="M22" s="48" t="s">
        <v>176</v>
      </c>
      <c r="N22" s="52">
        <v>30980</v>
      </c>
      <c r="O22" s="1" t="s">
        <v>185</v>
      </c>
    </row>
    <row r="23" spans="1:15">
      <c r="A23" s="1" t="s">
        <v>255</v>
      </c>
      <c r="C23" s="48">
        <v>77210</v>
      </c>
      <c r="D23" s="48">
        <v>18090</v>
      </c>
      <c r="E23" s="48">
        <v>59120</v>
      </c>
      <c r="F23" s="50" t="s">
        <v>189</v>
      </c>
      <c r="J23" s="48">
        <v>6247</v>
      </c>
      <c r="K23" s="1">
        <v>0</v>
      </c>
      <c r="L23" s="53">
        <v>69646</v>
      </c>
      <c r="M23" s="48" t="s">
        <v>176</v>
      </c>
      <c r="N23" s="52">
        <v>6247</v>
      </c>
      <c r="O23" s="1" t="s">
        <v>185</v>
      </c>
    </row>
    <row r="24" spans="1:15">
      <c r="A24" s="1" t="s">
        <v>255</v>
      </c>
      <c r="C24" s="48">
        <v>77210</v>
      </c>
      <c r="D24" s="48">
        <v>18090</v>
      </c>
      <c r="E24" s="48">
        <v>59120</v>
      </c>
      <c r="F24" s="50" t="s">
        <v>189</v>
      </c>
      <c r="J24" s="48">
        <v>26134</v>
      </c>
      <c r="K24" s="1">
        <v>0</v>
      </c>
      <c r="L24" s="53">
        <v>69763</v>
      </c>
      <c r="M24" s="48" t="s">
        <v>176</v>
      </c>
      <c r="N24" s="52">
        <v>26134</v>
      </c>
      <c r="O24" s="1" t="s">
        <v>185</v>
      </c>
    </row>
    <row r="25" spans="1:15">
      <c r="A25" s="1" t="s">
        <v>255</v>
      </c>
      <c r="C25" s="48">
        <v>77210</v>
      </c>
      <c r="D25" s="48">
        <v>18090</v>
      </c>
      <c r="E25" s="48">
        <v>59120</v>
      </c>
      <c r="F25" s="50" t="s">
        <v>189</v>
      </c>
      <c r="J25" s="48">
        <v>17356</v>
      </c>
      <c r="K25" s="1">
        <v>0</v>
      </c>
      <c r="L25" s="53">
        <v>69764</v>
      </c>
      <c r="M25" s="48" t="s">
        <v>176</v>
      </c>
      <c r="N25" s="52">
        <v>17356</v>
      </c>
      <c r="O25" s="1" t="s">
        <v>185</v>
      </c>
    </row>
    <row r="26" spans="1:15">
      <c r="A26" s="1" t="s">
        <v>255</v>
      </c>
      <c r="C26" s="48">
        <v>77210</v>
      </c>
      <c r="D26" s="48">
        <v>18090</v>
      </c>
      <c r="E26" s="48">
        <v>59120</v>
      </c>
      <c r="F26" s="50" t="s">
        <v>189</v>
      </c>
      <c r="J26" s="48">
        <v>9383</v>
      </c>
      <c r="K26" s="1">
        <v>0</v>
      </c>
      <c r="L26" s="53">
        <v>69765</v>
      </c>
      <c r="M26" s="48" t="s">
        <v>176</v>
      </c>
      <c r="N26" s="52">
        <v>9383</v>
      </c>
      <c r="O26" s="1" t="s">
        <v>185</v>
      </c>
    </row>
    <row r="27" spans="1:15">
      <c r="A27" s="1" t="s">
        <v>256</v>
      </c>
      <c r="C27" s="48">
        <v>68860</v>
      </c>
      <c r="D27" s="48">
        <v>18650</v>
      </c>
      <c r="E27" s="48">
        <v>50210</v>
      </c>
      <c r="F27" s="50" t="s">
        <v>189</v>
      </c>
      <c r="J27" s="48">
        <v>25430</v>
      </c>
      <c r="K27" s="1">
        <v>0</v>
      </c>
      <c r="L27" s="53">
        <v>69765</v>
      </c>
      <c r="M27" s="48" t="s">
        <v>176</v>
      </c>
      <c r="N27" s="52">
        <v>25430</v>
      </c>
      <c r="O27" s="1" t="s">
        <v>185</v>
      </c>
    </row>
    <row r="28" spans="1:15">
      <c r="A28" s="1" t="s">
        <v>256</v>
      </c>
      <c r="C28" s="48">
        <v>68860</v>
      </c>
      <c r="D28" s="48">
        <v>18650</v>
      </c>
      <c r="E28" s="48">
        <v>50210</v>
      </c>
      <c r="F28" s="50" t="s">
        <v>189</v>
      </c>
      <c r="J28" s="48">
        <v>24780</v>
      </c>
      <c r="K28" s="1">
        <v>0</v>
      </c>
      <c r="L28" s="53">
        <v>69766</v>
      </c>
      <c r="M28" s="48" t="s">
        <v>176</v>
      </c>
      <c r="N28" s="52">
        <v>24780</v>
      </c>
      <c r="O28" s="1" t="s">
        <v>185</v>
      </c>
    </row>
    <row r="29" spans="1:15">
      <c r="A29" s="1" t="s">
        <v>257</v>
      </c>
      <c r="C29" s="48">
        <v>70690</v>
      </c>
      <c r="D29" s="48">
        <v>17980</v>
      </c>
      <c r="E29" s="48">
        <v>52710</v>
      </c>
      <c r="F29" s="50" t="s">
        <v>189</v>
      </c>
      <c r="J29" s="48">
        <v>10232</v>
      </c>
      <c r="K29" s="1">
        <v>0</v>
      </c>
      <c r="L29" s="53">
        <v>69766</v>
      </c>
      <c r="M29" s="48" t="s">
        <v>176</v>
      </c>
      <c r="N29" s="52">
        <v>10232</v>
      </c>
      <c r="O29" s="1" t="s">
        <v>185</v>
      </c>
    </row>
    <row r="30" spans="1:15">
      <c r="A30" s="1" t="s">
        <v>257</v>
      </c>
      <c r="C30" s="48">
        <v>70690</v>
      </c>
      <c r="D30" s="48">
        <v>17980</v>
      </c>
      <c r="E30" s="48">
        <v>52710</v>
      </c>
      <c r="F30" s="50" t="s">
        <v>189</v>
      </c>
      <c r="J30" s="48">
        <v>41795</v>
      </c>
      <c r="K30" s="1">
        <v>0</v>
      </c>
      <c r="L30" s="53">
        <v>69767</v>
      </c>
      <c r="M30" s="48" t="s">
        <v>176</v>
      </c>
      <c r="N30" s="52">
        <v>41795</v>
      </c>
      <c r="O30" s="1" t="s">
        <v>185</v>
      </c>
    </row>
    <row r="31" spans="1:15">
      <c r="A31" s="1" t="s">
        <v>257</v>
      </c>
      <c r="C31" s="48">
        <v>70690</v>
      </c>
      <c r="D31" s="48">
        <v>17980</v>
      </c>
      <c r="E31" s="48">
        <v>52710</v>
      </c>
      <c r="F31" s="50" t="s">
        <v>189</v>
      </c>
      <c r="J31" s="48">
        <v>683</v>
      </c>
      <c r="K31" s="1">
        <v>0</v>
      </c>
      <c r="L31" s="53">
        <v>69859</v>
      </c>
      <c r="M31" s="48" t="s">
        <v>176</v>
      </c>
      <c r="N31" s="52">
        <v>683</v>
      </c>
      <c r="O31" s="1" t="s">
        <v>185</v>
      </c>
    </row>
    <row r="32" spans="1:15">
      <c r="A32" s="1" t="s">
        <v>258</v>
      </c>
      <c r="C32" s="48">
        <v>76570</v>
      </c>
      <c r="D32" s="48">
        <v>20480</v>
      </c>
      <c r="E32" s="48">
        <v>56090</v>
      </c>
      <c r="F32" s="50" t="s">
        <v>189</v>
      </c>
      <c r="J32" s="48">
        <v>31277</v>
      </c>
      <c r="K32" s="1">
        <v>0</v>
      </c>
      <c r="L32" s="53">
        <v>69859</v>
      </c>
      <c r="M32" s="48" t="s">
        <v>176</v>
      </c>
      <c r="N32" s="52">
        <v>31277</v>
      </c>
      <c r="O32" s="1" t="s">
        <v>185</v>
      </c>
    </row>
    <row r="33" spans="1:15">
      <c r="A33" s="1" t="s">
        <v>258</v>
      </c>
      <c r="C33" s="48">
        <v>76570</v>
      </c>
      <c r="D33" s="48">
        <v>20480</v>
      </c>
      <c r="E33" s="48">
        <v>56090</v>
      </c>
      <c r="F33" s="50" t="s">
        <v>189</v>
      </c>
      <c r="J33" s="48">
        <v>24813</v>
      </c>
      <c r="K33" s="1">
        <v>0</v>
      </c>
      <c r="L33" s="53">
        <v>69860</v>
      </c>
      <c r="M33" s="48" t="s">
        <v>176</v>
      </c>
      <c r="N33" s="52">
        <v>24813</v>
      </c>
      <c r="O33" s="1" t="s">
        <v>185</v>
      </c>
    </row>
    <row r="34" spans="1:15">
      <c r="A34" s="1" t="s">
        <v>259</v>
      </c>
      <c r="C34" s="48">
        <v>69290</v>
      </c>
      <c r="D34" s="48">
        <v>18560</v>
      </c>
      <c r="E34" s="48">
        <v>50730</v>
      </c>
      <c r="F34" s="50" t="s">
        <v>189</v>
      </c>
      <c r="J34" s="48">
        <v>7007</v>
      </c>
      <c r="K34" s="1">
        <v>0</v>
      </c>
      <c r="L34" s="53">
        <v>69860</v>
      </c>
      <c r="M34" s="48" t="s">
        <v>176</v>
      </c>
      <c r="N34" s="52">
        <v>7007</v>
      </c>
      <c r="O34" s="1" t="s">
        <v>185</v>
      </c>
    </row>
    <row r="35" spans="1:15">
      <c r="A35" s="1" t="s">
        <v>259</v>
      </c>
      <c r="C35" s="48">
        <v>69290</v>
      </c>
      <c r="D35" s="48">
        <v>18560</v>
      </c>
      <c r="E35" s="48">
        <v>50730</v>
      </c>
      <c r="F35" s="50" t="s">
        <v>189</v>
      </c>
      <c r="J35" s="48">
        <v>31681</v>
      </c>
      <c r="K35" s="1">
        <v>0</v>
      </c>
      <c r="L35" s="53">
        <v>69861</v>
      </c>
      <c r="M35" s="48" t="s">
        <v>176</v>
      </c>
      <c r="N35" s="52">
        <v>31681</v>
      </c>
      <c r="O35" s="1" t="s">
        <v>185</v>
      </c>
    </row>
    <row r="36" spans="1:15">
      <c r="A36" s="1" t="s">
        <v>259</v>
      </c>
      <c r="C36" s="48">
        <v>69290</v>
      </c>
      <c r="D36" s="48">
        <v>18560</v>
      </c>
      <c r="E36" s="48">
        <v>50730</v>
      </c>
      <c r="F36" s="50" t="s">
        <v>189</v>
      </c>
      <c r="J36" s="48">
        <v>12042</v>
      </c>
      <c r="K36" s="1">
        <v>0</v>
      </c>
      <c r="L36" s="53">
        <v>69898</v>
      </c>
      <c r="M36" s="48" t="s">
        <v>176</v>
      </c>
      <c r="N36" s="52">
        <v>12042</v>
      </c>
      <c r="O36" s="1" t="s">
        <v>185</v>
      </c>
    </row>
    <row r="37" spans="1:15">
      <c r="A37" s="1" t="s">
        <v>260</v>
      </c>
      <c r="C37" s="48">
        <v>70240</v>
      </c>
      <c r="D37" s="48">
        <v>18380</v>
      </c>
      <c r="E37" s="48">
        <v>51860</v>
      </c>
      <c r="F37" s="50" t="s">
        <v>189</v>
      </c>
      <c r="J37" s="48">
        <v>19778</v>
      </c>
      <c r="K37" s="1">
        <v>0</v>
      </c>
      <c r="L37" s="53">
        <v>69898</v>
      </c>
      <c r="M37" s="48" t="s">
        <v>176</v>
      </c>
      <c r="N37" s="52">
        <v>19778</v>
      </c>
      <c r="O37" s="1" t="s">
        <v>185</v>
      </c>
    </row>
    <row r="38" spans="1:15">
      <c r="A38" s="1" t="s">
        <v>260</v>
      </c>
      <c r="C38" s="48">
        <v>70240</v>
      </c>
      <c r="D38" s="48">
        <v>18380</v>
      </c>
      <c r="E38" s="48">
        <v>51860</v>
      </c>
      <c r="F38" s="50" t="s">
        <v>189</v>
      </c>
      <c r="J38" s="48">
        <v>31601</v>
      </c>
      <c r="K38" s="1">
        <v>0</v>
      </c>
      <c r="L38" s="53">
        <v>69899</v>
      </c>
      <c r="M38" s="48" t="s">
        <v>176</v>
      </c>
      <c r="N38" s="52">
        <v>31601</v>
      </c>
      <c r="O38" s="1" t="s">
        <v>185</v>
      </c>
    </row>
    <row r="39" spans="1:15">
      <c r="A39" s="1" t="s">
        <v>260</v>
      </c>
      <c r="C39" s="48">
        <v>70240</v>
      </c>
      <c r="D39" s="48">
        <v>18380</v>
      </c>
      <c r="E39" s="48">
        <v>51860</v>
      </c>
      <c r="F39" s="50" t="s">
        <v>189</v>
      </c>
      <c r="J39" s="48">
        <v>481</v>
      </c>
      <c r="K39" s="1">
        <v>0</v>
      </c>
      <c r="L39" s="53">
        <v>69900</v>
      </c>
      <c r="M39" s="48" t="s">
        <v>176</v>
      </c>
      <c r="N39" s="52">
        <v>481</v>
      </c>
      <c r="O39" s="1" t="s">
        <v>185</v>
      </c>
    </row>
    <row r="40" spans="1:15">
      <c r="A40" s="1" t="s">
        <v>261</v>
      </c>
      <c r="C40" s="48">
        <v>76680</v>
      </c>
      <c r="D40" s="48">
        <v>19820</v>
      </c>
      <c r="E40" s="48">
        <v>56860</v>
      </c>
      <c r="F40" s="50" t="s">
        <v>189</v>
      </c>
      <c r="J40" s="48">
        <v>37404</v>
      </c>
      <c r="K40" s="1">
        <v>0</v>
      </c>
      <c r="L40" s="53">
        <v>69900</v>
      </c>
      <c r="M40" s="48" t="s">
        <v>176</v>
      </c>
      <c r="N40" s="52">
        <v>37404</v>
      </c>
      <c r="O40" s="1" t="s">
        <v>185</v>
      </c>
    </row>
    <row r="41" spans="1:15">
      <c r="A41" s="1" t="s">
        <v>261</v>
      </c>
      <c r="C41" s="48">
        <v>76680</v>
      </c>
      <c r="D41" s="48">
        <v>19820</v>
      </c>
      <c r="E41" s="48">
        <v>56860</v>
      </c>
      <c r="F41" s="50" t="s">
        <v>189</v>
      </c>
      <c r="J41" s="48">
        <v>19456</v>
      </c>
      <c r="K41" s="1">
        <v>0</v>
      </c>
      <c r="L41" s="53">
        <v>69901</v>
      </c>
      <c r="M41" s="48" t="s">
        <v>176</v>
      </c>
      <c r="N41" s="52">
        <v>19456</v>
      </c>
      <c r="O41" s="1" t="s">
        <v>185</v>
      </c>
    </row>
    <row r="42" spans="1:15">
      <c r="A42" s="1" t="s">
        <v>262</v>
      </c>
      <c r="C42" s="48">
        <v>77630</v>
      </c>
      <c r="D42" s="48">
        <v>18600</v>
      </c>
      <c r="E42" s="48">
        <v>59030</v>
      </c>
      <c r="F42" s="50" t="s">
        <v>189</v>
      </c>
      <c r="J42" s="48">
        <v>11965</v>
      </c>
      <c r="K42" s="1">
        <v>0</v>
      </c>
      <c r="L42" s="53">
        <v>69901</v>
      </c>
      <c r="M42" s="48" t="s">
        <v>176</v>
      </c>
      <c r="N42" s="52">
        <v>11965</v>
      </c>
      <c r="O42" s="1" t="s">
        <v>185</v>
      </c>
    </row>
    <row r="43" spans="1:15">
      <c r="A43" s="1" t="s">
        <v>262</v>
      </c>
      <c r="C43" s="48">
        <v>77630</v>
      </c>
      <c r="D43" s="48">
        <v>18600</v>
      </c>
      <c r="E43" s="48">
        <v>59030</v>
      </c>
      <c r="F43" s="50" t="s">
        <v>189</v>
      </c>
      <c r="J43" s="48">
        <v>33117</v>
      </c>
      <c r="K43" s="1">
        <v>0</v>
      </c>
      <c r="L43" s="53">
        <v>69902</v>
      </c>
      <c r="M43" s="48" t="s">
        <v>176</v>
      </c>
      <c r="N43" s="52">
        <v>33117</v>
      </c>
      <c r="O43" s="1" t="s">
        <v>185</v>
      </c>
    </row>
    <row r="44" spans="1:15">
      <c r="A44" s="1" t="s">
        <v>262</v>
      </c>
      <c r="C44" s="48">
        <v>77630</v>
      </c>
      <c r="D44" s="48">
        <v>18600</v>
      </c>
      <c r="E44" s="48">
        <v>59030</v>
      </c>
      <c r="F44" s="50" t="s">
        <v>189</v>
      </c>
      <c r="J44" s="48">
        <v>13948</v>
      </c>
      <c r="K44" s="1">
        <v>0</v>
      </c>
      <c r="L44" s="53">
        <v>69903</v>
      </c>
      <c r="M44" s="48" t="s">
        <v>176</v>
      </c>
      <c r="N44" s="52">
        <v>13948</v>
      </c>
      <c r="O44" s="1" t="s">
        <v>185</v>
      </c>
    </row>
    <row r="45" spans="1:15">
      <c r="A45" s="1" t="s">
        <v>263</v>
      </c>
      <c r="C45" s="48">
        <v>69550</v>
      </c>
      <c r="D45" s="48">
        <v>19050</v>
      </c>
      <c r="E45" s="48">
        <v>50500</v>
      </c>
      <c r="F45" s="50" t="s">
        <v>189</v>
      </c>
      <c r="J45" s="48">
        <v>20147</v>
      </c>
      <c r="K45" s="1">
        <v>0</v>
      </c>
      <c r="L45" s="53">
        <v>69903</v>
      </c>
      <c r="M45" s="48" t="s">
        <v>176</v>
      </c>
      <c r="N45" s="52">
        <v>20147</v>
      </c>
      <c r="O45" s="1" t="s">
        <v>185</v>
      </c>
    </row>
    <row r="46" spans="1:15">
      <c r="A46" s="1" t="s">
        <v>263</v>
      </c>
      <c r="C46" s="48">
        <v>69550</v>
      </c>
      <c r="D46" s="48">
        <v>19050</v>
      </c>
      <c r="E46" s="48">
        <v>50500</v>
      </c>
      <c r="F46" s="50" t="s">
        <v>189</v>
      </c>
      <c r="J46" s="48">
        <v>30353</v>
      </c>
      <c r="K46" s="1">
        <v>0</v>
      </c>
      <c r="L46" s="53">
        <v>69904</v>
      </c>
      <c r="M46" s="48" t="s">
        <v>176</v>
      </c>
      <c r="N46" s="52">
        <v>30353</v>
      </c>
      <c r="O46" s="1" t="s">
        <v>185</v>
      </c>
    </row>
    <row r="47" spans="1:15">
      <c r="A47" s="1" t="s">
        <v>264</v>
      </c>
      <c r="C47" s="48">
        <v>71510</v>
      </c>
      <c r="D47" s="48">
        <v>18610</v>
      </c>
      <c r="E47" s="48">
        <v>52900</v>
      </c>
      <c r="F47" s="50" t="s">
        <v>189</v>
      </c>
      <c r="J47" s="48">
        <v>5756</v>
      </c>
      <c r="K47" s="1">
        <v>0</v>
      </c>
      <c r="L47" s="53">
        <v>69904</v>
      </c>
      <c r="M47" s="48" t="s">
        <v>176</v>
      </c>
      <c r="N47" s="52">
        <v>5756</v>
      </c>
      <c r="O47" s="1" t="s">
        <v>185</v>
      </c>
    </row>
    <row r="48" spans="1:15">
      <c r="A48" s="1" t="s">
        <v>264</v>
      </c>
      <c r="C48" s="48">
        <v>71510</v>
      </c>
      <c r="D48" s="48">
        <v>18610</v>
      </c>
      <c r="E48" s="48">
        <v>52900</v>
      </c>
      <c r="F48" s="50" t="s">
        <v>189</v>
      </c>
      <c r="J48" s="48">
        <v>34214</v>
      </c>
      <c r="K48" s="1">
        <v>0</v>
      </c>
      <c r="L48" s="53">
        <v>69905</v>
      </c>
      <c r="M48" s="48" t="s">
        <v>176</v>
      </c>
      <c r="N48" s="52">
        <v>34214</v>
      </c>
      <c r="O48" s="1" t="s">
        <v>185</v>
      </c>
    </row>
    <row r="49" spans="1:15">
      <c r="A49" s="1" t="s">
        <v>264</v>
      </c>
      <c r="C49" s="48">
        <v>71510</v>
      </c>
      <c r="D49" s="48">
        <v>18610</v>
      </c>
      <c r="E49" s="48">
        <v>52900</v>
      </c>
      <c r="F49" s="50" t="s">
        <v>189</v>
      </c>
      <c r="J49" s="48">
        <v>12930</v>
      </c>
      <c r="K49" s="1">
        <v>0</v>
      </c>
      <c r="L49" s="53">
        <v>69962</v>
      </c>
      <c r="M49" s="48" t="s">
        <v>176</v>
      </c>
      <c r="N49" s="52">
        <v>12930</v>
      </c>
      <c r="O49" s="1" t="s">
        <v>185</v>
      </c>
    </row>
    <row r="50" spans="1:15">
      <c r="A50" s="1" t="s">
        <v>265</v>
      </c>
      <c r="C50" s="48">
        <v>71380</v>
      </c>
      <c r="D50" s="48">
        <v>18360</v>
      </c>
      <c r="E50" s="48">
        <v>53020</v>
      </c>
      <c r="F50" s="50" t="s">
        <v>189</v>
      </c>
      <c r="J50" s="48">
        <v>18631</v>
      </c>
      <c r="K50" s="1">
        <v>0</v>
      </c>
      <c r="L50" s="53">
        <v>69962</v>
      </c>
      <c r="M50" s="48" t="s">
        <v>176</v>
      </c>
      <c r="N50" s="52">
        <v>18631</v>
      </c>
      <c r="O50" s="1" t="s">
        <v>185</v>
      </c>
    </row>
    <row r="51" spans="1:15">
      <c r="A51" s="1" t="s">
        <v>265</v>
      </c>
      <c r="C51" s="48">
        <v>71380</v>
      </c>
      <c r="D51" s="48">
        <v>18360</v>
      </c>
      <c r="E51" s="48">
        <v>53020</v>
      </c>
      <c r="F51" s="50" t="s">
        <v>189</v>
      </c>
      <c r="J51" s="48">
        <v>32239</v>
      </c>
      <c r="K51" s="1">
        <v>0</v>
      </c>
      <c r="L51" s="53">
        <v>69963</v>
      </c>
      <c r="M51" s="48" t="s">
        <v>176</v>
      </c>
      <c r="N51" s="52">
        <v>32239</v>
      </c>
      <c r="O51" s="1" t="s">
        <v>185</v>
      </c>
    </row>
    <row r="52" spans="1:15">
      <c r="A52" s="1" t="s">
        <v>265</v>
      </c>
      <c r="C52" s="48">
        <v>71380</v>
      </c>
      <c r="D52" s="48">
        <v>18360</v>
      </c>
      <c r="E52" s="48">
        <v>53020</v>
      </c>
      <c r="F52" s="50" t="s">
        <v>189</v>
      </c>
      <c r="J52" s="48">
        <v>2150</v>
      </c>
      <c r="K52" s="1">
        <v>0</v>
      </c>
      <c r="L52" s="53">
        <v>69964</v>
      </c>
      <c r="M52" s="48" t="s">
        <v>176</v>
      </c>
      <c r="N52" s="52">
        <v>2150</v>
      </c>
      <c r="O52" s="1" t="s">
        <v>185</v>
      </c>
    </row>
    <row r="53" spans="1:15">
      <c r="A53" s="1" t="s">
        <v>266</v>
      </c>
      <c r="C53" s="48">
        <v>84280</v>
      </c>
      <c r="D53" s="48">
        <v>22300</v>
      </c>
      <c r="E53" s="48">
        <v>61980</v>
      </c>
      <c r="F53" s="50" t="s">
        <v>189</v>
      </c>
      <c r="J53" s="48">
        <v>35017</v>
      </c>
      <c r="K53" s="1">
        <v>0</v>
      </c>
      <c r="L53" s="53">
        <v>69964</v>
      </c>
      <c r="M53" s="48" t="s">
        <v>176</v>
      </c>
      <c r="N53" s="52">
        <v>35017</v>
      </c>
      <c r="O53" s="1" t="s">
        <v>185</v>
      </c>
    </row>
    <row r="54" spans="1:15">
      <c r="A54" s="1" t="s">
        <v>266</v>
      </c>
      <c r="C54" s="48">
        <v>84280</v>
      </c>
      <c r="D54" s="48">
        <v>22300</v>
      </c>
      <c r="E54" s="48">
        <v>61980</v>
      </c>
      <c r="F54" s="50" t="s">
        <v>189</v>
      </c>
      <c r="J54" s="48">
        <v>26963</v>
      </c>
      <c r="K54" s="1">
        <v>0</v>
      </c>
      <c r="L54" s="53">
        <v>69965</v>
      </c>
      <c r="M54" s="48" t="s">
        <v>176</v>
      </c>
      <c r="N54" s="52">
        <v>26963</v>
      </c>
      <c r="O54" s="1" t="s">
        <v>185</v>
      </c>
    </row>
    <row r="55" spans="1:15">
      <c r="A55" s="1" t="s">
        <v>267</v>
      </c>
      <c r="C55" s="48">
        <v>85520</v>
      </c>
      <c r="D55" s="48">
        <v>23150</v>
      </c>
      <c r="E55" s="48">
        <v>62370</v>
      </c>
      <c r="F55" s="50" t="s">
        <v>189</v>
      </c>
      <c r="J55" s="48">
        <v>10583</v>
      </c>
      <c r="K55" s="1">
        <v>0</v>
      </c>
      <c r="L55" s="53">
        <v>69965</v>
      </c>
      <c r="M55" s="48" t="s">
        <v>176</v>
      </c>
      <c r="N55" s="52">
        <v>10583</v>
      </c>
      <c r="O55" s="1" t="s">
        <v>185</v>
      </c>
    </row>
    <row r="56" spans="1:15">
      <c r="A56" s="1" t="s">
        <v>267</v>
      </c>
      <c r="C56" s="48">
        <v>85520</v>
      </c>
      <c r="D56" s="48">
        <v>23150</v>
      </c>
      <c r="E56" s="48">
        <v>62370</v>
      </c>
      <c r="F56" s="50" t="s">
        <v>189</v>
      </c>
      <c r="J56" s="48">
        <v>31681</v>
      </c>
      <c r="K56" s="1">
        <v>0</v>
      </c>
      <c r="L56" s="53">
        <v>69966</v>
      </c>
      <c r="M56" s="48" t="s">
        <v>176</v>
      </c>
      <c r="N56" s="52">
        <v>31681</v>
      </c>
      <c r="O56" s="1" t="s">
        <v>185</v>
      </c>
    </row>
    <row r="57" spans="1:15">
      <c r="A57" s="1" t="s">
        <v>267</v>
      </c>
      <c r="C57" s="48">
        <v>85520</v>
      </c>
      <c r="D57" s="48">
        <v>23150</v>
      </c>
      <c r="E57" s="48">
        <v>62370</v>
      </c>
      <c r="F57" s="50" t="s">
        <v>189</v>
      </c>
      <c r="J57" s="48">
        <v>20106</v>
      </c>
      <c r="K57" s="1">
        <v>0</v>
      </c>
      <c r="L57" s="53">
        <v>69967</v>
      </c>
      <c r="M57" s="48" t="s">
        <v>176</v>
      </c>
      <c r="N57" s="52">
        <v>20106</v>
      </c>
      <c r="O57" s="1" t="s">
        <v>185</v>
      </c>
    </row>
    <row r="58" spans="1:15">
      <c r="A58" s="1" t="s">
        <v>268</v>
      </c>
      <c r="C58" s="48">
        <v>85940</v>
      </c>
      <c r="D58" s="48">
        <v>23780</v>
      </c>
      <c r="E58" s="48">
        <v>62160</v>
      </c>
      <c r="F58" s="50" t="s">
        <v>189</v>
      </c>
      <c r="J58" s="48">
        <v>11475</v>
      </c>
      <c r="K58" s="1">
        <v>0</v>
      </c>
      <c r="L58" s="53">
        <v>69967</v>
      </c>
      <c r="M58" s="48" t="s">
        <v>176</v>
      </c>
      <c r="N58" s="52">
        <v>11475</v>
      </c>
      <c r="O58" s="1" t="s">
        <v>185</v>
      </c>
    </row>
    <row r="59" spans="1:15">
      <c r="A59" s="1" t="s">
        <v>268</v>
      </c>
      <c r="C59" s="48">
        <v>85940</v>
      </c>
      <c r="D59" s="48">
        <v>23780</v>
      </c>
      <c r="E59" s="48">
        <v>62160</v>
      </c>
      <c r="F59" s="50" t="s">
        <v>189</v>
      </c>
      <c r="J59" s="48">
        <v>36868</v>
      </c>
      <c r="K59" s="1">
        <v>0</v>
      </c>
      <c r="L59" s="53">
        <v>69968</v>
      </c>
      <c r="M59" s="48" t="s">
        <v>176</v>
      </c>
      <c r="N59" s="52">
        <v>36868</v>
      </c>
      <c r="O59" s="1" t="s">
        <v>185</v>
      </c>
    </row>
    <row r="60" spans="1:15">
      <c r="A60" s="1" t="s">
        <v>268</v>
      </c>
      <c r="C60" s="48">
        <v>85940</v>
      </c>
      <c r="D60" s="48">
        <v>23780</v>
      </c>
      <c r="E60" s="48">
        <v>62160</v>
      </c>
      <c r="F60" s="50" t="s">
        <v>189</v>
      </c>
      <c r="J60" s="48">
        <v>13817</v>
      </c>
      <c r="K60" s="1">
        <v>0</v>
      </c>
      <c r="L60" s="53">
        <v>69969</v>
      </c>
      <c r="M60" s="48" t="s">
        <v>176</v>
      </c>
      <c r="N60" s="52">
        <v>13817</v>
      </c>
      <c r="O60" s="1" t="s">
        <v>185</v>
      </c>
    </row>
    <row r="61" spans="1:15">
      <c r="A61" s="1" t="s">
        <v>269</v>
      </c>
      <c r="C61" s="48">
        <v>83820</v>
      </c>
      <c r="D61" s="48">
        <v>22680</v>
      </c>
      <c r="E61" s="48">
        <v>61140</v>
      </c>
      <c r="F61" s="50" t="s">
        <v>189</v>
      </c>
      <c r="J61" s="48">
        <v>23090</v>
      </c>
      <c r="K61" s="1">
        <v>0</v>
      </c>
      <c r="L61" s="53">
        <v>69969</v>
      </c>
      <c r="M61" s="48" t="s">
        <v>176</v>
      </c>
      <c r="N61" s="52">
        <v>23090</v>
      </c>
      <c r="O61" s="1" t="s">
        <v>185</v>
      </c>
    </row>
    <row r="62" spans="1:15">
      <c r="A62" s="1" t="s">
        <v>269</v>
      </c>
      <c r="C62" s="48">
        <v>83820</v>
      </c>
      <c r="D62" s="48">
        <v>22680</v>
      </c>
      <c r="E62" s="48">
        <v>61140</v>
      </c>
      <c r="F62" s="50" t="s">
        <v>189</v>
      </c>
      <c r="J62" s="48">
        <v>36508</v>
      </c>
      <c r="K62" s="1">
        <v>0</v>
      </c>
      <c r="L62" s="53">
        <v>69971</v>
      </c>
      <c r="M62" s="48" t="s">
        <v>176</v>
      </c>
      <c r="N62" s="52">
        <v>36508</v>
      </c>
      <c r="O62" s="1" t="s">
        <v>185</v>
      </c>
    </row>
    <row r="63" spans="1:15">
      <c r="A63" s="1" t="s">
        <v>269</v>
      </c>
      <c r="C63" s="48">
        <v>83820</v>
      </c>
      <c r="D63" s="48">
        <v>22680</v>
      </c>
      <c r="E63" s="48">
        <v>61140</v>
      </c>
      <c r="F63" s="50" t="s">
        <v>189</v>
      </c>
      <c r="J63" s="48">
        <v>1542</v>
      </c>
      <c r="K63" s="1">
        <v>0</v>
      </c>
      <c r="L63" s="53">
        <v>69972</v>
      </c>
      <c r="M63" s="48" t="s">
        <v>176</v>
      </c>
      <c r="N63" s="52">
        <v>1542</v>
      </c>
      <c r="O63" s="1" t="s">
        <v>185</v>
      </c>
    </row>
  </sheetData>
  <pageMargins left="0.511811024" right="0.511811024" top="0.78740157499999996" bottom="0.78740157499999996" header="0.31496062000000002" footer="0.31496062000000002"/>
  <pageSetup orientation="portrait" r:id="rId1"/>
  <customProperties>
    <customPr name="EpmWorksheetKeyString_GUID" r:id="rId2"/>
  </customProperties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1">
    <tabColor rgb="FFC00000"/>
  </sheetPr>
  <dimension ref="A1"/>
  <sheetViews>
    <sheetView workbookViewId="0">
      <selection activeCell="C6" sqref="C6"/>
    </sheetView>
  </sheetViews>
  <sheetFormatPr defaultRowHeight="15"/>
  <sheetData/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Report</vt:lpstr>
      <vt:lpstr>FILTRO</vt:lpstr>
      <vt:lpstr>BASE</vt:lpstr>
      <vt:lpstr>LAYOUT</vt:lpstr>
      <vt:lpstr>Executa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N. Caracelli Diniz</dc:creator>
  <cp:lastModifiedBy>Nelson</cp:lastModifiedBy>
  <dcterms:created xsi:type="dcterms:W3CDTF">2018-12-04T13:51:11Z</dcterms:created>
  <dcterms:modified xsi:type="dcterms:W3CDTF">2021-04-10T12:27:44Z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36020b0-6d69-48c1-9bb5-c586c1062b70_Enabled">
    <vt:lpwstr>True</vt:lpwstr>
  </property>
  <property fmtid="{D5CDD505-2E9C-101B-9397-08002B2CF9AE}" pid="3" name="MSIP_Label_236020b0-6d69-48c1-9bb5-c586c1062b70_SiteId">
    <vt:lpwstr>cf36141c-ddd7-45a7-b073-111f66d0b30c</vt:lpwstr>
  </property>
  <property fmtid="{D5CDD505-2E9C-101B-9397-08002B2CF9AE}" pid="4" name="MSIP_Label_236020b0-6d69-48c1-9bb5-c586c1062b70_Owner">
    <vt:lpwstr>n.caracelli.diniz@avanade.com</vt:lpwstr>
  </property>
  <property fmtid="{D5CDD505-2E9C-101B-9397-08002B2CF9AE}" pid="5" name="MSIP_Label_236020b0-6d69-48c1-9bb5-c586c1062b70_SetDate">
    <vt:lpwstr>2019-01-02T13:24:44.7972781Z</vt:lpwstr>
  </property>
  <property fmtid="{D5CDD505-2E9C-101B-9397-08002B2CF9AE}" pid="6" name="MSIP_Label_236020b0-6d69-48c1-9bb5-c586c1062b70_Name">
    <vt:lpwstr>Confidential</vt:lpwstr>
  </property>
  <property fmtid="{D5CDD505-2E9C-101B-9397-08002B2CF9AE}" pid="7" name="MSIP_Label_236020b0-6d69-48c1-9bb5-c586c1062b70_Application">
    <vt:lpwstr>Microsoft Azure Information Protection</vt:lpwstr>
  </property>
  <property fmtid="{D5CDD505-2E9C-101B-9397-08002B2CF9AE}" pid="8" name="MSIP_Label_236020b0-6d69-48c1-9bb5-c586c1062b70_Extended_MSFT_Method">
    <vt:lpwstr>Automatic</vt:lpwstr>
  </property>
  <property fmtid="{D5CDD505-2E9C-101B-9397-08002B2CF9AE}" pid="9" name="MSIP_Label_5fae8262-b78e-4366-8929-a5d6aac95320_Enabled">
    <vt:lpwstr>True</vt:lpwstr>
  </property>
  <property fmtid="{D5CDD505-2E9C-101B-9397-08002B2CF9AE}" pid="10" name="MSIP_Label_5fae8262-b78e-4366-8929-a5d6aac95320_SiteId">
    <vt:lpwstr>cf36141c-ddd7-45a7-b073-111f66d0b30c</vt:lpwstr>
  </property>
  <property fmtid="{D5CDD505-2E9C-101B-9397-08002B2CF9AE}" pid="11" name="MSIP_Label_5fae8262-b78e-4366-8929-a5d6aac95320_Owner">
    <vt:lpwstr>n.caracelli.diniz@avanade.com</vt:lpwstr>
  </property>
  <property fmtid="{D5CDD505-2E9C-101B-9397-08002B2CF9AE}" pid="12" name="MSIP_Label_5fae8262-b78e-4366-8929-a5d6aac95320_SetDate">
    <vt:lpwstr>2019-01-02T13:24:44.7972781Z</vt:lpwstr>
  </property>
  <property fmtid="{D5CDD505-2E9C-101B-9397-08002B2CF9AE}" pid="13" name="MSIP_Label_5fae8262-b78e-4366-8929-a5d6aac95320_Name">
    <vt:lpwstr>Recipients Have Full Control</vt:lpwstr>
  </property>
  <property fmtid="{D5CDD505-2E9C-101B-9397-08002B2CF9AE}" pid="14" name="MSIP_Label_5fae8262-b78e-4366-8929-a5d6aac95320_Application">
    <vt:lpwstr>Microsoft Azure Information Protection</vt:lpwstr>
  </property>
  <property fmtid="{D5CDD505-2E9C-101B-9397-08002B2CF9AE}" pid="15" name="MSIP_Label_5fae8262-b78e-4366-8929-a5d6aac95320_Parent">
    <vt:lpwstr>236020b0-6d69-48c1-9bb5-c586c1062b70</vt:lpwstr>
  </property>
  <property fmtid="{D5CDD505-2E9C-101B-9397-08002B2CF9AE}" pid="16" name="MSIP_Label_5fae8262-b78e-4366-8929-a5d6aac95320_Extended_MSFT_Method">
    <vt:lpwstr>Automatic</vt:lpwstr>
  </property>
  <property fmtid="{D5CDD505-2E9C-101B-9397-08002B2CF9AE}" pid="17" name="Sensitivity">
    <vt:lpwstr>Confidential Recipients Have Full Control</vt:lpwstr>
  </property>
  <property fmtid="{D5CDD505-2E9C-101B-9397-08002B2CF9AE}" pid="18" name="WorkbookGuid">
    <vt:lpwstr>b6f816f6-3b5b-4610-9035-1bbdd34d3f92</vt:lpwstr>
  </property>
</Properties>
</file>