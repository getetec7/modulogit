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48\"/>
    </mc:Choice>
  </mc:AlternateContent>
  <xr:revisionPtr revIDLastSave="0" documentId="13_ncr:1_{C8CEB4EE-FAFC-42BB-9014-75B2DB5B8041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2" l="1"/>
  <c r="J5" i="12"/>
  <c r="E5" i="12"/>
  <c r="C5" i="12"/>
  <c r="A5" i="12"/>
  <c r="I4" i="12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<sst xmlns="http://schemas.openxmlformats.org/spreadsheetml/2006/main" count="465" uniqueCount="242">
  <si>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</si>
  <si>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</si>
  <si>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</si>
  <si>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</si>
  <si>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</si>
  <si>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</si>
  <si>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</si>
  <si>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</si>
  <si>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</si>
  <si>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</si>
  <si>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</si>
  <si>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</si>
  <si>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</si>
  <si>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</si>
  <si>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</si>
  <si>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</si>
  <si>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</si>
  <si>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</si>
  <si>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</si>
  <si>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</si>
  <si>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</si>
  <si>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</si>
  <si>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</si>
  <si>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</si>
  <si>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</si>
  <si>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</si>
  <si>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</si>
  <si>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</si>
  <si>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</si>
  <si>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</si>
  <si>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</si>
  <si>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</si>
  <si>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</si>
  <si>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</si>
  <si>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</si>
  <si>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</si>
  <si>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</si>
  <si>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</si>
  <si>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</si>
  <si>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</si>
  <si>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</si>
  <si>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</si>
  <si>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</si>
  <si>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</si>
  <si>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</si>
  <si>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</si>
  <si>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</si>
  <si>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</si>
  <si>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</si>
  <si>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</si>
  <si>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</si>
  <si>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</si>
  <si>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</si>
  <si>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</si>
  <si>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</si>
  <si>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</si>
  <si>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</si>
  <si>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</si>
  <si>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</si>
  <si>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</si>
  <si>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</si>
  <si>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</si>
  <si>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</si>
  <si>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</si>
  <si>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</si>
  <si>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</si>
  <si>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</si>
  <si>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</si>
  <si>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</si>
  <si>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</si>
  <si>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</si>
  <si>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</si>
  <si>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</si>
  <si>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</si>
  <si>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</si>
  <si>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</si>
  <si>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</si>
  <si>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</si>
  <si>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</si>
  <si>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</si>
  <si>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</si>
  <si>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</si>
  <si>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</si>
  <si>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</si>
  <si>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</si>
  <si>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</si>
  <si>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</si>
  <si>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</si>
  <si>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</si>
  <si>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</si>
  <si>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</si>
  <si>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</si>
  <si>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</si>
  <si>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</si>
  <si>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</si>
  <si>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</si>
  <si>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</si>
  <si>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</si>
  <si>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</si>
  <si>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</si>
  <si>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</si>
  <si>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</si>
  <si>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</si>
  <si>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</si>
  <si>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</si>
  <si>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</si>
  <si>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</si>
  <si>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</si>
  <si>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</si>
  <si>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</si>
  <si>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</si>
  <si>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</si>
  <si>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</si>
  <si>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</si>
  <si>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</si>
  <si>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</si>
  <si>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</si>
  <si>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</si>
  <si>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</si>
  <si>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</si>
  <si>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</si>
  <si>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</si>
  <si>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</si>
  <si>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</si>
  <si>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</si>
  <si>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</si>
  <si>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</si>
  <si>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</si>
  <si>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</si>
  <si>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</si>
  <si>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</si>
  <si>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</si>
  <si>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</si>
  <si>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</si>
  <si>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</si>
  <si>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</si>
  <si>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</si>
  <si>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</si>
  <si>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</si>
  <si>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</si>
  <si>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</si>
  <si>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</si>
  <si>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C21</t>
  </si>
  <si>
    <t>C22</t>
  </si>
  <si>
    <t>C23</t>
  </si>
  <si>
    <t>C24</t>
  </si>
  <si>
    <t>C25</t>
  </si>
  <si>
    <t>C26</t>
  </si>
  <si>
    <t>C27</t>
  </si>
  <si>
    <t>C28</t>
  </si>
  <si>
    <t>35.440</t>
  </si>
  <si>
    <t>108.092,00</t>
  </si>
  <si>
    <t>54.600</t>
  </si>
  <si>
    <t>19.100</t>
  </si>
  <si>
    <t>35.500</t>
  </si>
  <si>
    <t>60</t>
  </si>
  <si>
    <t>34.820</t>
  </si>
  <si>
    <t>106.201,00</t>
  </si>
  <si>
    <t>53.690</t>
  </si>
  <si>
    <t>18.750</t>
  </si>
  <si>
    <t>34.940</t>
  </si>
  <si>
    <t>120</t>
  </si>
  <si>
    <t>33.720</t>
  </si>
  <si>
    <t>102.846,00</t>
  </si>
  <si>
    <t>51.980</t>
  </si>
  <si>
    <t>18.200</t>
  </si>
  <si>
    <t>33.780</t>
  </si>
  <si>
    <t>38.640</t>
  </si>
  <si>
    <t>117.852,00</t>
  </si>
  <si>
    <t>58.710</t>
  </si>
  <si>
    <t>20.000</t>
  </si>
  <si>
    <t>38.710</t>
  </si>
  <si>
    <t>70</t>
  </si>
  <si>
    <t>37.440</t>
  </si>
  <si>
    <t>114.192,00</t>
  </si>
  <si>
    <t>57.540</t>
  </si>
  <si>
    <t>37.540</t>
  </si>
  <si>
    <t>100</t>
  </si>
  <si>
    <t>35.820</t>
  </si>
  <si>
    <t>109.251,00</t>
  </si>
  <si>
    <t>57.360</t>
  </si>
  <si>
    <t>21.480</t>
  </si>
  <si>
    <t>35.880</t>
  </si>
  <si>
    <t>37.960</t>
  </si>
  <si>
    <t>115.778,00</t>
  </si>
  <si>
    <t>57.960</t>
  </si>
  <si>
    <t>19.950</t>
  </si>
  <si>
    <t>38.010</t>
  </si>
  <si>
    <t>50</t>
  </si>
  <si>
    <t>O</t>
  </si>
  <si>
    <t xml:space="preserve">227       </t>
  </si>
  <si>
    <t>03/05/2021 02:31</t>
  </si>
  <si>
    <t>03/05/2021 09:50</t>
  </si>
  <si>
    <t xml:space="preserve">228       </t>
  </si>
  <si>
    <t>03/05/2021 10:57</t>
  </si>
  <si>
    <t>03/05/2021 11:00</t>
  </si>
  <si>
    <t>03/05/2021 11:42</t>
  </si>
  <si>
    <t>03/05/2021 21:44</t>
  </si>
  <si>
    <t>03/05/2021 23:18</t>
  </si>
  <si>
    <t>F</t>
  </si>
  <si>
    <t>P</t>
  </si>
  <si>
    <t>L</t>
  </si>
  <si>
    <t>02.939.402/0005-05</t>
  </si>
  <si>
    <t>I</t>
  </si>
  <si>
    <t>COFCO</t>
  </si>
  <si>
    <t>SOJA EM GRAOS GRANEL.</t>
  </si>
  <si>
    <t>TRANSBORDO COM CLASSIF DESCARGA/CARGA</t>
  </si>
  <si>
    <t>COFCO INTERNATIONAL GRAINS LTDA</t>
  </si>
  <si>
    <t>29.332.398/0003-07</t>
  </si>
  <si>
    <t>NJE9H53</t>
  </si>
  <si>
    <t>51210529332398000307550010000227261274984824</t>
  </si>
  <si>
    <t>NRZ0271</t>
  </si>
  <si>
    <t>51210529332398000307550010000226891838390850</t>
  </si>
  <si>
    <t>NTZ4508</t>
  </si>
  <si>
    <t>51210529332398000307550010000227241733208441</t>
  </si>
  <si>
    <t>NUF8186</t>
  </si>
  <si>
    <t>51210529332398000307550010000226841733208444</t>
  </si>
  <si>
    <t>OAP5054</t>
  </si>
  <si>
    <t>51210529332398000307550010000226711274984824</t>
  </si>
  <si>
    <t>OBH2855</t>
  </si>
  <si>
    <t>51210529332398000307550010000226791565005260</t>
  </si>
  <si>
    <t>OQB1591</t>
  </si>
  <si>
    <t>51210529332398000307550010000226641911360503</t>
  </si>
  <si>
    <t>PUY2G89</t>
  </si>
  <si>
    <t>51210529332398000307550010000226961733208445</t>
  </si>
  <si>
    <t>06.315.338/0181-66</t>
  </si>
  <si>
    <t xml:space="preserve">CANARANA </t>
  </si>
  <si>
    <t>HOA1550</t>
  </si>
  <si>
    <t>51210506315338018166550010000324271371741924</t>
  </si>
  <si>
    <t>IBH1646</t>
  </si>
  <si>
    <t>51210506315338018166550010000324221782613834</t>
  </si>
  <si>
    <t>IPP2924</t>
  </si>
  <si>
    <t>51210506315338018166550010000324451117533388</t>
  </si>
  <si>
    <t>JOM1555</t>
  </si>
  <si>
    <t>51210506315338018166550010000324331124665463</t>
  </si>
  <si>
    <t>MFO3388</t>
  </si>
  <si>
    <t>51210506315338018166550010000324501844182879</t>
  </si>
  <si>
    <t>12/05/2021</t>
  </si>
  <si>
    <t>CNPJ  estabel (filial)</t>
  </si>
  <si>
    <t>série da nota</t>
  </si>
  <si>
    <t>CNPJ ORIGEM (transbordo)</t>
  </si>
  <si>
    <t>CNPJ DESTINO (terminal porto)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</si>
</sst>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409]#,##0"/>
    <numFmt numFmtId="165" formatCode="[$-416]dd\-mmm\-yy;@"/>
    <numFmt numFmtId="166" formatCode="#,##0.000"/>
    <numFmt numFmtId="167" formatCode="#,#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3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1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67" fontId="0" fillId="0" borderId="0" xfId="0" applyNumberFormat="1"/>
    <xf numFmtId="0" fontId="0" fillId="9" borderId="0" xfId="0" applyFill="1"/>
    <xf numFmtId="14" fontId="0" fillId="0" borderId="0" xfId="0" applyNumberFormat="1"/>
    <xf numFmtId="21" fontId="0" fillId="0" borderId="0" xfId="0" applyNumberFormat="1"/>
    <xf numFmtId="14" fontId="0" fillId="0" borderId="0" xfId="0" applyNumberFormat="1"/>
    <xf numFmtId="14" fontId="0" fillId="0" borderId="0" xfId="0" quotePrefix="1" applyNumberFormat="1"/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11" fillId="0" borderId="20" xfId="0" applyFont="1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3" fontId="11" fillId="0" borderId="20" xfId="0" applyNumberFormat="1" applyFont="1" applyBorder="1" applyAlignment="1">
      <alignment horizontal="left" vertical="center"/>
    </xf>
    <xf numFmtId="0" fontId="0" fillId="0" borderId="20" xfId="0" applyBorder="1"/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va%20pasta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DADOS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30.486020833334" createdVersion="6" refreshedVersion="7" minRefreshableVersion="3" recordCount="13" xr:uid="{00000000-000A-0000-FFFF-FFFF33000000}">
  <cacheSource type="worksheet">
    <worksheetSource name="=tbl_dinamica"/>
  </cacheSource>
  <cacheFields count="28">
    <cacheField name="C1" numFmtId="14">
      <sharedItems containsSemiMixedTypes="0" containsNonDate="0" containsDate="1" containsString="0" minDate="1900-08-27T00:00:00" maxDate="1900-08-31T00:00:00"/>
    </cacheField>
    <cacheField name="C2" numFmtId="0">
      <sharedItems/>
    </cacheField>
    <cacheField name="C3" numFmtId="0">
      <sharedItems/>
    </cacheField>
    <cacheField name="C4" numFmtId="0">
      <sharedItems/>
    </cacheField>
    <cacheField name="C5" numFmtId="0">
      <sharedItems/>
    </cacheField>
    <cacheField name="C6" numFmtId="0">
      <sharedItems count="2">
        <s v="29.332.398/0003-07"/>
        <s v="06.315.338/0181-66"/>
      </sharedItems>
    </cacheField>
    <cacheField name="C7" numFmtId="0">
      <sharedItems/>
    </cacheField>
    <cacheField name="C8" numFmtId="0">
      <sharedItems/>
    </cacheField>
    <cacheField name="C9" numFmtId="14">
      <sharedItems containsSemiMixedTypes="0" containsNonDate="0" containsDate="1" containsString="0" minDate="2021-05-12T00:00:00" maxDate="2021-05-13T00:00:00"/>
    </cacheField>
    <cacheField name="C10" numFmtId="21">
      <sharedItems containsSemiMixedTypes="0" containsNonDate="0" containsDate="1" containsString="0" minDate="1899-12-30T01:56:44" maxDate="1899-12-30T22:10:35"/>
    </cacheField>
    <cacheField name="C11" numFmtId="0">
      <sharedItems containsSemiMixedTypes="0" containsString="0" containsNumber="1" containsInteger="1" minValue="3" maxValue="25"/>
    </cacheField>
    <cacheField name="C12" numFmtId="0">
      <sharedItems/>
    </cacheField>
    <cacheField name="C13" numFmtId="0">
      <sharedItems containsSemiMixedTypes="0" containsString="0" containsNumber="1" containsInteger="1" minValue="16140" maxValue="25100"/>
    </cacheField>
    <cacheField name="C14" numFmtId="0">
      <sharedItems containsSemiMixedTypes="0" containsString="0" containsNumber="1" containsInteger="1" minValue="48340" maxValue="73920" count="13">
        <n v="48360"/>
        <n v="73920"/>
        <n v="56700"/>
        <n v="73580"/>
        <n v="73380"/>
        <n v="73620"/>
        <n v="48340"/>
        <n v="73520"/>
        <n v="57240"/>
        <n v="48580"/>
        <n v="57300"/>
        <n v="48400"/>
        <n v="48480"/>
      </sharedItems>
    </cacheField>
    <cacheField name="C15" numFmtId="0">
      <sharedItems containsSemiMixedTypes="0" containsString="0" containsNumber="1" containsInteger="1" minValue="31200" maxValue="51300"/>
    </cacheField>
    <cacheField name="C16" numFmtId="0">
      <sharedItems containsSemiMixedTypes="0" containsString="0" containsNumber="1" containsInteger="1" minValue="22664" maxValue="32450"/>
    </cacheField>
    <cacheField name="C17" numFmtId="0">
      <sharedItems containsSemiMixedTypes="0" containsString="0" containsNumber="1" containsInteger="1" minValue="1" maxValue="1"/>
    </cacheField>
    <cacheField name="C18" numFmtId="0">
      <sharedItems containsSemiMixedTypes="0" containsString="0" containsNumber="1" containsInteger="1" minValue="31200" maxValue="51360"/>
    </cacheField>
    <cacheField name="C19" numFmtId="0">
      <sharedItems containsSemiMixedTypes="0" containsString="0" containsNumber="1" containsInteger="1" minValue="31200" maxValue="51300"/>
    </cacheField>
    <cacheField name="C20" numFmtId="0">
      <sharedItems/>
    </cacheField>
    <cacheField name="C21" numFmtId="0">
      <sharedItems containsNonDate="0" containsString="0" containsBlank="1"/>
    </cacheField>
    <cacheField name="C22" numFmtId="0">
      <sharedItems containsBlank="1"/>
    </cacheField>
    <cacheField name="C23" numFmtId="0">
      <sharedItems containsBlank="1"/>
    </cacheField>
    <cacheField name="C24" numFmtId="0">
      <sharedItems containsBlank="1"/>
    </cacheField>
    <cacheField name="C25" numFmtId="0">
      <sharedItems containsBlank="1"/>
    </cacheField>
    <cacheField name="C26" numFmtId="0">
      <sharedItems containsBlank="1"/>
    </cacheField>
    <cacheField name="C27" numFmtId="0">
      <sharedItems containsBlank="1"/>
    </cacheField>
    <cacheField name="C2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21:12:03"/>
    <n v="24"/>
    <s v="NJE9H53"/>
    <n v="16140"/>
    <x v="0"/>
    <n v="32220"/>
    <n v="22726"/>
    <n v="1"/>
    <n v="32280"/>
    <n v="32220"/>
    <s v="51210529332398000307550010000227261274984824"/>
    <m/>
    <s v="35.440"/>
    <s v="35.440"/>
    <s v="108.092,00"/>
    <s v="54.600"/>
    <s v="19.100"/>
    <s v="35.500"/>
    <s v="6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02:19:42"/>
    <n v="19"/>
    <s v="NRZ0271"/>
    <n v="22620"/>
    <x v="1"/>
    <n v="51300"/>
    <n v="22689"/>
    <n v="1"/>
    <n v="51360"/>
    <n v="51300"/>
    <s v="51210529332398000307550010000226891838390850"/>
    <m/>
    <s v="34.820"/>
    <s v="34.820"/>
    <s v="106.201,00"/>
    <s v="53.690"/>
    <s v="18.750"/>
    <s v="34.940"/>
    <s v="12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22:10:35"/>
    <n v="25"/>
    <s v="NTZ4508"/>
    <n v="18920"/>
    <x v="2"/>
    <n v="37780"/>
    <n v="22724"/>
    <n v="1"/>
    <n v="37980"/>
    <n v="37780"/>
    <s v="51210529332398000307550010000227241733208441"/>
    <m/>
    <s v="33.720"/>
    <s v="33.720"/>
    <s v="102.846,00"/>
    <s v="51.980"/>
    <s v="18.200"/>
    <s v="33.780"/>
    <s v="6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12:57:12"/>
    <n v="21"/>
    <s v="NUF8186"/>
    <n v="23000"/>
    <x v="3"/>
    <n v="50580"/>
    <n v="22684"/>
    <n v="1"/>
    <n v="50620"/>
    <n v="50580"/>
    <s v="51210529332398000307550010000226841733208444"/>
    <m/>
    <s v="38.640"/>
    <s v="38.640"/>
    <s v="117.852,00"/>
    <s v="58.710"/>
    <s v="20.000"/>
    <s v="38.710"/>
    <s v="7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20:25:41"/>
    <n v="22"/>
    <s v="OAP5054"/>
    <n v="23460"/>
    <x v="4"/>
    <n v="49920"/>
    <n v="22671"/>
    <n v="1"/>
    <n v="50120"/>
    <n v="49920"/>
    <s v="51210529332398000307550010000226711274984824"/>
    <m/>
    <s v="37.440"/>
    <s v="37.440"/>
    <s v="114.192,00"/>
    <s v="57.540"/>
    <s v="20.000"/>
    <s v="37.540"/>
    <s v="10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09:31:14"/>
    <n v="20"/>
    <s v="OBH2855"/>
    <n v="25100"/>
    <x v="5"/>
    <n v="48520"/>
    <n v="22679"/>
    <n v="1"/>
    <n v="48660"/>
    <n v="48520"/>
    <s v="51210529332398000307550010000226791565005260"/>
    <m/>
    <s v="35.820"/>
    <s v="35.820"/>
    <s v="109.251,00"/>
    <s v="57.360"/>
    <s v="21.480"/>
    <s v="35.880"/>
    <s v="6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01:56:44"/>
    <n v="18"/>
    <s v="OQB1591"/>
    <n v="17020"/>
    <x v="6"/>
    <n v="31320"/>
    <n v="22664"/>
    <n v="1"/>
    <n v="31400"/>
    <n v="31320"/>
    <s v="51210529332398000307550010000226641911360503"/>
    <m/>
    <s v="37.960"/>
    <s v="37.960"/>
    <s v="115.778,00"/>
    <s v="57.960"/>
    <s v="19.950"/>
    <s v="38.010"/>
    <s v="50"/>
  </r>
  <r>
    <d v="1900-08-27T00:00:00"/>
    <s v="COFCO"/>
    <s v="SOJA EM GRAOS GRANEL."/>
    <s v="TRANSBORDO COM CLASSIF DESCARGA/CARGA"/>
    <s v="COFCO INTERNATIONAL GRAINS LTDA"/>
    <x v="0"/>
    <s v="CAMPO VERDE"/>
    <s v="MT"/>
    <d v="2021-05-12T00:00:00"/>
    <d v="1899-12-30T21:21:11"/>
    <n v="23"/>
    <s v="PUY2G89"/>
    <n v="22440"/>
    <x v="7"/>
    <n v="51080"/>
    <n v="22696"/>
    <n v="1"/>
    <n v="51200"/>
    <n v="51080"/>
    <s v="51210529332398000307550010000226961733208445"/>
    <m/>
    <m/>
    <m/>
    <m/>
    <m/>
    <m/>
    <m/>
    <m/>
  </r>
  <r>
    <d v="1900-08-30T00:00:00"/>
    <s v="COFCO"/>
    <s v="SOJA EM GRAOS GRANEL."/>
    <s v="TRANSBORDO COM CLASSIF DESCARGA/CARGA"/>
    <s v="COFCO INTERNATIONAL GRAINS LTDA"/>
    <x v="1"/>
    <s v="CANARANA "/>
    <s v="MT"/>
    <d v="2021-05-12T00:00:00"/>
    <d v="1899-12-30T17:42:28"/>
    <n v="6"/>
    <s v="HOA1550"/>
    <n v="20000"/>
    <x v="8"/>
    <n v="37240"/>
    <n v="32427"/>
    <n v="1"/>
    <n v="37330"/>
    <n v="37240"/>
    <s v="51210506315338018166550010000324271371741924"/>
    <m/>
    <m/>
    <m/>
    <m/>
    <m/>
    <m/>
    <m/>
    <m/>
  </r>
  <r>
    <d v="1900-08-30T00:00:00"/>
    <s v="COFCO"/>
    <s v="SOJA EM GRAOS GRANEL."/>
    <s v="TRANSBORDO COM CLASSIF DESCARGA/CARGA"/>
    <s v="COFCO INTERNATIONAL GRAINS LTDA"/>
    <x v="1"/>
    <s v="CANARANA "/>
    <s v="MT"/>
    <d v="2021-05-12T00:00:00"/>
    <d v="1899-12-30T02:38:46"/>
    <n v="4"/>
    <s v="IBH1646"/>
    <n v="16860"/>
    <x v="9"/>
    <n v="31720"/>
    <n v="32422"/>
    <n v="1"/>
    <n v="31720"/>
    <n v="31720"/>
    <s v="51210506315338018166550010000324221782613834"/>
    <m/>
    <m/>
    <m/>
    <m/>
    <m/>
    <m/>
    <m/>
    <m/>
  </r>
  <r>
    <d v="1900-08-30T00:00:00"/>
    <s v="COFCO"/>
    <s v="SOJA EM GRAOS GRANEL."/>
    <s v="TRANSBORDO COM CLASSIF DESCARGA/CARGA"/>
    <s v="COFCO INTERNATIONAL GRAINS LTDA"/>
    <x v="1"/>
    <s v="CANARANA "/>
    <s v="MT"/>
    <d v="2021-05-12T00:00:00"/>
    <d v="1899-12-30T17:40:13"/>
    <n v="5"/>
    <s v="IPP2924"/>
    <n v="20240"/>
    <x v="10"/>
    <n v="37060"/>
    <n v="32445"/>
    <n v="1"/>
    <n v="37090"/>
    <n v="37060"/>
    <s v="51210506315338018166550010000324451117533388"/>
    <m/>
    <m/>
    <m/>
    <m/>
    <m/>
    <m/>
    <m/>
    <m/>
  </r>
  <r>
    <d v="1900-08-30T00:00:00"/>
    <s v="COFCO"/>
    <s v="SOJA EM GRAOS GRANEL."/>
    <s v="TRANSBORDO COM CLASSIF DESCARGA/CARGA"/>
    <s v="COFCO INTERNATIONAL GRAINS LTDA"/>
    <x v="1"/>
    <s v="CANARANA "/>
    <s v="MT"/>
    <d v="2021-05-12T00:00:00"/>
    <d v="1899-12-30T02:35:05"/>
    <n v="3"/>
    <s v="JOM1555"/>
    <n v="17200"/>
    <x v="11"/>
    <n v="31200"/>
    <n v="32433"/>
    <n v="1"/>
    <n v="31200"/>
    <n v="31200"/>
    <s v="51210506315338018166550010000324331124665463"/>
    <m/>
    <m/>
    <m/>
    <m/>
    <m/>
    <m/>
    <m/>
    <m/>
  </r>
  <r>
    <d v="1900-08-30T00:00:00"/>
    <s v="COFCO"/>
    <s v="SOJA EM GRAOS GRANEL."/>
    <s v="TRANSBORDO COM CLASSIF DESCARGA/CARGA"/>
    <s v="COFCO INTERNATIONAL GRAINS LTDA"/>
    <x v="1"/>
    <s v="CANARANA "/>
    <s v="MT"/>
    <d v="2021-05-12T00:00:00"/>
    <d v="1899-12-30T17:45:16"/>
    <n v="7"/>
    <s v="MFO3388"/>
    <n v="16560"/>
    <x v="12"/>
    <n v="31920"/>
    <n v="32450"/>
    <n v="1"/>
    <n v="31950"/>
    <n v="31920"/>
    <s v="51210506315338018166550010000324501844182879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0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M7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3">
        <item x="1"/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5"/>
  </rowFields>
  <rowItems count="2">
    <i>
      <x/>
    </i>
    <i>
      <x v="1"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12"/>
  <sheetViews>
    <sheetView tabSelected="1" zoomScaleNormal="100" workbookViewId="0">
      <selection activeCell="A4" sqref="A4:XFD4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69" t="s">
        <v>18</v>
      </c>
      <c r="B1" s="71" t="s">
        <v>19</v>
      </c>
      <c r="C1" s="73" t="s">
        <v>20</v>
      </c>
      <c r="D1" s="75" t="s">
        <v>21</v>
      </c>
      <c r="E1" s="11" t="s">
        <v>22</v>
      </c>
      <c r="F1" s="77" t="s">
        <v>23</v>
      </c>
      <c r="G1" s="64" t="s">
        <v>1</v>
      </c>
      <c r="H1" s="64" t="s">
        <v>24</v>
      </c>
      <c r="I1" s="64" t="s">
        <v>25</v>
      </c>
      <c r="J1" s="66" t="s">
        <v>26</v>
      </c>
      <c r="K1" s="67"/>
      <c r="L1" s="67"/>
      <c r="M1" s="67"/>
      <c r="N1" s="68"/>
      <c r="P1" s="2"/>
    </row>
    <row r="2" spans="1:16" ht="15.75" thickBot="1" x14ac:dyDescent="0.3">
      <c r="A2" s="70"/>
      <c r="B2" s="72"/>
      <c r="C2" s="74"/>
      <c r="D2" s="76"/>
      <c r="E2" s="12" t="s">
        <v>27</v>
      </c>
      <c r="F2" s="78"/>
      <c r="G2" s="65"/>
      <c r="H2" s="65"/>
      <c r="I2" s="65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9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s="82" customFormat="1" x14ac:dyDescent="0.25">
      <c r="A4" s="28" t="s">
        <v>238</v>
      </c>
      <c r="B4" s="29" t="s">
        <v>239</v>
      </c>
      <c r="C4" s="79" t="s">
        <v>33</v>
      </c>
      <c r="D4" s="30" t="s">
        <v>34</v>
      </c>
      <c r="E4" s="30" t="s">
        <v>35</v>
      </c>
      <c r="F4" s="80" t="s">
        <v>36</v>
      </c>
      <c r="G4" s="28" t="s">
        <v>240</v>
      </c>
      <c r="H4" s="80" t="s">
        <v>37</v>
      </c>
      <c r="I4" s="28" t="s">
        <v>241</v>
      </c>
      <c r="J4" s="33" t="s">
        <v>38</v>
      </c>
      <c r="K4" s="29" t="s">
        <v>29</v>
      </c>
      <c r="L4" s="34"/>
      <c r="M4" s="34"/>
      <c r="N4" s="81" t="s">
        <v>39</v>
      </c>
    </row>
    <row r="5" spans="1:16" x14ac:dyDescent="0.25">
      <c r="A5" s="8" t="s">
        <v>208</v>
      </c>
      <c r="B5">
        <v>1</v>
      </c>
      <c r="C5">
        <v>22726</v>
      </c>
      <c r="E5" s="10" t="s">
        <v>209</v>
      </c>
      <c r="G5" t="s">
        <v>208</v>
      </c>
      <c r="I5" t="s">
        <v>202</v>
      </c>
      <c r="J5" s="63" t="s">
        <v>237</v>
      </c>
      <c r="N5" s="58">
        <v>32220</v>
      </c>
    </row>
    <row r="6" spans="1:16" x14ac:dyDescent="0.25">
      <c r="A6" s="8" t="s">
        <v>208</v>
      </c>
      <c r="B6">
        <v>1</v>
      </c>
      <c r="C6">
        <v>22689</v>
      </c>
      <c r="E6" s="10" t="s">
        <v>211</v>
      </c>
      <c r="G6" t="s">
        <v>208</v>
      </c>
      <c r="I6" t="s">
        <v>202</v>
      </c>
      <c r="J6" s="63" t="s">
        <v>237</v>
      </c>
      <c r="N6" s="58">
        <v>51300</v>
      </c>
    </row>
    <row r="7" spans="1:16" x14ac:dyDescent="0.25">
      <c r="A7" s="8" t="s">
        <v>208</v>
      </c>
      <c r="B7">
        <v>1</v>
      </c>
      <c r="C7">
        <v>22724</v>
      </c>
      <c r="E7" s="10" t="s">
        <v>213</v>
      </c>
      <c r="G7" t="s">
        <v>208</v>
      </c>
      <c r="I7" t="s">
        <v>202</v>
      </c>
      <c r="J7" s="63" t="s">
        <v>237</v>
      </c>
      <c r="N7" s="58">
        <v>37780</v>
      </c>
    </row>
    <row r="8" spans="1:16" x14ac:dyDescent="0.25">
      <c r="A8" s="8" t="s">
        <v>208</v>
      </c>
      <c r="B8">
        <v>1</v>
      </c>
      <c r="C8">
        <v>22684</v>
      </c>
      <c r="E8" s="10" t="s">
        <v>215</v>
      </c>
      <c r="G8" t="s">
        <v>208</v>
      </c>
      <c r="I8" t="s">
        <v>202</v>
      </c>
      <c r="J8" s="63" t="s">
        <v>237</v>
      </c>
      <c r="N8" s="58">
        <v>50580</v>
      </c>
    </row>
    <row r="9" spans="1:16" x14ac:dyDescent="0.25">
      <c r="A9" s="8" t="s">
        <v>208</v>
      </c>
      <c r="B9">
        <v>1</v>
      </c>
      <c r="C9">
        <v>22671</v>
      </c>
      <c r="E9" s="10" t="s">
        <v>217</v>
      </c>
      <c r="G9" t="s">
        <v>208</v>
      </c>
      <c r="I9" t="s">
        <v>202</v>
      </c>
      <c r="J9" s="63" t="s">
        <v>237</v>
      </c>
      <c r="N9" s="58">
        <v>49920</v>
      </c>
    </row>
    <row r="10" spans="1:16" x14ac:dyDescent="0.25">
      <c r="A10" s="8" t="s">
        <v>208</v>
      </c>
      <c r="B10">
        <v>1</v>
      </c>
      <c r="C10">
        <v>22679</v>
      </c>
      <c r="E10" s="10" t="s">
        <v>219</v>
      </c>
      <c r="G10" t="s">
        <v>208</v>
      </c>
      <c r="I10" t="s">
        <v>202</v>
      </c>
      <c r="J10" s="63" t="s">
        <v>237</v>
      </c>
      <c r="N10" s="58">
        <v>48520</v>
      </c>
    </row>
    <row r="11" spans="1:16" x14ac:dyDescent="0.25">
      <c r="A11" s="8" t="s">
        <v>208</v>
      </c>
      <c r="B11">
        <v>1</v>
      </c>
      <c r="C11">
        <v>22664</v>
      </c>
      <c r="E11" s="10" t="s">
        <v>221</v>
      </c>
      <c r="G11" t="s">
        <v>208</v>
      </c>
      <c r="I11" t="s">
        <v>202</v>
      </c>
      <c r="J11" s="63" t="s">
        <v>237</v>
      </c>
      <c r="N11" s="58">
        <v>31320</v>
      </c>
    </row>
    <row r="12" spans="1:16" x14ac:dyDescent="0.25">
      <c r="A12" s="8" t="s">
        <v>208</v>
      </c>
      <c r="B12">
        <v>1</v>
      </c>
      <c r="C12">
        <v>22696</v>
      </c>
      <c r="E12" s="10" t="s">
        <v>223</v>
      </c>
      <c r="G12" t="s">
        <v>208</v>
      </c>
      <c r="I12" t="s">
        <v>202</v>
      </c>
      <c r="J12" s="63" t="s">
        <v>237</v>
      </c>
      <c r="N12" s="58">
        <v>51080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workbookViewId="0">
      <selection activeCell="I5" sqref="I5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69" t="s">
        <v>18</v>
      </c>
      <c r="B1" s="71" t="s">
        <v>19</v>
      </c>
      <c r="C1" s="73" t="s">
        <v>20</v>
      </c>
      <c r="D1" s="75" t="s">
        <v>21</v>
      </c>
      <c r="E1" s="11" t="s">
        <v>22</v>
      </c>
      <c r="F1" s="77" t="s">
        <v>23</v>
      </c>
      <c r="G1" s="64" t="s">
        <v>1</v>
      </c>
      <c r="H1" s="64" t="s">
        <v>24</v>
      </c>
      <c r="I1" s="64" t="s">
        <v>25</v>
      </c>
      <c r="J1" s="66" t="s">
        <v>26</v>
      </c>
      <c r="K1" s="67"/>
      <c r="L1" s="67"/>
      <c r="M1" s="67"/>
      <c r="N1" s="68"/>
    </row>
    <row r="2" spans="1:14" ht="15.75" thickBot="1" x14ac:dyDescent="0.3">
      <c r="A2" s="70"/>
      <c r="B2" s="72"/>
      <c r="C2" s="74"/>
      <c r="D2" s="76"/>
      <c r="E2" s="12" t="s">
        <v>27</v>
      </c>
      <c r="F2" s="78"/>
      <c r="G2" s="65"/>
      <c r="H2" s="65"/>
      <c r="I2" s="65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57" t="str">
        <f>I6</f>
        <v>02.939.402/0005-05</v>
      </c>
      <c r="J4" s="33" t="s">
        <v>38</v>
      </c>
      <c r="K4" s="29" t="s">
        <v>29</v>
      </c>
      <c r="L4" s="34"/>
      <c r="M4" s="34"/>
      <c r="N4" s="35" t="s">
        <v>39</v>
      </c>
    </row>
    <row r="5" spans="1:14" x14ac:dyDescent="0.25">
      <c r="A5" s="40" t="str">
        <f>A6</f>
        <v>F</v>
      </c>
      <c r="B5" s="40"/>
      <c r="C5" s="40" t="str">
        <f>C6</f>
        <v>P</v>
      </c>
      <c r="D5" s="40"/>
      <c r="E5" s="40" t="str">
        <f>E6</f>
        <v>L</v>
      </c>
      <c r="F5" s="40"/>
      <c r="G5" s="40"/>
      <c r="H5" s="40"/>
      <c r="I5" s="40"/>
      <c r="J5" s="40" t="str">
        <f>J6</f>
        <v>I</v>
      </c>
      <c r="K5" s="40"/>
      <c r="L5" s="40"/>
      <c r="M5" s="40"/>
      <c r="N5" s="40" t="str">
        <f>N6</f>
        <v>O</v>
      </c>
    </row>
    <row r="6" spans="1:14" x14ac:dyDescent="0.25">
      <c r="A6" s="38" t="s">
        <v>199</v>
      </c>
      <c r="B6" s="38" t="s">
        <v>46</v>
      </c>
      <c r="C6" s="38" t="s">
        <v>200</v>
      </c>
      <c r="D6" s="39" t="s">
        <v>47</v>
      </c>
      <c r="E6" s="38" t="s">
        <v>201</v>
      </c>
      <c r="F6" s="39" t="s">
        <v>47</v>
      </c>
      <c r="G6" s="38" t="s">
        <v>48</v>
      </c>
      <c r="H6" s="39" t="s">
        <v>47</v>
      </c>
      <c r="I6" s="39" t="s">
        <v>202</v>
      </c>
      <c r="J6" s="38" t="s">
        <v>203</v>
      </c>
      <c r="K6" s="39" t="s">
        <v>47</v>
      </c>
      <c r="L6" s="39" t="s">
        <v>47</v>
      </c>
      <c r="M6" s="39" t="s">
        <v>47</v>
      </c>
      <c r="N6" s="38" t="s">
        <v>189</v>
      </c>
    </row>
    <row r="14" spans="1:14" x14ac:dyDescent="0.25">
      <c r="I14" s="41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1">
    <dataValidation type="list" allowBlank="1" showInputMessage="1" showErrorMessage="1" sqref="A6 C6 E6" xr:uid="{00000000-0002-0000-0100-000000000000}">
      <formula1>"A,B,C,D,E,F,G,H,I,J,K,L,M,N,O,P,Q,R,S,T,U,V,X,Z"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F3842"/>
  <sheetViews>
    <sheetView workbookViewId="0">
      <selection activeCell="L2" sqref="L2"/>
    </sheetView>
  </sheetViews>
  <sheetFormatPr defaultRowHeight="15" x14ac:dyDescent="0.25"/>
  <cols>
    <col min="1" max="1" width="15.140625" style="62" bestFit="1" customWidth="1"/>
  </cols>
  <sheetData>
    <row r="1" spans="1:32" x14ac:dyDescent="0.25">
      <c r="A1" s="62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142</v>
      </c>
      <c r="V1" t="s">
        <v>143</v>
      </c>
      <c r="W1" t="s">
        <v>144</v>
      </c>
      <c r="X1" t="s">
        <v>145</v>
      </c>
      <c r="Y1" t="s">
        <v>146</v>
      </c>
      <c r="Z1" t="s">
        <v>147</v>
      </c>
      <c r="AA1" t="s">
        <v>148</v>
      </c>
      <c r="AB1" t="s">
        <v>149</v>
      </c>
    </row>
    <row r="2" spans="1:32" x14ac:dyDescent="0.25">
      <c r="A2" s="62">
        <v>240</v>
      </c>
      <c r="B2" t="s">
        <v>204</v>
      </c>
      <c r="C2" t="s">
        <v>205</v>
      </c>
      <c r="D2" t="s">
        <v>206</v>
      </c>
      <c r="E2" t="s">
        <v>207</v>
      </c>
      <c r="F2" t="s">
        <v>208</v>
      </c>
      <c r="G2" t="s">
        <v>94</v>
      </c>
      <c r="H2" t="s">
        <v>64</v>
      </c>
      <c r="I2" s="60">
        <v>44328</v>
      </c>
      <c r="J2" s="61">
        <v>0.88336805555555553</v>
      </c>
      <c r="K2">
        <v>24</v>
      </c>
      <c r="L2" s="10" t="s">
        <v>209</v>
      </c>
      <c r="M2">
        <v>16140</v>
      </c>
      <c r="N2">
        <v>48360</v>
      </c>
      <c r="O2">
        <v>32220</v>
      </c>
      <c r="P2">
        <v>22726</v>
      </c>
      <c r="Q2">
        <v>1</v>
      </c>
      <c r="R2">
        <v>32280</v>
      </c>
      <c r="S2">
        <v>32220</v>
      </c>
      <c r="T2" t="s">
        <v>210</v>
      </c>
      <c r="V2" t="s">
        <v>150</v>
      </c>
      <c r="W2" t="s">
        <v>150</v>
      </c>
      <c r="X2" t="s">
        <v>151</v>
      </c>
      <c r="Y2" t="s">
        <v>152</v>
      </c>
      <c r="Z2" t="s">
        <v>153</v>
      </c>
      <c r="AA2" t="s">
        <v>154</v>
      </c>
      <c r="AB2" t="s">
        <v>155</v>
      </c>
      <c r="AC2" t="s">
        <v>190</v>
      </c>
      <c r="AD2" s="59" t="s">
        <v>191</v>
      </c>
      <c r="AE2" s="59" t="s">
        <v>154</v>
      </c>
      <c r="AF2" t="s">
        <v>155</v>
      </c>
    </row>
    <row r="3" spans="1:32" x14ac:dyDescent="0.25">
      <c r="A3" s="62">
        <v>240</v>
      </c>
      <c r="B3" t="s">
        <v>204</v>
      </c>
      <c r="C3" t="s">
        <v>205</v>
      </c>
      <c r="D3" t="s">
        <v>206</v>
      </c>
      <c r="E3" t="s">
        <v>207</v>
      </c>
      <c r="F3" t="s">
        <v>208</v>
      </c>
      <c r="G3" t="s">
        <v>94</v>
      </c>
      <c r="H3" t="s">
        <v>64</v>
      </c>
      <c r="I3" s="60">
        <v>44328</v>
      </c>
      <c r="J3" s="61">
        <v>9.7013888888888886E-2</v>
      </c>
      <c r="K3">
        <v>19</v>
      </c>
      <c r="L3" s="10" t="s">
        <v>211</v>
      </c>
      <c r="M3">
        <v>22620</v>
      </c>
      <c r="N3">
        <v>73920</v>
      </c>
      <c r="O3">
        <v>51300</v>
      </c>
      <c r="P3">
        <v>22689</v>
      </c>
      <c r="Q3">
        <v>1</v>
      </c>
      <c r="R3">
        <v>51360</v>
      </c>
      <c r="S3">
        <v>51300</v>
      </c>
      <c r="T3" t="s">
        <v>212</v>
      </c>
      <c r="V3" t="s">
        <v>156</v>
      </c>
      <c r="W3" t="s">
        <v>156</v>
      </c>
      <c r="X3" t="s">
        <v>157</v>
      </c>
      <c r="Y3" t="s">
        <v>158</v>
      </c>
      <c r="Z3" t="s">
        <v>159</v>
      </c>
      <c r="AA3" t="s">
        <v>160</v>
      </c>
      <c r="AB3" t="s">
        <v>161</v>
      </c>
      <c r="AC3" t="s">
        <v>190</v>
      </c>
      <c r="AD3" s="59" t="s">
        <v>192</v>
      </c>
      <c r="AE3" s="59" t="s">
        <v>160</v>
      </c>
      <c r="AF3" t="s">
        <v>161</v>
      </c>
    </row>
    <row r="4" spans="1:32" x14ac:dyDescent="0.25">
      <c r="A4" s="62">
        <v>240</v>
      </c>
      <c r="B4" t="s">
        <v>204</v>
      </c>
      <c r="C4" t="s">
        <v>205</v>
      </c>
      <c r="D4" t="s">
        <v>206</v>
      </c>
      <c r="E4" t="s">
        <v>207</v>
      </c>
      <c r="F4" t="s">
        <v>208</v>
      </c>
      <c r="G4" t="s">
        <v>94</v>
      </c>
      <c r="H4" t="s">
        <v>64</v>
      </c>
      <c r="I4" s="60">
        <v>44328</v>
      </c>
      <c r="J4" s="61">
        <v>0.92401620370370363</v>
      </c>
      <c r="K4">
        <v>25</v>
      </c>
      <c r="L4" s="10" t="s">
        <v>213</v>
      </c>
      <c r="M4">
        <v>18920</v>
      </c>
      <c r="N4">
        <v>56700</v>
      </c>
      <c r="O4">
        <v>37780</v>
      </c>
      <c r="P4">
        <v>22724</v>
      </c>
      <c r="Q4">
        <v>1</v>
      </c>
      <c r="R4">
        <v>37980</v>
      </c>
      <c r="S4">
        <v>37780</v>
      </c>
      <c r="T4" t="s">
        <v>214</v>
      </c>
      <c r="V4" t="s">
        <v>162</v>
      </c>
      <c r="W4" t="s">
        <v>162</v>
      </c>
      <c r="X4" t="s">
        <v>163</v>
      </c>
      <c r="Y4" t="s">
        <v>164</v>
      </c>
      <c r="Z4" t="s">
        <v>165</v>
      </c>
      <c r="AA4" t="s">
        <v>166</v>
      </c>
      <c r="AB4" t="s">
        <v>155</v>
      </c>
      <c r="AC4" t="s">
        <v>193</v>
      </c>
      <c r="AD4" s="59" t="s">
        <v>194</v>
      </c>
      <c r="AE4" s="59" t="s">
        <v>166</v>
      </c>
      <c r="AF4" t="s">
        <v>155</v>
      </c>
    </row>
    <row r="5" spans="1:32" x14ac:dyDescent="0.25">
      <c r="A5" s="62">
        <v>240</v>
      </c>
      <c r="B5" t="s">
        <v>204</v>
      </c>
      <c r="C5" t="s">
        <v>205</v>
      </c>
      <c r="D5" t="s">
        <v>206</v>
      </c>
      <c r="E5" t="s">
        <v>207</v>
      </c>
      <c r="F5" t="s">
        <v>208</v>
      </c>
      <c r="G5" t="s">
        <v>94</v>
      </c>
      <c r="H5" t="s">
        <v>64</v>
      </c>
      <c r="I5" s="60">
        <v>44328</v>
      </c>
      <c r="J5" s="61">
        <v>0.53972222222222221</v>
      </c>
      <c r="K5">
        <v>21</v>
      </c>
      <c r="L5" s="10" t="s">
        <v>215</v>
      </c>
      <c r="M5">
        <v>23000</v>
      </c>
      <c r="N5">
        <v>73580</v>
      </c>
      <c r="O5">
        <v>50580</v>
      </c>
      <c r="P5">
        <v>22684</v>
      </c>
      <c r="Q5">
        <v>1</v>
      </c>
      <c r="R5">
        <v>50620</v>
      </c>
      <c r="S5">
        <v>50580</v>
      </c>
      <c r="T5" t="s">
        <v>216</v>
      </c>
      <c r="V5" t="s">
        <v>167</v>
      </c>
      <c r="W5" t="s">
        <v>167</v>
      </c>
      <c r="X5" t="s">
        <v>168</v>
      </c>
      <c r="Y5" t="s">
        <v>169</v>
      </c>
      <c r="Z5" t="s">
        <v>170</v>
      </c>
      <c r="AA5" t="s">
        <v>171</v>
      </c>
      <c r="AB5" t="s">
        <v>172</v>
      </c>
      <c r="AC5" t="s">
        <v>193</v>
      </c>
      <c r="AD5" s="59" t="s">
        <v>195</v>
      </c>
      <c r="AE5" s="59" t="s">
        <v>171</v>
      </c>
      <c r="AF5" t="s">
        <v>172</v>
      </c>
    </row>
    <row r="6" spans="1:32" x14ac:dyDescent="0.25">
      <c r="A6" s="62">
        <v>240</v>
      </c>
      <c r="B6" t="s">
        <v>204</v>
      </c>
      <c r="C6" t="s">
        <v>205</v>
      </c>
      <c r="D6" t="s">
        <v>206</v>
      </c>
      <c r="E6" t="s">
        <v>207</v>
      </c>
      <c r="F6" t="s">
        <v>208</v>
      </c>
      <c r="G6" t="s">
        <v>94</v>
      </c>
      <c r="H6" t="s">
        <v>64</v>
      </c>
      <c r="I6" s="60">
        <v>44328</v>
      </c>
      <c r="J6" s="61">
        <v>0.85116898148148146</v>
      </c>
      <c r="K6">
        <v>22</v>
      </c>
      <c r="L6" s="10" t="s">
        <v>217</v>
      </c>
      <c r="M6">
        <v>23460</v>
      </c>
      <c r="N6">
        <v>73380</v>
      </c>
      <c r="O6">
        <v>49920</v>
      </c>
      <c r="P6">
        <v>22671</v>
      </c>
      <c r="Q6">
        <v>1</v>
      </c>
      <c r="R6">
        <v>50120</v>
      </c>
      <c r="S6">
        <v>49920</v>
      </c>
      <c r="T6" t="s">
        <v>218</v>
      </c>
      <c r="V6" t="s">
        <v>173</v>
      </c>
      <c r="W6" t="s">
        <v>173</v>
      </c>
      <c r="X6" t="s">
        <v>174</v>
      </c>
      <c r="Y6" t="s">
        <v>175</v>
      </c>
      <c r="Z6" t="s">
        <v>170</v>
      </c>
      <c r="AA6" t="s">
        <v>176</v>
      </c>
      <c r="AB6" t="s">
        <v>177</v>
      </c>
      <c r="AC6" t="s">
        <v>193</v>
      </c>
      <c r="AD6" s="59" t="s">
        <v>196</v>
      </c>
      <c r="AE6" s="59" t="s">
        <v>176</v>
      </c>
      <c r="AF6" t="s">
        <v>177</v>
      </c>
    </row>
    <row r="7" spans="1:32" x14ac:dyDescent="0.25">
      <c r="A7" s="62">
        <v>240</v>
      </c>
      <c r="B7" t="s">
        <v>204</v>
      </c>
      <c r="C7" t="s">
        <v>205</v>
      </c>
      <c r="D7" t="s">
        <v>206</v>
      </c>
      <c r="E7" t="s">
        <v>207</v>
      </c>
      <c r="F7" t="s">
        <v>208</v>
      </c>
      <c r="G7" t="s">
        <v>94</v>
      </c>
      <c r="H7" t="s">
        <v>64</v>
      </c>
      <c r="I7" s="60">
        <v>44328</v>
      </c>
      <c r="J7" s="61">
        <v>0.3966898148148148</v>
      </c>
      <c r="K7">
        <v>20</v>
      </c>
      <c r="L7" s="10" t="s">
        <v>219</v>
      </c>
      <c r="M7">
        <v>25100</v>
      </c>
      <c r="N7">
        <v>73620</v>
      </c>
      <c r="O7">
        <v>48520</v>
      </c>
      <c r="P7">
        <v>22679</v>
      </c>
      <c r="Q7">
        <v>1</v>
      </c>
      <c r="R7">
        <v>48660</v>
      </c>
      <c r="S7">
        <v>48520</v>
      </c>
      <c r="T7" t="s">
        <v>220</v>
      </c>
      <c r="V7" t="s">
        <v>178</v>
      </c>
      <c r="W7" t="s">
        <v>178</v>
      </c>
      <c r="X7" t="s">
        <v>179</v>
      </c>
      <c r="Y7" t="s">
        <v>180</v>
      </c>
      <c r="Z7" t="s">
        <v>181</v>
      </c>
      <c r="AA7" t="s">
        <v>182</v>
      </c>
      <c r="AB7" t="s">
        <v>155</v>
      </c>
      <c r="AC7" t="s">
        <v>193</v>
      </c>
      <c r="AD7" s="59" t="s">
        <v>197</v>
      </c>
      <c r="AE7" s="59" t="s">
        <v>182</v>
      </c>
      <c r="AF7" t="s">
        <v>155</v>
      </c>
    </row>
    <row r="8" spans="1:32" x14ac:dyDescent="0.25">
      <c r="A8" s="62">
        <v>240</v>
      </c>
      <c r="B8" t="s">
        <v>204</v>
      </c>
      <c r="C8" t="s">
        <v>205</v>
      </c>
      <c r="D8" t="s">
        <v>206</v>
      </c>
      <c r="E8" t="s">
        <v>207</v>
      </c>
      <c r="F8" t="s">
        <v>208</v>
      </c>
      <c r="G8" t="s">
        <v>94</v>
      </c>
      <c r="H8" t="s">
        <v>64</v>
      </c>
      <c r="I8" s="60">
        <v>44328</v>
      </c>
      <c r="J8" s="61">
        <v>8.1064814814814812E-2</v>
      </c>
      <c r="K8">
        <v>18</v>
      </c>
      <c r="L8" s="10" t="s">
        <v>221</v>
      </c>
      <c r="M8">
        <v>17020</v>
      </c>
      <c r="N8">
        <v>48340</v>
      </c>
      <c r="O8">
        <v>31320</v>
      </c>
      <c r="P8">
        <v>22664</v>
      </c>
      <c r="Q8">
        <v>1</v>
      </c>
      <c r="R8">
        <v>31400</v>
      </c>
      <c r="S8">
        <v>31320</v>
      </c>
      <c r="T8" t="s">
        <v>222</v>
      </c>
      <c r="V8" t="s">
        <v>183</v>
      </c>
      <c r="W8" t="s">
        <v>183</v>
      </c>
      <c r="X8" t="s">
        <v>184</v>
      </c>
      <c r="Y8" t="s">
        <v>185</v>
      </c>
      <c r="Z8" t="s">
        <v>186</v>
      </c>
      <c r="AA8" t="s">
        <v>187</v>
      </c>
      <c r="AB8" t="s">
        <v>188</v>
      </c>
      <c r="AC8" t="s">
        <v>193</v>
      </c>
      <c r="AD8" s="59" t="s">
        <v>198</v>
      </c>
      <c r="AE8" s="59" t="s">
        <v>187</v>
      </c>
      <c r="AF8" t="s">
        <v>188</v>
      </c>
    </row>
    <row r="9" spans="1:32" x14ac:dyDescent="0.25">
      <c r="A9" s="62">
        <v>240</v>
      </c>
      <c r="B9" t="s">
        <v>204</v>
      </c>
      <c r="C9" t="s">
        <v>205</v>
      </c>
      <c r="D9" t="s">
        <v>206</v>
      </c>
      <c r="E9" t="s">
        <v>207</v>
      </c>
      <c r="F9" t="s">
        <v>208</v>
      </c>
      <c r="G9" t="s">
        <v>94</v>
      </c>
      <c r="H9" t="s">
        <v>64</v>
      </c>
      <c r="I9" s="60">
        <v>44328</v>
      </c>
      <c r="J9" s="61">
        <v>0.88971064814814815</v>
      </c>
      <c r="K9">
        <v>23</v>
      </c>
      <c r="L9" s="10" t="s">
        <v>223</v>
      </c>
      <c r="M9">
        <v>22440</v>
      </c>
      <c r="N9">
        <v>73520</v>
      </c>
      <c r="O9">
        <v>51080</v>
      </c>
      <c r="P9">
        <v>22696</v>
      </c>
      <c r="Q9">
        <v>1</v>
      </c>
      <c r="R9">
        <v>51200</v>
      </c>
      <c r="S9">
        <v>51080</v>
      </c>
      <c r="T9" t="s">
        <v>224</v>
      </c>
    </row>
    <row r="10" spans="1:32" hidden="1" x14ac:dyDescent="0.25">
      <c r="A10" s="62">
        <v>243</v>
      </c>
      <c r="B10" t="s">
        <v>204</v>
      </c>
      <c r="C10" t="s">
        <v>205</v>
      </c>
      <c r="D10" t="s">
        <v>206</v>
      </c>
      <c r="E10" t="s">
        <v>207</v>
      </c>
      <c r="F10" s="10" t="s">
        <v>225</v>
      </c>
      <c r="G10" t="s">
        <v>226</v>
      </c>
      <c r="H10" t="s">
        <v>64</v>
      </c>
      <c r="I10" s="60">
        <v>44328</v>
      </c>
      <c r="J10" s="61">
        <v>0.73782407407407413</v>
      </c>
      <c r="K10">
        <v>6</v>
      </c>
      <c r="L10" s="10" t="s">
        <v>227</v>
      </c>
      <c r="M10">
        <v>20000</v>
      </c>
      <c r="N10">
        <v>57240</v>
      </c>
      <c r="O10">
        <v>37240</v>
      </c>
      <c r="P10">
        <v>32427</v>
      </c>
      <c r="Q10">
        <v>1</v>
      </c>
      <c r="R10">
        <v>37330</v>
      </c>
      <c r="S10">
        <v>37240</v>
      </c>
      <c r="T10" t="s">
        <v>228</v>
      </c>
    </row>
    <row r="11" spans="1:32" hidden="1" x14ac:dyDescent="0.25">
      <c r="A11" s="62">
        <v>243</v>
      </c>
      <c r="B11" t="s">
        <v>204</v>
      </c>
      <c r="C11" t="s">
        <v>205</v>
      </c>
      <c r="D11" t="s">
        <v>206</v>
      </c>
      <c r="E11" t="s">
        <v>207</v>
      </c>
      <c r="F11" s="10" t="s">
        <v>225</v>
      </c>
      <c r="G11" t="s">
        <v>226</v>
      </c>
      <c r="H11" t="s">
        <v>64</v>
      </c>
      <c r="I11" s="60">
        <v>44328</v>
      </c>
      <c r="J11" s="61">
        <v>0.11025462962962962</v>
      </c>
      <c r="K11">
        <v>4</v>
      </c>
      <c r="L11" s="10" t="s">
        <v>229</v>
      </c>
      <c r="M11">
        <v>16860</v>
      </c>
      <c r="N11">
        <v>48580</v>
      </c>
      <c r="O11">
        <v>31720</v>
      </c>
      <c r="P11">
        <v>32422</v>
      </c>
      <c r="Q11">
        <v>1</v>
      </c>
      <c r="R11">
        <v>31720</v>
      </c>
      <c r="S11">
        <v>31720</v>
      </c>
      <c r="T11" t="s">
        <v>230</v>
      </c>
    </row>
    <row r="12" spans="1:32" hidden="1" x14ac:dyDescent="0.25">
      <c r="A12" s="62">
        <v>243</v>
      </c>
      <c r="B12" t="s">
        <v>204</v>
      </c>
      <c r="C12" t="s">
        <v>205</v>
      </c>
      <c r="D12" t="s">
        <v>206</v>
      </c>
      <c r="E12" t="s">
        <v>207</v>
      </c>
      <c r="F12" s="10" t="s">
        <v>225</v>
      </c>
      <c r="G12" t="s">
        <v>226</v>
      </c>
      <c r="H12" t="s">
        <v>64</v>
      </c>
      <c r="I12" s="60">
        <v>44328</v>
      </c>
      <c r="J12" s="61">
        <v>0.736261574074074</v>
      </c>
      <c r="K12">
        <v>5</v>
      </c>
      <c r="L12" s="10" t="s">
        <v>231</v>
      </c>
      <c r="M12">
        <v>20240</v>
      </c>
      <c r="N12">
        <v>57300</v>
      </c>
      <c r="O12">
        <v>37060</v>
      </c>
      <c r="P12">
        <v>32445</v>
      </c>
      <c r="Q12">
        <v>1</v>
      </c>
      <c r="R12">
        <v>37090</v>
      </c>
      <c r="S12">
        <v>37060</v>
      </c>
      <c r="T12" t="s">
        <v>232</v>
      </c>
    </row>
    <row r="13" spans="1:32" hidden="1" x14ac:dyDescent="0.25">
      <c r="A13" s="62">
        <v>243</v>
      </c>
      <c r="B13" t="s">
        <v>204</v>
      </c>
      <c r="C13" t="s">
        <v>205</v>
      </c>
      <c r="D13" t="s">
        <v>206</v>
      </c>
      <c r="E13" t="s">
        <v>207</v>
      </c>
      <c r="F13" s="10" t="s">
        <v>225</v>
      </c>
      <c r="G13" t="s">
        <v>226</v>
      </c>
      <c r="H13" t="s">
        <v>64</v>
      </c>
      <c r="I13" s="60">
        <v>44328</v>
      </c>
      <c r="J13" s="61">
        <v>0.10769675925925926</v>
      </c>
      <c r="K13">
        <v>3</v>
      </c>
      <c r="L13" s="10" t="s">
        <v>233</v>
      </c>
      <c r="M13">
        <v>17200</v>
      </c>
      <c r="N13">
        <v>48400</v>
      </c>
      <c r="O13">
        <v>31200</v>
      </c>
      <c r="P13">
        <v>32433</v>
      </c>
      <c r="Q13">
        <v>1</v>
      </c>
      <c r="R13">
        <v>31200</v>
      </c>
      <c r="S13">
        <v>31200</v>
      </c>
      <c r="T13" t="s">
        <v>234</v>
      </c>
    </row>
    <row r="14" spans="1:32" hidden="1" x14ac:dyDescent="0.25">
      <c r="A14" s="62">
        <v>243</v>
      </c>
      <c r="B14" t="s">
        <v>204</v>
      </c>
      <c r="C14" t="s">
        <v>205</v>
      </c>
      <c r="D14" t="s">
        <v>206</v>
      </c>
      <c r="E14" t="s">
        <v>207</v>
      </c>
      <c r="F14" s="10" t="s">
        <v>225</v>
      </c>
      <c r="G14" t="s">
        <v>226</v>
      </c>
      <c r="H14" t="s">
        <v>64</v>
      </c>
      <c r="I14" s="60">
        <v>44328</v>
      </c>
      <c r="J14" s="61">
        <v>0.73976851851851855</v>
      </c>
      <c r="K14">
        <v>7</v>
      </c>
      <c r="L14" s="10" t="s">
        <v>235</v>
      </c>
      <c r="M14">
        <v>16560</v>
      </c>
      <c r="N14">
        <v>48480</v>
      </c>
      <c r="O14">
        <v>31920</v>
      </c>
      <c r="P14">
        <v>32450</v>
      </c>
      <c r="Q14">
        <v>1</v>
      </c>
      <c r="R14">
        <v>31950</v>
      </c>
      <c r="S14">
        <v>31920</v>
      </c>
      <c r="T14" t="s">
        <v>236</v>
      </c>
    </row>
    <row r="15" spans="1:32" hidden="1" x14ac:dyDescent="0.25"/>
    <row r="16" spans="1:3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1D23E4D7-5A94-4CFF-8E3D-ED3AE45E82D2}">
    <filterColumn colId="5">
      <filters>
        <filter val="29.332.398/0003-07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K5" sqref="K5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1" t="s">
        <v>36</v>
      </c>
      <c r="B1" s="52" t="s">
        <v>49</v>
      </c>
      <c r="C1" s="52" t="s">
        <v>50</v>
      </c>
      <c r="D1" s="53" t="s">
        <v>51</v>
      </c>
      <c r="E1" s="52" t="s">
        <v>0</v>
      </c>
      <c r="F1" s="53" t="s">
        <v>51</v>
      </c>
    </row>
    <row r="2" spans="1:13" ht="15.75" x14ac:dyDescent="0.25">
      <c r="A2" s="42" t="s">
        <v>52</v>
      </c>
      <c r="B2" s="43" t="s">
        <v>53</v>
      </c>
      <c r="C2" s="44">
        <v>101</v>
      </c>
      <c r="D2" s="42">
        <v>2</v>
      </c>
      <c r="E2" s="54" t="s">
        <v>101</v>
      </c>
      <c r="F2" s="42">
        <v>2</v>
      </c>
      <c r="H2" s="4"/>
      <c r="L2" s="9"/>
      <c r="M2" s="9"/>
    </row>
    <row r="3" spans="1:13" ht="15.75" x14ac:dyDescent="0.25">
      <c r="A3" s="45" t="s">
        <v>54</v>
      </c>
      <c r="B3" s="46" t="s">
        <v>55</v>
      </c>
      <c r="C3" s="47">
        <v>103</v>
      </c>
      <c r="D3" s="45">
        <v>1</v>
      </c>
      <c r="E3" s="55" t="s">
        <v>102</v>
      </c>
      <c r="F3" s="45">
        <v>1</v>
      </c>
      <c r="H3" s="4"/>
      <c r="L3" s="9"/>
      <c r="M3" s="9"/>
    </row>
    <row r="4" spans="1:13" ht="15.75" x14ac:dyDescent="0.25">
      <c r="A4" s="42" t="s">
        <v>56</v>
      </c>
      <c r="B4" s="43" t="s">
        <v>57</v>
      </c>
      <c r="C4" s="44">
        <v>108</v>
      </c>
      <c r="D4" s="42">
        <v>1</v>
      </c>
      <c r="E4" s="54" t="s">
        <v>103</v>
      </c>
      <c r="F4" s="42">
        <v>1</v>
      </c>
      <c r="H4" s="4"/>
      <c r="I4" s="5"/>
      <c r="K4" s="48"/>
      <c r="L4" s="48" t="s">
        <v>2</v>
      </c>
      <c r="M4" s="48"/>
    </row>
    <row r="5" spans="1:13" ht="15.75" x14ac:dyDescent="0.25">
      <c r="A5" s="45" t="s">
        <v>58</v>
      </c>
      <c r="B5" s="46" t="s">
        <v>55</v>
      </c>
      <c r="C5" s="47">
        <v>110</v>
      </c>
      <c r="D5" s="45">
        <v>1</v>
      </c>
      <c r="E5" s="55" t="s">
        <v>104</v>
      </c>
      <c r="F5" s="45">
        <v>1</v>
      </c>
      <c r="H5" s="6"/>
      <c r="I5" s="1"/>
      <c r="K5" s="48" t="s">
        <v>208</v>
      </c>
      <c r="L5" s="48" t="s">
        <v>9</v>
      </c>
      <c r="M5" s="48" t="s">
        <v>4</v>
      </c>
    </row>
    <row r="6" spans="1:13" ht="15.75" x14ac:dyDescent="0.25">
      <c r="A6" s="42" t="s">
        <v>59</v>
      </c>
      <c r="B6" s="43" t="s">
        <v>60</v>
      </c>
      <c r="C6" s="44">
        <v>116</v>
      </c>
      <c r="D6" s="42">
        <v>6</v>
      </c>
      <c r="E6" s="54" t="s">
        <v>105</v>
      </c>
      <c r="F6" s="42">
        <v>6</v>
      </c>
      <c r="H6" s="6"/>
      <c r="I6" s="7"/>
      <c r="K6" s="50" t="str">
        <f>SUBSTITUTE(SUBSTITUTE(SUBSTITUTE(K5,".",""),"-",""),"/","")</f>
        <v>29332398000307</v>
      </c>
      <c r="L6" s="56" t="s">
        <v>225</v>
      </c>
      <c r="M6" s="49">
        <v>5</v>
      </c>
    </row>
    <row r="7" spans="1:13" ht="15.75" x14ac:dyDescent="0.25">
      <c r="A7" s="45" t="s">
        <v>61</v>
      </c>
      <c r="B7" s="46" t="s">
        <v>62</v>
      </c>
      <c r="C7" s="47">
        <v>131</v>
      </c>
      <c r="D7" s="45">
        <v>2</v>
      </c>
      <c r="E7" s="55" t="s">
        <v>107</v>
      </c>
      <c r="F7" s="45">
        <v>2</v>
      </c>
      <c r="H7" s="4"/>
      <c r="K7" s="48">
        <f>IFERROR(VLOOKUP(K6,E2:F99,2,0),1)</f>
        <v>1</v>
      </c>
      <c r="L7" s="56" t="s">
        <v>208</v>
      </c>
      <c r="M7" s="49">
        <v>8</v>
      </c>
    </row>
    <row r="8" spans="1:13" ht="15.75" x14ac:dyDescent="0.25">
      <c r="A8" s="42" t="s">
        <v>63</v>
      </c>
      <c r="B8" s="43" t="s">
        <v>64</v>
      </c>
      <c r="C8" s="44">
        <v>135</v>
      </c>
      <c r="D8" s="42">
        <v>1</v>
      </c>
      <c r="E8" s="54" t="s">
        <v>106</v>
      </c>
      <c r="F8" s="42">
        <v>1</v>
      </c>
      <c r="K8" s="48"/>
    </row>
    <row r="9" spans="1:13" ht="15.75" x14ac:dyDescent="0.25">
      <c r="A9" s="45" t="s">
        <v>65</v>
      </c>
      <c r="B9" s="46" t="s">
        <v>55</v>
      </c>
      <c r="C9" s="47">
        <v>137</v>
      </c>
      <c r="D9" s="45">
        <v>1</v>
      </c>
      <c r="E9" s="55" t="s">
        <v>108</v>
      </c>
      <c r="F9" s="45">
        <v>1</v>
      </c>
      <c r="K9" s="48"/>
    </row>
    <row r="10" spans="1:13" ht="15.75" x14ac:dyDescent="0.25">
      <c r="A10" s="42" t="s">
        <v>66</v>
      </c>
      <c r="B10" s="43" t="s">
        <v>64</v>
      </c>
      <c r="C10" s="44">
        <v>139</v>
      </c>
      <c r="D10" s="42">
        <v>1</v>
      </c>
      <c r="E10" s="54" t="s">
        <v>109</v>
      </c>
      <c r="F10" s="42">
        <v>1</v>
      </c>
      <c r="K10" s="48"/>
    </row>
    <row r="11" spans="1:13" ht="15.75" x14ac:dyDescent="0.25">
      <c r="A11" s="45" t="s">
        <v>67</v>
      </c>
      <c r="B11" s="46" t="s">
        <v>64</v>
      </c>
      <c r="C11" s="47">
        <v>144</v>
      </c>
      <c r="D11" s="45">
        <v>1</v>
      </c>
      <c r="E11" s="55" t="s">
        <v>110</v>
      </c>
      <c r="F11" s="45">
        <v>1</v>
      </c>
      <c r="K11" s="48"/>
    </row>
    <row r="12" spans="1:13" ht="15.75" x14ac:dyDescent="0.25">
      <c r="A12" s="42" t="s">
        <v>68</v>
      </c>
      <c r="B12" s="43" t="s">
        <v>64</v>
      </c>
      <c r="C12" s="44">
        <v>148</v>
      </c>
      <c r="D12" s="42">
        <v>1</v>
      </c>
      <c r="E12" s="54" t="s">
        <v>111</v>
      </c>
      <c r="F12" s="42">
        <v>1</v>
      </c>
      <c r="K12" s="48"/>
    </row>
    <row r="13" spans="1:13" ht="15.75" x14ac:dyDescent="0.25">
      <c r="A13" s="45" t="s">
        <v>69</v>
      </c>
      <c r="B13" s="46" t="s">
        <v>64</v>
      </c>
      <c r="C13" s="47">
        <v>179</v>
      </c>
      <c r="D13" s="45">
        <v>1</v>
      </c>
      <c r="E13" s="55" t="s">
        <v>112</v>
      </c>
      <c r="F13" s="45">
        <v>1</v>
      </c>
      <c r="K13" s="48"/>
    </row>
    <row r="14" spans="1:13" ht="15.75" x14ac:dyDescent="0.25">
      <c r="A14" s="42" t="s">
        <v>70</v>
      </c>
      <c r="B14" s="43" t="s">
        <v>71</v>
      </c>
      <c r="C14" s="44">
        <v>182</v>
      </c>
      <c r="D14" s="42">
        <v>1</v>
      </c>
      <c r="E14" s="54" t="s">
        <v>113</v>
      </c>
      <c r="F14" s="42">
        <v>1</v>
      </c>
      <c r="K14" s="48"/>
    </row>
    <row r="15" spans="1:13" ht="15.75" x14ac:dyDescent="0.25">
      <c r="A15" s="45" t="s">
        <v>72</v>
      </c>
      <c r="B15" s="46" t="s">
        <v>64</v>
      </c>
      <c r="C15" s="47">
        <v>190</v>
      </c>
      <c r="D15" s="45">
        <v>1</v>
      </c>
      <c r="E15" s="55" t="s">
        <v>114</v>
      </c>
      <c r="F15" s="45">
        <v>1</v>
      </c>
      <c r="K15" s="48"/>
    </row>
    <row r="16" spans="1:13" ht="15.75" x14ac:dyDescent="0.25">
      <c r="A16" s="42" t="s">
        <v>73</v>
      </c>
      <c r="B16" s="43" t="s">
        <v>64</v>
      </c>
      <c r="C16" s="44">
        <v>192</v>
      </c>
      <c r="D16" s="42">
        <v>1</v>
      </c>
      <c r="E16" s="54" t="s">
        <v>115</v>
      </c>
      <c r="F16" s="42">
        <v>1</v>
      </c>
    </row>
    <row r="17" spans="1:6" ht="15.75" x14ac:dyDescent="0.25">
      <c r="A17" s="45" t="s">
        <v>74</v>
      </c>
      <c r="B17" s="46" t="s">
        <v>64</v>
      </c>
      <c r="C17" s="47">
        <v>193</v>
      </c>
      <c r="D17" s="45">
        <v>1</v>
      </c>
      <c r="E17" s="55" t="s">
        <v>116</v>
      </c>
      <c r="F17" s="45">
        <v>1</v>
      </c>
    </row>
    <row r="18" spans="1:6" ht="15.75" x14ac:dyDescent="0.25">
      <c r="A18" s="42" t="s">
        <v>75</v>
      </c>
      <c r="B18" s="43" t="s">
        <v>64</v>
      </c>
      <c r="C18" s="44">
        <v>194</v>
      </c>
      <c r="D18" s="42">
        <v>1</v>
      </c>
      <c r="E18" s="54" t="s">
        <v>117</v>
      </c>
      <c r="F18" s="42">
        <v>1</v>
      </c>
    </row>
    <row r="19" spans="1:6" ht="15.75" x14ac:dyDescent="0.25">
      <c r="A19" s="45" t="s">
        <v>76</v>
      </c>
      <c r="B19" s="46" t="s">
        <v>64</v>
      </c>
      <c r="C19" s="47">
        <v>195</v>
      </c>
      <c r="D19" s="45">
        <v>1</v>
      </c>
      <c r="E19" s="55" t="s">
        <v>118</v>
      </c>
      <c r="F19" s="45">
        <v>1</v>
      </c>
    </row>
    <row r="20" spans="1:6" ht="15.75" x14ac:dyDescent="0.25">
      <c r="A20" s="42" t="s">
        <v>77</v>
      </c>
      <c r="B20" s="43" t="s">
        <v>64</v>
      </c>
      <c r="C20" s="44">
        <v>196</v>
      </c>
      <c r="D20" s="42">
        <v>1</v>
      </c>
      <c r="E20" s="54" t="s">
        <v>119</v>
      </c>
      <c r="F20" s="42">
        <v>1</v>
      </c>
    </row>
    <row r="21" spans="1:6" ht="15.75" x14ac:dyDescent="0.25">
      <c r="A21" s="45" t="s">
        <v>78</v>
      </c>
      <c r="B21" s="46" t="s">
        <v>64</v>
      </c>
      <c r="C21" s="47">
        <v>197</v>
      </c>
      <c r="D21" s="45">
        <v>1</v>
      </c>
      <c r="E21" s="55" t="s">
        <v>120</v>
      </c>
      <c r="F21" s="45">
        <v>1</v>
      </c>
    </row>
    <row r="22" spans="1:6" ht="15.75" x14ac:dyDescent="0.25">
      <c r="A22" s="42" t="s">
        <v>79</v>
      </c>
      <c r="B22" s="43" t="s">
        <v>64</v>
      </c>
      <c r="C22" s="44">
        <v>198</v>
      </c>
      <c r="D22" s="42">
        <v>1</v>
      </c>
      <c r="E22" s="54" t="s">
        <v>121</v>
      </c>
      <c r="F22" s="42">
        <v>1</v>
      </c>
    </row>
    <row r="23" spans="1:6" ht="15.75" x14ac:dyDescent="0.25">
      <c r="A23" s="45" t="s">
        <v>80</v>
      </c>
      <c r="B23" s="46" t="s">
        <v>55</v>
      </c>
      <c r="C23" s="47">
        <v>201</v>
      </c>
      <c r="D23" s="45">
        <v>1</v>
      </c>
      <c r="E23" s="55" t="s">
        <v>122</v>
      </c>
      <c r="F23" s="45">
        <v>1</v>
      </c>
    </row>
    <row r="24" spans="1:6" ht="15.75" x14ac:dyDescent="0.25">
      <c r="A24" s="42" t="s">
        <v>81</v>
      </c>
      <c r="B24" s="43" t="s">
        <v>57</v>
      </c>
      <c r="C24" s="44">
        <v>203</v>
      </c>
      <c r="D24" s="42">
        <v>1</v>
      </c>
      <c r="E24" s="54" t="s">
        <v>123</v>
      </c>
      <c r="F24" s="42">
        <v>1</v>
      </c>
    </row>
    <row r="25" spans="1:6" ht="15.75" x14ac:dyDescent="0.25">
      <c r="A25" s="45" t="s">
        <v>82</v>
      </c>
      <c r="B25" s="46" t="s">
        <v>57</v>
      </c>
      <c r="C25" s="47">
        <v>204</v>
      </c>
      <c r="D25" s="45">
        <v>1</v>
      </c>
      <c r="E25" s="55" t="s">
        <v>124</v>
      </c>
      <c r="F25" s="45">
        <v>1</v>
      </c>
    </row>
    <row r="26" spans="1:6" ht="15.75" x14ac:dyDescent="0.25">
      <c r="A26" s="42" t="s">
        <v>83</v>
      </c>
      <c r="B26" s="43" t="s">
        <v>84</v>
      </c>
      <c r="C26" s="44">
        <v>206</v>
      </c>
      <c r="D26" s="42">
        <v>1</v>
      </c>
      <c r="E26" s="54" t="s">
        <v>125</v>
      </c>
      <c r="F26" s="42">
        <v>1</v>
      </c>
    </row>
    <row r="27" spans="1:6" ht="15.75" x14ac:dyDescent="0.25">
      <c r="A27" s="45" t="s">
        <v>85</v>
      </c>
      <c r="B27" s="46" t="s">
        <v>84</v>
      </c>
      <c r="C27" s="47">
        <v>207</v>
      </c>
      <c r="D27" s="45">
        <v>1</v>
      </c>
      <c r="E27" s="55" t="s">
        <v>126</v>
      </c>
      <c r="F27" s="45">
        <v>1</v>
      </c>
    </row>
    <row r="28" spans="1:6" ht="15.75" x14ac:dyDescent="0.25">
      <c r="A28" s="42" t="s">
        <v>86</v>
      </c>
      <c r="B28" s="43" t="s">
        <v>64</v>
      </c>
      <c r="C28" s="44">
        <v>210</v>
      </c>
      <c r="D28" s="42">
        <v>1</v>
      </c>
      <c r="E28" s="54" t="s">
        <v>127</v>
      </c>
      <c r="F28" s="42">
        <v>1</v>
      </c>
    </row>
    <row r="29" spans="1:6" ht="15.75" x14ac:dyDescent="0.25">
      <c r="A29" s="45" t="s">
        <v>87</v>
      </c>
      <c r="B29" s="46" t="s">
        <v>88</v>
      </c>
      <c r="C29" s="47">
        <v>216</v>
      </c>
      <c r="D29" s="45">
        <v>1</v>
      </c>
      <c r="E29" s="55" t="s">
        <v>128</v>
      </c>
      <c r="F29" s="45">
        <v>1</v>
      </c>
    </row>
    <row r="30" spans="1:6" ht="15.75" x14ac:dyDescent="0.25">
      <c r="A30" s="42" t="s">
        <v>89</v>
      </c>
      <c r="B30" s="43" t="s">
        <v>90</v>
      </c>
      <c r="C30" s="44">
        <v>218</v>
      </c>
      <c r="D30" s="42">
        <v>1</v>
      </c>
      <c r="E30" s="54" t="s">
        <v>129</v>
      </c>
      <c r="F30" s="42">
        <v>1</v>
      </c>
    </row>
    <row r="31" spans="1:6" ht="15.75" x14ac:dyDescent="0.25">
      <c r="A31" s="45" t="s">
        <v>91</v>
      </c>
      <c r="B31" s="46" t="s">
        <v>53</v>
      </c>
      <c r="C31" s="47">
        <v>222</v>
      </c>
      <c r="D31" s="45">
        <v>1</v>
      </c>
      <c r="E31" s="55" t="s">
        <v>130</v>
      </c>
      <c r="F31" s="45">
        <v>1</v>
      </c>
    </row>
    <row r="32" spans="1:6" ht="15.75" x14ac:dyDescent="0.25">
      <c r="A32" s="42" t="s">
        <v>92</v>
      </c>
      <c r="B32" s="43" t="s">
        <v>64</v>
      </c>
      <c r="C32" s="44">
        <v>906</v>
      </c>
      <c r="D32" s="42">
        <v>1</v>
      </c>
      <c r="E32" s="54" t="s">
        <v>131</v>
      </c>
      <c r="F32" s="42">
        <v>1</v>
      </c>
    </row>
    <row r="33" spans="1:6" ht="15.75" x14ac:dyDescent="0.25">
      <c r="A33" s="45" t="s">
        <v>93</v>
      </c>
      <c r="B33" s="46" t="s">
        <v>57</v>
      </c>
      <c r="C33" s="47">
        <v>908</v>
      </c>
      <c r="D33" s="45">
        <v>1</v>
      </c>
      <c r="E33" s="55" t="s">
        <v>132</v>
      </c>
      <c r="F33" s="45">
        <v>1</v>
      </c>
    </row>
    <row r="34" spans="1:6" ht="15.75" x14ac:dyDescent="0.25">
      <c r="A34" s="42" t="s">
        <v>94</v>
      </c>
      <c r="B34" s="43" t="s">
        <v>64</v>
      </c>
      <c r="C34" s="44">
        <v>911</v>
      </c>
      <c r="D34" s="42">
        <v>1</v>
      </c>
      <c r="E34" s="54" t="s">
        <v>133</v>
      </c>
      <c r="F34" s="42">
        <v>1</v>
      </c>
    </row>
    <row r="35" spans="1:6" ht="15.75" x14ac:dyDescent="0.25">
      <c r="A35" s="45" t="s">
        <v>95</v>
      </c>
      <c r="B35" s="46" t="s">
        <v>64</v>
      </c>
      <c r="C35" s="47">
        <v>914</v>
      </c>
      <c r="D35" s="45">
        <v>1</v>
      </c>
      <c r="E35" s="55" t="s">
        <v>134</v>
      </c>
      <c r="F35" s="45">
        <v>1</v>
      </c>
    </row>
    <row r="36" spans="1:6" ht="15.75" x14ac:dyDescent="0.25">
      <c r="A36" s="42" t="s">
        <v>72</v>
      </c>
      <c r="B36" s="43" t="s">
        <v>64</v>
      </c>
      <c r="C36" s="44">
        <v>915</v>
      </c>
      <c r="D36" s="42">
        <v>1</v>
      </c>
      <c r="E36" s="54" t="s">
        <v>135</v>
      </c>
      <c r="F36" s="42">
        <v>1</v>
      </c>
    </row>
    <row r="37" spans="1:6" ht="15.75" x14ac:dyDescent="0.25">
      <c r="A37" s="45" t="s">
        <v>92</v>
      </c>
      <c r="B37" s="46" t="s">
        <v>64</v>
      </c>
      <c r="C37" s="47">
        <v>930</v>
      </c>
      <c r="D37" s="45">
        <v>10</v>
      </c>
      <c r="E37" s="55" t="s">
        <v>136</v>
      </c>
      <c r="F37" s="45">
        <v>10</v>
      </c>
    </row>
    <row r="38" spans="1:6" ht="15.75" x14ac:dyDescent="0.25">
      <c r="A38" s="42" t="s">
        <v>96</v>
      </c>
      <c r="B38" s="43" t="s">
        <v>64</v>
      </c>
      <c r="C38" s="44">
        <v>932</v>
      </c>
      <c r="D38" s="42">
        <v>1</v>
      </c>
      <c r="E38" s="54" t="s">
        <v>137</v>
      </c>
      <c r="F38" s="42">
        <v>1</v>
      </c>
    </row>
    <row r="39" spans="1:6" ht="15.75" x14ac:dyDescent="0.25">
      <c r="A39" s="45" t="s">
        <v>97</v>
      </c>
      <c r="B39" s="46" t="s">
        <v>64</v>
      </c>
      <c r="C39" s="47">
        <v>934</v>
      </c>
      <c r="D39" s="45">
        <v>1</v>
      </c>
      <c r="E39" s="55" t="s">
        <v>138</v>
      </c>
      <c r="F39" s="45">
        <v>1</v>
      </c>
    </row>
    <row r="40" spans="1:6" ht="15.75" x14ac:dyDescent="0.25">
      <c r="A40" s="42" t="s">
        <v>98</v>
      </c>
      <c r="B40" s="43" t="s">
        <v>64</v>
      </c>
      <c r="C40" s="44">
        <v>949</v>
      </c>
      <c r="D40" s="42">
        <v>1</v>
      </c>
      <c r="E40" s="54" t="s">
        <v>139</v>
      </c>
      <c r="F40" s="42">
        <v>1</v>
      </c>
    </row>
    <row r="41" spans="1:6" ht="15.75" x14ac:dyDescent="0.25">
      <c r="A41" s="45" t="s">
        <v>99</v>
      </c>
      <c r="B41" s="46" t="s">
        <v>64</v>
      </c>
      <c r="C41" s="47">
        <v>984</v>
      </c>
      <c r="D41" s="45">
        <v>1</v>
      </c>
      <c r="E41" s="55" t="s">
        <v>140</v>
      </c>
      <c r="F41" s="45">
        <v>1</v>
      </c>
    </row>
    <row r="42" spans="1:6" ht="15.75" x14ac:dyDescent="0.25">
      <c r="A42" s="42" t="s">
        <v>100</v>
      </c>
      <c r="B42" s="43" t="s">
        <v>64</v>
      </c>
      <c r="C42" s="44">
        <v>985</v>
      </c>
      <c r="D42" s="42">
        <v>1</v>
      </c>
      <c r="E42" s="54" t="s">
        <v>141</v>
      </c>
      <c r="F42" s="42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IF(#REF!="","",#REF!)</f>
        <v>#REF!</v>
      </c>
      <c r="E107" t="e">
        <f>IF(#REF!="","",#REF!)</f>
        <v>#REF!</v>
      </c>
      <c r="F107" t="e">
        <f>IF(#REF!="","",#REF!)</f>
        <v>#REF!</v>
      </c>
      <c r="G107" t="e">
        <f>IF(#REF!="","",#REF!)</f>
        <v>#REF!</v>
      </c>
      <c r="H107" t="e">
        <f>IF(#REF!="","",#REF!)</f>
        <v>#REF!</v>
      </c>
    </row>
    <row r="108" spans="1:8" x14ac:dyDescent="0.25">
      <c r="D108" t="e">
        <f>IF(#REF!="","",#REF!)</f>
        <v>#REF!</v>
      </c>
      <c r="E108" t="e">
        <f>IF(#REF!="","",#REF!)</f>
        <v>#REF!</v>
      </c>
      <c r="F108" t="e">
        <f>IF(#REF!="","",#REF!)</f>
        <v>#REF!</v>
      </c>
      <c r="G108" t="e">
        <f>IF(#REF!="","",#REF!)</f>
        <v>#REF!</v>
      </c>
      <c r="H108" t="e">
        <f>IF(#REF!="","",#REF!)</f>
        <v>#REF!</v>
      </c>
    </row>
    <row r="109" spans="1:8" x14ac:dyDescent="0.25">
      <c r="D109" t="e">
        <f>IF(#REF!="","",#REF!)</f>
        <v>#REF!</v>
      </c>
      <c r="E109" t="e">
        <f>IF(#REF!="","",#REF!)</f>
        <v>#REF!</v>
      </c>
      <c r="F109" t="e">
        <f>IF(#REF!="","",#REF!)</f>
        <v>#REF!</v>
      </c>
      <c r="G109" t="e">
        <f>IF(#REF!="","",#REF!)</f>
        <v>#REF!</v>
      </c>
      <c r="H109" t="e">
        <f>IF(#REF!="","",#REF!)</f>
        <v>#REF!</v>
      </c>
    </row>
    <row r="110" spans="1:8" x14ac:dyDescent="0.25">
      <c r="D110" t="e">
        <f>IF(#REF!="","",#REF!)</f>
        <v>#REF!</v>
      </c>
      <c r="E110" t="e">
        <f>IF(#REF!="","",#REF!)</f>
        <v>#REF!</v>
      </c>
      <c r="F110" t="e">
        <f>IF(#REF!="","",#REF!)</f>
        <v>#REF!</v>
      </c>
      <c r="G110" t="e">
        <f>IF(#REF!="","",#REF!)</f>
        <v>#REF!</v>
      </c>
      <c r="H110" t="e">
        <f>IF(#REF!="","",#REF!)</f>
        <v>#REF!</v>
      </c>
    </row>
    <row r="111" spans="1:8" x14ac:dyDescent="0.25">
      <c r="D111" t="e">
        <f>IF(#REF!="","",#REF!)</f>
        <v>#REF!</v>
      </c>
      <c r="E111" t="e">
        <f>IF(#REF!="","",#REF!)</f>
        <v>#REF!</v>
      </c>
      <c r="F111" t="e">
        <f>IF(#REF!="","",#REF!)</f>
        <v>#REF!</v>
      </c>
      <c r="G111" t="e">
        <f>IF(#REF!="","",#REF!)</f>
        <v>#REF!</v>
      </c>
      <c r="H111" t="e">
        <f>IF(#REF!="","",#REF!)</f>
        <v>#REF!</v>
      </c>
    </row>
    <row r="112" spans="1:8" x14ac:dyDescent="0.25">
      <c r="D112" t="e">
        <f>IF(#REF!="","",#REF!)</f>
        <v>#REF!</v>
      </c>
      <c r="E112" t="e">
        <f>IF(#REF!="","",#REF!)</f>
        <v>#REF!</v>
      </c>
      <c r="F112" t="e">
        <f>IF(#REF!="","",#REF!)</f>
        <v>#REF!</v>
      </c>
      <c r="G112" t="e">
        <f>IF(#REF!="","",#REF!)</f>
        <v>#REF!</v>
      </c>
      <c r="H112" t="e">
        <f>IF(#REF!="","",#REF!)</f>
        <v>#REF!</v>
      </c>
    </row>
    <row r="113" spans="4:8" x14ac:dyDescent="0.25">
      <c r="D113" t="e">
        <f>IF(#REF!="","",#REF!)</f>
        <v>#REF!</v>
      </c>
      <c r="E113" t="e">
        <f>IF(#REF!="","",#REF!)</f>
        <v>#REF!</v>
      </c>
      <c r="F113" t="e">
        <f>IF(#REF!="","",#REF!)</f>
        <v>#REF!</v>
      </c>
      <c r="G113" t="e">
        <f>IF(#REF!="","",#REF!)</f>
        <v>#REF!</v>
      </c>
      <c r="H113" t="e">
        <f>IF(#REF!="","",#REF!)</f>
        <v>#REF!</v>
      </c>
    </row>
    <row r="114" spans="4:8" x14ac:dyDescent="0.25">
      <c r="D114" t="e">
        <f>IF(#REF!="","",#REF!)</f>
        <v>#REF!</v>
      </c>
      <c r="E114" t="e">
        <f>IF(#REF!="","",#REF!)</f>
        <v>#REF!</v>
      </c>
      <c r="F114" t="e">
        <f>IF(#REF!="","",#REF!)</f>
        <v>#REF!</v>
      </c>
      <c r="G114" t="e">
        <f>IF(#REF!="","",#REF!)</f>
        <v>#REF!</v>
      </c>
      <c r="H114" t="e">
        <f>IF(#REF!="","",#REF!)</f>
        <v>#REF!</v>
      </c>
    </row>
    <row r="115" spans="4:8" x14ac:dyDescent="0.25">
      <c r="D115" t="e">
        <f>IF(#REF!="","",#REF!)</f>
        <v>#REF!</v>
      </c>
      <c r="E115" t="e">
        <f>IF(#REF!="","",#REF!)</f>
        <v>#REF!</v>
      </c>
      <c r="F115" t="e">
        <f>IF(#REF!="","",#REF!)</f>
        <v>#REF!</v>
      </c>
      <c r="G115" t="e">
        <f>IF(#REF!="","",#REF!)</f>
        <v>#REF!</v>
      </c>
      <c r="H115" t="e">
        <f>IF(#REF!="","",#REF!)</f>
        <v>#REF!</v>
      </c>
    </row>
    <row r="116" spans="4:8" x14ac:dyDescent="0.25">
      <c r="D116" t="e">
        <f>IF(#REF!="","",#REF!)</f>
        <v>#REF!</v>
      </c>
      <c r="E116" t="e">
        <f>IF(#REF!="","",#REF!)</f>
        <v>#REF!</v>
      </c>
      <c r="F116" t="e">
        <f>IF(#REF!="","",#REF!)</f>
        <v>#REF!</v>
      </c>
      <c r="G116" t="e">
        <f>IF(#REF!="","",#REF!)</f>
        <v>#REF!</v>
      </c>
      <c r="H116" t="e">
        <f>IF(#REF!="","",#REF!)</f>
        <v>#REF!</v>
      </c>
    </row>
    <row r="117" spans="4:8" x14ac:dyDescent="0.25">
      <c r="D117" t="e">
        <f>IF(#REF!="","",#REF!)</f>
        <v>#REF!</v>
      </c>
      <c r="E117" t="e">
        <f>IF(#REF!="","",#REF!)</f>
        <v>#REF!</v>
      </c>
      <c r="F117" t="e">
        <f>IF(#REF!="","",#REF!)</f>
        <v>#REF!</v>
      </c>
      <c r="G117" t="e">
        <f>IF(#REF!="","",#REF!)</f>
        <v>#REF!</v>
      </c>
      <c r="H117" t="e">
        <f>IF(#REF!="","",#REF!)</f>
        <v>#REF!</v>
      </c>
    </row>
    <row r="118" spans="4:8" x14ac:dyDescent="0.25">
      <c r="D118" t="e">
        <f>IF(#REF!="","",#REF!)</f>
        <v>#REF!</v>
      </c>
      <c r="E118" t="e">
        <f>IF(#REF!="","",#REF!)</f>
        <v>#REF!</v>
      </c>
      <c r="F118" t="e">
        <f>IF(#REF!="","",#REF!)</f>
        <v>#REF!</v>
      </c>
      <c r="G118" t="e">
        <f>IF(#REF!="","",#REF!)</f>
        <v>#REF!</v>
      </c>
      <c r="H118" t="e">
        <f>IF(#REF!="","",#REF!)</f>
        <v>#REF!</v>
      </c>
    </row>
    <row r="119" spans="4:8" x14ac:dyDescent="0.25">
      <c r="D119" t="e">
        <f>IF(#REF!="","",#REF!)</f>
        <v>#REF!</v>
      </c>
      <c r="E119" t="e">
        <f>IF(#REF!="","",#REF!)</f>
        <v>#REF!</v>
      </c>
      <c r="F119" t="e">
        <f>IF(#REF!="","",#REF!)</f>
        <v>#REF!</v>
      </c>
      <c r="G119" t="e">
        <f>IF(#REF!="","",#REF!)</f>
        <v>#REF!</v>
      </c>
      <c r="H119" t="e">
        <f>IF(#REF!="","",#REF!)</f>
        <v>#REF!</v>
      </c>
    </row>
    <row r="120" spans="4:8" x14ac:dyDescent="0.25">
      <c r="D120" t="e">
        <f>IF(#REF!="","",#REF!)</f>
        <v>#REF!</v>
      </c>
      <c r="E120" t="e">
        <f>IF(#REF!="","",#REF!)</f>
        <v>#REF!</v>
      </c>
      <c r="F120" t="e">
        <f>IF(#REF!="","",#REF!)</f>
        <v>#REF!</v>
      </c>
      <c r="G120" t="e">
        <f>IF(#REF!="","",#REF!)</f>
        <v>#REF!</v>
      </c>
      <c r="H120" t="e">
        <f>IF(#REF!="","",#REF!)</f>
        <v>#REF!</v>
      </c>
    </row>
    <row r="121" spans="4:8" x14ac:dyDescent="0.25">
      <c r="D121" t="e">
        <f>IF(#REF!="","",#REF!)</f>
        <v>#REF!</v>
      </c>
      <c r="E121" t="e">
        <f>IF(#REF!="","",#REF!)</f>
        <v>#REF!</v>
      </c>
      <c r="F121" t="e">
        <f>IF(#REF!="","",#REF!)</f>
        <v>#REF!</v>
      </c>
      <c r="G121" t="e">
        <f>IF(#REF!="","",#REF!)</f>
        <v>#REF!</v>
      </c>
      <c r="H121" t="e">
        <f>IF(#REF!="","",#REF!)</f>
        <v>#REF!</v>
      </c>
    </row>
    <row r="122" spans="4:8" x14ac:dyDescent="0.25">
      <c r="D122" t="e">
        <f>IF(#REF!="","",#REF!)</f>
        <v>#REF!</v>
      </c>
      <c r="E122" t="e">
        <f>IF(#REF!="","",#REF!)</f>
        <v>#REF!</v>
      </c>
      <c r="F122" t="e">
        <f>IF(#REF!="","",#REF!)</f>
        <v>#REF!</v>
      </c>
      <c r="G122" t="e">
        <f>IF(#REF!="","",#REF!)</f>
        <v>#REF!</v>
      </c>
      <c r="H122" t="e">
        <f>IF(#REF!="","",#REF!)</f>
        <v>#REF!</v>
      </c>
    </row>
    <row r="123" spans="4:8" x14ac:dyDescent="0.25">
      <c r="D123" t="e">
        <f>IF(#REF!="","",#REF!)</f>
        <v>#REF!</v>
      </c>
      <c r="E123" t="e">
        <f>IF(#REF!="","",#REF!)</f>
        <v>#REF!</v>
      </c>
      <c r="F123" t="e">
        <f>IF(#REF!="","",#REF!)</f>
        <v>#REF!</v>
      </c>
      <c r="G123" t="e">
        <f>IF(#REF!="","",#REF!)</f>
        <v>#REF!</v>
      </c>
      <c r="H123" t="e">
        <f>IF(#REF!="","",#REF!)</f>
        <v>#REF!</v>
      </c>
    </row>
    <row r="124" spans="4:8" x14ac:dyDescent="0.25">
      <c r="D124" t="e">
        <f>IF(#REF!="","",#REF!)</f>
        <v>#REF!</v>
      </c>
      <c r="E124" t="e">
        <f>IF(#REF!="","",#REF!)</f>
        <v>#REF!</v>
      </c>
      <c r="F124" t="e">
        <f>IF(#REF!="","",#REF!)</f>
        <v>#REF!</v>
      </c>
      <c r="G124" t="e">
        <f>IF(#REF!="","",#REF!)</f>
        <v>#REF!</v>
      </c>
      <c r="H124" t="e">
        <f>IF(#REF!="","",#REF!)</f>
        <v>#REF!</v>
      </c>
    </row>
    <row r="125" spans="4:8" x14ac:dyDescent="0.25">
      <c r="D125" t="e">
        <f>IF(#REF!="","",#REF!)</f>
        <v>#REF!</v>
      </c>
      <c r="E125" t="e">
        <f>IF(#REF!="","",#REF!)</f>
        <v>#REF!</v>
      </c>
      <c r="F125" t="e">
        <f>IF(#REF!="","",#REF!)</f>
        <v>#REF!</v>
      </c>
      <c r="G125" t="e">
        <f>IF(#REF!="","",#REF!)</f>
        <v>#REF!</v>
      </c>
      <c r="H125" t="e">
        <f>IF(#REF!="","",#REF!)</f>
        <v>#REF!</v>
      </c>
    </row>
    <row r="126" spans="4:8" x14ac:dyDescent="0.25">
      <c r="D126" t="e">
        <f>IF(#REF!="","",#REF!)</f>
        <v>#REF!</v>
      </c>
      <c r="E126" t="e">
        <f>IF(#REF!="","",#REF!)</f>
        <v>#REF!</v>
      </c>
      <c r="F126" t="e">
        <f>IF(#REF!="","",#REF!)</f>
        <v>#REF!</v>
      </c>
      <c r="G126" t="e">
        <f>IF(#REF!="","",#REF!)</f>
        <v>#REF!</v>
      </c>
      <c r="H126" t="e">
        <f>IF(#REF!="","",#REF!)</f>
        <v>#REF!</v>
      </c>
    </row>
    <row r="127" spans="4:8" x14ac:dyDescent="0.25">
      <c r="D127" t="e">
        <f>IF(#REF!="","",#REF!)</f>
        <v>#REF!</v>
      </c>
      <c r="E127" t="e">
        <f>IF(#REF!="","",#REF!)</f>
        <v>#REF!</v>
      </c>
      <c r="F127" t="e">
        <f>IF(#REF!="","",#REF!)</f>
        <v>#REF!</v>
      </c>
      <c r="G127" t="e">
        <f>IF(#REF!="","",#REF!)</f>
        <v>#REF!</v>
      </c>
      <c r="H127" t="e">
        <f>IF(#REF!="","",#REF!)</f>
        <v>#REF!</v>
      </c>
    </row>
    <row r="128" spans="4:8" x14ac:dyDescent="0.25">
      <c r="D128" t="e">
        <f>IF(#REF!="","",#REF!)</f>
        <v>#REF!</v>
      </c>
      <c r="E128" t="e">
        <f>IF(#REF!="","",#REF!)</f>
        <v>#REF!</v>
      </c>
      <c r="F128" t="e">
        <f>IF(#REF!="","",#REF!)</f>
        <v>#REF!</v>
      </c>
      <c r="G128" t="e">
        <f>IF(#REF!="","",#REF!)</f>
        <v>#REF!</v>
      </c>
      <c r="H128" t="e">
        <f>IF(#REF!="","",#REF!)</f>
        <v>#REF!</v>
      </c>
    </row>
    <row r="129" spans="4:8" x14ac:dyDescent="0.25">
      <c r="D129" t="e">
        <f>IF(#REF!="","",#REF!)</f>
        <v>#REF!</v>
      </c>
      <c r="E129" t="e">
        <f>IF(#REF!="","",#REF!)</f>
        <v>#REF!</v>
      </c>
      <c r="F129" t="e">
        <f>IF(#REF!="","",#REF!)</f>
        <v>#REF!</v>
      </c>
      <c r="G129" t="e">
        <f>IF(#REF!="","",#REF!)</f>
        <v>#REF!</v>
      </c>
      <c r="H129" t="e">
        <f>IF(#REF!="","",#REF!)</f>
        <v>#REF!</v>
      </c>
    </row>
    <row r="130" spans="4:8" x14ac:dyDescent="0.25">
      <c r="D130" t="e">
        <f>IF(#REF!="","",#REF!)</f>
        <v>#REF!</v>
      </c>
      <c r="E130" t="e">
        <f>IF(#REF!="","",#REF!)</f>
        <v>#REF!</v>
      </c>
      <c r="F130" t="e">
        <f>IF(#REF!="","",#REF!)</f>
        <v>#REF!</v>
      </c>
      <c r="G130" t="e">
        <f>IF(#REF!="","",#REF!)</f>
        <v>#REF!</v>
      </c>
      <c r="H130" t="e">
        <f>IF(#REF!="","",#REF!)</f>
        <v>#REF!</v>
      </c>
    </row>
    <row r="131" spans="4:8" x14ac:dyDescent="0.25">
      <c r="D131" t="e">
        <f>IF(#REF!="","",#REF!)</f>
        <v>#REF!</v>
      </c>
      <c r="E131" t="e">
        <f>IF(#REF!="","",#REF!)</f>
        <v>#REF!</v>
      </c>
      <c r="F131" t="e">
        <f>IF(#REF!="","",#REF!)</f>
        <v>#REF!</v>
      </c>
      <c r="G131" t="e">
        <f>IF(#REF!="","",#REF!)</f>
        <v>#REF!</v>
      </c>
      <c r="H131" t="e">
        <f>IF(#REF!="","",#REF!)</f>
        <v>#REF!</v>
      </c>
    </row>
    <row r="132" spans="4:8" x14ac:dyDescent="0.25">
      <c r="D132" t="e">
        <f>IF(#REF!="","",#REF!)</f>
        <v>#REF!</v>
      </c>
      <c r="E132" t="e">
        <f>IF(#REF!="","",#REF!)</f>
        <v>#REF!</v>
      </c>
      <c r="F132" t="e">
        <f>IF(#REF!="","",#REF!)</f>
        <v>#REF!</v>
      </c>
      <c r="G132" t="e">
        <f>IF(#REF!="","",#REF!)</f>
        <v>#REF!</v>
      </c>
      <c r="H132" t="e">
        <f>IF(#REF!="","",#REF!)</f>
        <v>#REF!</v>
      </c>
    </row>
    <row r="133" spans="4:8" x14ac:dyDescent="0.25">
      <c r="D133" t="e">
        <f>IF(#REF!="","",#REF!)</f>
        <v>#REF!</v>
      </c>
      <c r="E133" t="e">
        <f>IF(#REF!="","",#REF!)</f>
        <v>#REF!</v>
      </c>
      <c r="F133" t="e">
        <f>IF(#REF!="","",#REF!)</f>
        <v>#REF!</v>
      </c>
      <c r="G133" t="e">
        <f>IF(#REF!="","",#REF!)</f>
        <v>#REF!</v>
      </c>
      <c r="H133" t="e">
        <f>IF(#REF!="","",#REF!)</f>
        <v>#REF!</v>
      </c>
    </row>
    <row r="134" spans="4:8" x14ac:dyDescent="0.25">
      <c r="D134" t="e">
        <f>IF(#REF!="","",#REF!)</f>
        <v>#REF!</v>
      </c>
      <c r="E134" t="e">
        <f>IF(#REF!="","",#REF!)</f>
        <v>#REF!</v>
      </c>
      <c r="F134" t="e">
        <f>IF(#REF!="","",#REF!)</f>
        <v>#REF!</v>
      </c>
      <c r="G134" t="e">
        <f>IF(#REF!="","",#REF!)</f>
        <v>#REF!</v>
      </c>
      <c r="H134" t="e">
        <f>IF(#REF!="","",#REF!)</f>
        <v>#REF!</v>
      </c>
    </row>
    <row r="135" spans="4:8" x14ac:dyDescent="0.25">
      <c r="D135" t="e">
        <f>IF(#REF!="","",#REF!)</f>
        <v>#REF!</v>
      </c>
      <c r="E135" t="e">
        <f>IF(#REF!="","",#REF!)</f>
        <v>#REF!</v>
      </c>
      <c r="F135" t="e">
        <f>IF(#REF!="","",#REF!)</f>
        <v>#REF!</v>
      </c>
      <c r="G135" t="e">
        <f>IF(#REF!="","",#REF!)</f>
        <v>#REF!</v>
      </c>
      <c r="H135" t="e">
        <f>IF(#REF!="","",#REF!)</f>
        <v>#REF!</v>
      </c>
    </row>
    <row r="136" spans="4:8" x14ac:dyDescent="0.25">
      <c r="D136" t="e">
        <f>IF(#REF!="","",#REF!)</f>
        <v>#REF!</v>
      </c>
      <c r="E136" t="e">
        <f>IF(#REF!="","",#REF!)</f>
        <v>#REF!</v>
      </c>
      <c r="F136" t="e">
        <f>IF(#REF!="","",#REF!)</f>
        <v>#REF!</v>
      </c>
      <c r="G136" t="e">
        <f>IF(#REF!="","",#REF!)</f>
        <v>#REF!</v>
      </c>
      <c r="H136" t="e">
        <f>IF(#REF!="","",#REF!)</f>
        <v>#REF!</v>
      </c>
    </row>
    <row r="137" spans="4:8" x14ac:dyDescent="0.25">
      <c r="D137" t="e">
        <f>IF(#REF!="","",#REF!)</f>
        <v>#REF!</v>
      </c>
      <c r="E137" t="e">
        <f>IF(#REF!="","",#REF!)</f>
        <v>#REF!</v>
      </c>
      <c r="F137" t="e">
        <f>IF(#REF!="","",#REF!)</f>
        <v>#REF!</v>
      </c>
      <c r="G137" t="e">
        <f>IF(#REF!="","",#REF!)</f>
        <v>#REF!</v>
      </c>
      <c r="H137" t="e">
        <f>IF(#REF!="","",#REF!)</f>
        <v>#REF!</v>
      </c>
    </row>
    <row r="138" spans="4:8" x14ac:dyDescent="0.25">
      <c r="D138" t="e">
        <f>IF(#REF!="","",#REF!)</f>
        <v>#REF!</v>
      </c>
      <c r="E138" t="e">
        <f>IF(#REF!="","",#REF!)</f>
        <v>#REF!</v>
      </c>
      <c r="F138" t="e">
        <f>IF(#REF!="","",#REF!)</f>
        <v>#REF!</v>
      </c>
      <c r="G138" t="e">
        <f>IF(#REF!="","",#REF!)</f>
        <v>#REF!</v>
      </c>
      <c r="H138" t="e">
        <f>IF(#REF!="","",#REF!)</f>
        <v>#REF!</v>
      </c>
    </row>
    <row r="139" spans="4:8" x14ac:dyDescent="0.25">
      <c r="D139" t="e">
        <f>IF(#REF!="","",#REF!)</f>
        <v>#REF!</v>
      </c>
      <c r="E139" t="e">
        <f>IF(#REF!="","",#REF!)</f>
        <v>#REF!</v>
      </c>
      <c r="F139" t="e">
        <f>IF(#REF!="","",#REF!)</f>
        <v>#REF!</v>
      </c>
      <c r="G139" t="e">
        <f>IF(#REF!="","",#REF!)</f>
        <v>#REF!</v>
      </c>
      <c r="H139" t="e">
        <f>IF(#REF!="","",#REF!)</f>
        <v>#REF!</v>
      </c>
    </row>
    <row r="140" spans="4:8" x14ac:dyDescent="0.25">
      <c r="D140" t="e">
        <f>IF(#REF!="","",#REF!)</f>
        <v>#REF!</v>
      </c>
      <c r="E140" t="e">
        <f>IF(#REF!="","",#REF!)</f>
        <v>#REF!</v>
      </c>
      <c r="F140" t="e">
        <f>IF(#REF!="","",#REF!)</f>
        <v>#REF!</v>
      </c>
      <c r="G140" t="e">
        <f>IF(#REF!="","",#REF!)</f>
        <v>#REF!</v>
      </c>
      <c r="H140" t="e">
        <f>IF(#REF!="","",#REF!)</f>
        <v>#REF!</v>
      </c>
    </row>
    <row r="141" spans="4:8" x14ac:dyDescent="0.25">
      <c r="D141" t="e">
        <f>IF(#REF!="","",#REF!)</f>
        <v>#REF!</v>
      </c>
      <c r="E141" t="e">
        <f>IF(#REF!="","",#REF!)</f>
        <v>#REF!</v>
      </c>
      <c r="F141" t="e">
        <f>IF(#REF!="","",#REF!)</f>
        <v>#REF!</v>
      </c>
      <c r="G141" t="e">
        <f>IF(#REF!="","",#REF!)</f>
        <v>#REF!</v>
      </c>
      <c r="H141" t="e">
        <f>IF(#REF!="","",#REF!)</f>
        <v>#REF!</v>
      </c>
    </row>
    <row r="142" spans="4:8" x14ac:dyDescent="0.25">
      <c r="D142" t="e">
        <f>IF(#REF!="","",#REF!)</f>
        <v>#REF!</v>
      </c>
      <c r="E142" t="e">
        <f>IF(#REF!="","",#REF!)</f>
        <v>#REF!</v>
      </c>
      <c r="F142" t="e">
        <f>IF(#REF!="","",#REF!)</f>
        <v>#REF!</v>
      </c>
      <c r="G142" t="e">
        <f>IF(#REF!="","",#REF!)</f>
        <v>#REF!</v>
      </c>
      <c r="H142" t="e">
        <f>IF(#REF!="","",#REF!)</f>
        <v>#REF!</v>
      </c>
    </row>
    <row r="143" spans="4:8" x14ac:dyDescent="0.25">
      <c r="D143" t="e">
        <f>IF(#REF!="","",#REF!)</f>
        <v>#REF!</v>
      </c>
      <c r="E143" t="e">
        <f>IF(#REF!="","",#REF!)</f>
        <v>#REF!</v>
      </c>
      <c r="F143" t="e">
        <f>IF(#REF!="","",#REF!)</f>
        <v>#REF!</v>
      </c>
      <c r="G143" t="e">
        <f>IF(#REF!="","",#REF!)</f>
        <v>#REF!</v>
      </c>
      <c r="H143" t="e">
        <f>IF(#REF!="","",#REF!)</f>
        <v>#REF!</v>
      </c>
    </row>
    <row r="144" spans="4:8" x14ac:dyDescent="0.25">
      <c r="D144" t="e">
        <f>IF(#REF!="","",#REF!)</f>
        <v>#REF!</v>
      </c>
      <c r="E144" t="e">
        <f>IF(#REF!="","",#REF!)</f>
        <v>#REF!</v>
      </c>
      <c r="F144" t="e">
        <f>IF(#REF!="","",#REF!)</f>
        <v>#REF!</v>
      </c>
      <c r="G144" t="e">
        <f>IF(#REF!="","",#REF!)</f>
        <v>#REF!</v>
      </c>
      <c r="H144" t="e">
        <f>IF(#REF!="","",#REF!)</f>
        <v>#REF!</v>
      </c>
    </row>
    <row r="145" spans="4:8" x14ac:dyDescent="0.25">
      <c r="D145" t="e">
        <f>IF(#REF!="","",#REF!)</f>
        <v>#REF!</v>
      </c>
      <c r="E145" t="e">
        <f>IF(#REF!="","",#REF!)</f>
        <v>#REF!</v>
      </c>
      <c r="F145" t="e">
        <f>IF(#REF!="","",#REF!)</f>
        <v>#REF!</v>
      </c>
      <c r="G145" t="e">
        <f>IF(#REF!="","",#REF!)</f>
        <v>#REF!</v>
      </c>
      <c r="H145" t="e">
        <f>IF(#REF!="","",#REF!)</f>
        <v>#REF!</v>
      </c>
    </row>
    <row r="146" spans="4:8" x14ac:dyDescent="0.25">
      <c r="D146" t="e">
        <f>IF(#REF!="","",#REF!)</f>
        <v>#REF!</v>
      </c>
      <c r="E146" t="e">
        <f>IF(#REF!="","",#REF!)</f>
        <v>#REF!</v>
      </c>
      <c r="F146" t="e">
        <f>IF(#REF!="","",#REF!)</f>
        <v>#REF!</v>
      </c>
      <c r="G146" t="e">
        <f>IF(#REF!="","",#REF!)</f>
        <v>#REF!</v>
      </c>
      <c r="H146" t="e">
        <f>IF(#REF!="","",#REF!)</f>
        <v>#REF!</v>
      </c>
    </row>
    <row r="147" spans="4:8" x14ac:dyDescent="0.25">
      <c r="D147" t="e">
        <f>IF(#REF!="","",#REF!)</f>
        <v>#REF!</v>
      </c>
      <c r="E147" t="e">
        <f>IF(#REF!="","",#REF!)</f>
        <v>#REF!</v>
      </c>
      <c r="F147" t="e">
        <f>IF(#REF!="","",#REF!)</f>
        <v>#REF!</v>
      </c>
      <c r="G147" t="e">
        <f>IF(#REF!="","",#REF!)</f>
        <v>#REF!</v>
      </c>
      <c r="H147" t="e">
        <f>IF(#REF!="","",#REF!)</f>
        <v>#REF!</v>
      </c>
    </row>
    <row r="148" spans="4:8" x14ac:dyDescent="0.25">
      <c r="D148" t="e">
        <f>IF(#REF!="","",#REF!)</f>
        <v>#REF!</v>
      </c>
      <c r="E148" t="e">
        <f>IF(#REF!="","",#REF!)</f>
        <v>#REF!</v>
      </c>
      <c r="F148" t="e">
        <f>IF(#REF!="","",#REF!)</f>
        <v>#REF!</v>
      </c>
      <c r="G148" t="e">
        <f>IF(#REF!="","",#REF!)</f>
        <v>#REF!</v>
      </c>
      <c r="H148" t="e">
        <f>IF(#REF!="","",#REF!)</f>
        <v>#REF!</v>
      </c>
    </row>
    <row r="149" spans="4:8" x14ac:dyDescent="0.25">
      <c r="D149" t="e">
        <f>IF(#REF!="","",#REF!)</f>
        <v>#REF!</v>
      </c>
      <c r="E149" t="e">
        <f>IF(#REF!="","",#REF!)</f>
        <v>#REF!</v>
      </c>
      <c r="F149" t="e">
        <f>IF(#REF!="","",#REF!)</f>
        <v>#REF!</v>
      </c>
      <c r="G149" t="e">
        <f>IF(#REF!="","",#REF!)</f>
        <v>#REF!</v>
      </c>
      <c r="H149" t="e">
        <f>IF(#REF!="","",#REF!)</f>
        <v>#REF!</v>
      </c>
    </row>
    <row r="150" spans="4:8" x14ac:dyDescent="0.25">
      <c r="D150" t="e">
        <f>IF(#REF!="","",#REF!)</f>
        <v>#REF!</v>
      </c>
      <c r="E150" t="e">
        <f>IF(#REF!="","",#REF!)</f>
        <v>#REF!</v>
      </c>
      <c r="F150" t="e">
        <f>IF(#REF!="","",#REF!)</f>
        <v>#REF!</v>
      </c>
      <c r="G150" t="e">
        <f>IF(#REF!="","",#REF!)</f>
        <v>#REF!</v>
      </c>
      <c r="H150" t="e">
        <f>IF(#REF!="","",#REF!)</f>
        <v>#REF!</v>
      </c>
    </row>
    <row r="151" spans="4:8" x14ac:dyDescent="0.25">
      <c r="D151" t="e">
        <f>IF(#REF!="","",#REF!)</f>
        <v>#REF!</v>
      </c>
      <c r="E151" t="e">
        <f>IF(#REF!="","",#REF!)</f>
        <v>#REF!</v>
      </c>
      <c r="F151" t="e">
        <f>IF(#REF!="","",#REF!)</f>
        <v>#REF!</v>
      </c>
      <c r="G151" t="e">
        <f>IF(#REF!="","",#REF!)</f>
        <v>#REF!</v>
      </c>
      <c r="H151" t="e">
        <f>IF(#REF!="","",#REF!)</f>
        <v>#REF!</v>
      </c>
    </row>
    <row r="152" spans="4:8" x14ac:dyDescent="0.25">
      <c r="D152" t="e">
        <f>IF(#REF!="","",#REF!)</f>
        <v>#REF!</v>
      </c>
      <c r="E152" t="e">
        <f>IF(#REF!="","",#REF!)</f>
        <v>#REF!</v>
      </c>
      <c r="F152" t="e">
        <f>IF(#REF!="","",#REF!)</f>
        <v>#REF!</v>
      </c>
      <c r="G152" t="e">
        <f>IF(#REF!="","",#REF!)</f>
        <v>#REF!</v>
      </c>
      <c r="H152" t="e">
        <f>IF(#REF!="","",#REF!)</f>
        <v>#REF!</v>
      </c>
    </row>
    <row r="153" spans="4:8" x14ac:dyDescent="0.25">
      <c r="D153" t="e">
        <f>IF(#REF!="","",#REF!)</f>
        <v>#REF!</v>
      </c>
      <c r="E153" t="e">
        <f>IF(#REF!="","",#REF!)</f>
        <v>#REF!</v>
      </c>
      <c r="F153" t="e">
        <f>IF(#REF!="","",#REF!)</f>
        <v>#REF!</v>
      </c>
      <c r="G153" t="e">
        <f>IF(#REF!="","",#REF!)</f>
        <v>#REF!</v>
      </c>
      <c r="H153" t="e">
        <f>IF(#REF!="","",#REF!)</f>
        <v>#REF!</v>
      </c>
    </row>
    <row r="154" spans="4:8" x14ac:dyDescent="0.25">
      <c r="D154" t="e">
        <f>IF(#REF!="","",#REF!)</f>
        <v>#REF!</v>
      </c>
      <c r="E154" t="e">
        <f>IF(#REF!="","",#REF!)</f>
        <v>#REF!</v>
      </c>
      <c r="F154" t="e">
        <f>IF(#REF!="","",#REF!)</f>
        <v>#REF!</v>
      </c>
      <c r="G154" t="e">
        <f>IF(#REF!="","",#REF!)</f>
        <v>#REF!</v>
      </c>
      <c r="H154" t="e">
        <f>IF(#REF!="","",#REF!)</f>
        <v>#REF!</v>
      </c>
    </row>
    <row r="155" spans="4:8" x14ac:dyDescent="0.25">
      <c r="D155" t="e">
        <f>IF(#REF!="","",#REF!)</f>
        <v>#REF!</v>
      </c>
      <c r="E155" t="e">
        <f>IF(#REF!="","",#REF!)</f>
        <v>#REF!</v>
      </c>
      <c r="F155" t="e">
        <f>IF(#REF!="","",#REF!)</f>
        <v>#REF!</v>
      </c>
      <c r="G155" t="e">
        <f>IF(#REF!="","",#REF!)</f>
        <v>#REF!</v>
      </c>
      <c r="H155" t="e">
        <f>IF(#REF!="","",#REF!)</f>
        <v>#REF!</v>
      </c>
    </row>
    <row r="156" spans="4:8" x14ac:dyDescent="0.25">
      <c r="D156" t="e">
        <f>IF(#REF!="","",#REF!)</f>
        <v>#REF!</v>
      </c>
      <c r="E156" t="e">
        <f>IF(#REF!="","",#REF!)</f>
        <v>#REF!</v>
      </c>
      <c r="F156" t="e">
        <f>IF(#REF!="","",#REF!)</f>
        <v>#REF!</v>
      </c>
      <c r="G156" t="e">
        <f>IF(#REF!="","",#REF!)</f>
        <v>#REF!</v>
      </c>
      <c r="H156" t="e">
        <f>IF(#REF!="","",#REF!)</f>
        <v>#REF!</v>
      </c>
    </row>
    <row r="157" spans="4:8" x14ac:dyDescent="0.25">
      <c r="D157" t="e">
        <f>IF(#REF!="","",#REF!)</f>
        <v>#REF!</v>
      </c>
      <c r="E157" t="e">
        <f>IF(#REF!="","",#REF!)</f>
        <v>#REF!</v>
      </c>
      <c r="F157" t="e">
        <f>IF(#REF!="","",#REF!)</f>
        <v>#REF!</v>
      </c>
      <c r="G157" t="e">
        <f>IF(#REF!="","",#REF!)</f>
        <v>#REF!</v>
      </c>
      <c r="H157" t="e">
        <f>IF(#REF!="","",#REF!)</f>
        <v>#REF!</v>
      </c>
    </row>
    <row r="158" spans="4:8" x14ac:dyDescent="0.25">
      <c r="D158" t="e">
        <f>IF(#REF!="","",#REF!)</f>
        <v>#REF!</v>
      </c>
      <c r="E158" t="e">
        <f>IF(#REF!="","",#REF!)</f>
        <v>#REF!</v>
      </c>
      <c r="F158" t="e">
        <f>IF(#REF!="","",#REF!)</f>
        <v>#REF!</v>
      </c>
      <c r="G158" t="e">
        <f>IF(#REF!="","",#REF!)</f>
        <v>#REF!</v>
      </c>
      <c r="H158" t="e">
        <f>IF(#REF!="","",#REF!)</f>
        <v>#REF!</v>
      </c>
    </row>
    <row r="159" spans="4:8" x14ac:dyDescent="0.25">
      <c r="D159" t="e">
        <f>IF(#REF!="","",#REF!)</f>
        <v>#REF!</v>
      </c>
      <c r="E159" t="e">
        <f>IF(#REF!="","",#REF!)</f>
        <v>#REF!</v>
      </c>
      <c r="F159" t="e">
        <f>IF(#REF!="","",#REF!)</f>
        <v>#REF!</v>
      </c>
      <c r="G159" t="e">
        <f>IF(#REF!="","",#REF!)</f>
        <v>#REF!</v>
      </c>
      <c r="H159" t="e">
        <f>IF(#REF!="","",#REF!)</f>
        <v>#REF!</v>
      </c>
    </row>
    <row r="160" spans="4:8" x14ac:dyDescent="0.25">
      <c r="D160" t="e">
        <f>IF(#REF!="","",#REF!)</f>
        <v>#REF!</v>
      </c>
      <c r="E160" t="e">
        <f>IF(#REF!="","",#REF!)</f>
        <v>#REF!</v>
      </c>
      <c r="F160" t="e">
        <f>IF(#REF!="","",#REF!)</f>
        <v>#REF!</v>
      </c>
      <c r="G160" t="e">
        <f>IF(#REF!="","",#REF!)</f>
        <v>#REF!</v>
      </c>
      <c r="H160" t="e">
        <f>IF(#REF!="","",#REF!)</f>
        <v>#REF!</v>
      </c>
    </row>
    <row r="161" spans="4:8" x14ac:dyDescent="0.25">
      <c r="D161" t="e">
        <f>IF(#REF!="","",#REF!)</f>
        <v>#REF!</v>
      </c>
      <c r="E161" t="e">
        <f>IF(#REF!="","",#REF!)</f>
        <v>#REF!</v>
      </c>
      <c r="F161" t="e">
        <f>IF(#REF!="","",#REF!)</f>
        <v>#REF!</v>
      </c>
      <c r="G161" t="e">
        <f>IF(#REF!="","",#REF!)</f>
        <v>#REF!</v>
      </c>
      <c r="H161" t="e">
        <f>IF(#REF!="","",#REF!)</f>
        <v>#REF!</v>
      </c>
    </row>
    <row r="162" spans="4:8" x14ac:dyDescent="0.25">
      <c r="D162" t="e">
        <f>IF(#REF!="","",#REF!)</f>
        <v>#REF!</v>
      </c>
      <c r="E162" t="e">
        <f>IF(#REF!="","",#REF!)</f>
        <v>#REF!</v>
      </c>
      <c r="F162" t="e">
        <f>IF(#REF!="","",#REF!)</f>
        <v>#REF!</v>
      </c>
      <c r="G162" t="e">
        <f>IF(#REF!="","",#REF!)</f>
        <v>#REF!</v>
      </c>
      <c r="H162" t="e">
        <f>IF(#REF!="","",#REF!)</f>
        <v>#REF!</v>
      </c>
    </row>
    <row r="163" spans="4:8" x14ac:dyDescent="0.25">
      <c r="D163" t="e">
        <f>IF(#REF!="","",#REF!)</f>
        <v>#REF!</v>
      </c>
      <c r="E163" t="e">
        <f>IF(#REF!="","",#REF!)</f>
        <v>#REF!</v>
      </c>
      <c r="F163" t="e">
        <f>IF(#REF!="","",#REF!)</f>
        <v>#REF!</v>
      </c>
      <c r="G163" t="e">
        <f>IF(#REF!="","",#REF!)</f>
        <v>#REF!</v>
      </c>
      <c r="H163" t="e">
        <f>IF(#REF!="","",#REF!)</f>
        <v>#REF!</v>
      </c>
    </row>
    <row r="164" spans="4:8" x14ac:dyDescent="0.25">
      <c r="D164" t="e">
        <f>IF(#REF!="","",#REF!)</f>
        <v>#REF!</v>
      </c>
      <c r="E164" t="e">
        <f>IF(#REF!="","",#REF!)</f>
        <v>#REF!</v>
      </c>
      <c r="F164" t="e">
        <f>IF(#REF!="","",#REF!)</f>
        <v>#REF!</v>
      </c>
      <c r="G164" t="e">
        <f>IF(#REF!="","",#REF!)</f>
        <v>#REF!</v>
      </c>
      <c r="H164" t="e">
        <f>IF(#REF!="","",#REF!)</f>
        <v>#REF!</v>
      </c>
    </row>
    <row r="165" spans="4:8" x14ac:dyDescent="0.25">
      <c r="D165" t="e">
        <f>IF(#REF!="","",#REF!)</f>
        <v>#REF!</v>
      </c>
      <c r="E165" t="e">
        <f>IF(#REF!="","",#REF!)</f>
        <v>#REF!</v>
      </c>
      <c r="F165" t="e">
        <f>IF(#REF!="","",#REF!)</f>
        <v>#REF!</v>
      </c>
      <c r="G165" t="e">
        <f>IF(#REF!="","",#REF!)</f>
        <v>#REF!</v>
      </c>
      <c r="H165" t="e">
        <f>IF(#REF!="","",#REF!)</f>
        <v>#REF!</v>
      </c>
    </row>
    <row r="166" spans="4:8" x14ac:dyDescent="0.25">
      <c r="D166" t="e">
        <f>IF(#REF!="","",#REF!)</f>
        <v>#REF!</v>
      </c>
      <c r="E166" t="e">
        <f>IF(#REF!="","",#REF!)</f>
        <v>#REF!</v>
      </c>
      <c r="F166" t="e">
        <f>IF(#REF!="","",#REF!)</f>
        <v>#REF!</v>
      </c>
      <c r="G166" t="e">
        <f>IF(#REF!="","",#REF!)</f>
        <v>#REF!</v>
      </c>
      <c r="H166" t="e">
        <f>IF(#REF!="","",#REF!)</f>
        <v>#REF!</v>
      </c>
    </row>
    <row r="167" spans="4:8" x14ac:dyDescent="0.25">
      <c r="D167" t="e">
        <f>IF(#REF!="","",#REF!)</f>
        <v>#REF!</v>
      </c>
      <c r="E167" t="e">
        <f>IF(#REF!="","",#REF!)</f>
        <v>#REF!</v>
      </c>
      <c r="F167" t="e">
        <f>IF(#REF!="","",#REF!)</f>
        <v>#REF!</v>
      </c>
      <c r="G167" t="e">
        <f>IF(#REF!="","",#REF!)</f>
        <v>#REF!</v>
      </c>
      <c r="H167" t="e">
        <f>IF(#REF!="","",#REF!)</f>
        <v>#REF!</v>
      </c>
    </row>
    <row r="168" spans="4:8" x14ac:dyDescent="0.25">
      <c r="D168" t="e">
        <f>IF(#REF!="","",#REF!)</f>
        <v>#REF!</v>
      </c>
      <c r="E168" t="e">
        <f>IF(#REF!="","",#REF!)</f>
        <v>#REF!</v>
      </c>
      <c r="F168" t="e">
        <f>IF(#REF!="","",#REF!)</f>
        <v>#REF!</v>
      </c>
      <c r="G168" t="e">
        <f>IF(#REF!="","",#REF!)</f>
        <v>#REF!</v>
      </c>
      <c r="H168" t="e">
        <f>IF(#REF!="","",#REF!)</f>
        <v>#REF!</v>
      </c>
    </row>
    <row r="169" spans="4:8" x14ac:dyDescent="0.25">
      <c r="D169" t="e">
        <f>IF(#REF!="","",#REF!)</f>
        <v>#REF!</v>
      </c>
      <c r="E169" t="e">
        <f>IF(#REF!="","",#REF!)</f>
        <v>#REF!</v>
      </c>
      <c r="F169" t="e">
        <f>IF(#REF!="","",#REF!)</f>
        <v>#REF!</v>
      </c>
      <c r="G169" t="e">
        <f>IF(#REF!="","",#REF!)</f>
        <v>#REF!</v>
      </c>
      <c r="H169" t="e">
        <f>IF(#REF!="","",#REF!)</f>
        <v>#REF!</v>
      </c>
    </row>
    <row r="170" spans="4:8" x14ac:dyDescent="0.25">
      <c r="D170" t="e">
        <f>IF(#REF!="","",#REF!)</f>
        <v>#REF!</v>
      </c>
      <c r="E170" t="e">
        <f>IF(#REF!="","",#REF!)</f>
        <v>#REF!</v>
      </c>
      <c r="F170" t="e">
        <f>IF(#REF!="","",#REF!)</f>
        <v>#REF!</v>
      </c>
      <c r="G170" t="e">
        <f>IF(#REF!="","",#REF!)</f>
        <v>#REF!</v>
      </c>
      <c r="H170" t="e">
        <f>IF(#REF!="","",#REF!)</f>
        <v>#REF!</v>
      </c>
    </row>
    <row r="171" spans="4:8" x14ac:dyDescent="0.25">
      <c r="D171" t="e">
        <f>IF(#REF!="","",#REF!)</f>
        <v>#REF!</v>
      </c>
      <c r="E171" t="e">
        <f>IF(#REF!="","",#REF!)</f>
        <v>#REF!</v>
      </c>
      <c r="F171" t="e">
        <f>IF(#REF!="","",#REF!)</f>
        <v>#REF!</v>
      </c>
      <c r="G171" t="e">
        <f>IF(#REF!="","",#REF!)</f>
        <v>#REF!</v>
      </c>
      <c r="H171" t="e">
        <f>IF(#REF!="","",#REF!)</f>
        <v>#REF!</v>
      </c>
    </row>
    <row r="172" spans="4:8" x14ac:dyDescent="0.25">
      <c r="D172" t="e">
        <f>IF(#REF!="","",#REF!)</f>
        <v>#REF!</v>
      </c>
      <c r="E172" t="e">
        <f>IF(#REF!="","",#REF!)</f>
        <v>#REF!</v>
      </c>
      <c r="F172" t="e">
        <f>IF(#REF!="","",#REF!)</f>
        <v>#REF!</v>
      </c>
      <c r="G172" t="e">
        <f>IF(#REF!="","",#REF!)</f>
        <v>#REF!</v>
      </c>
      <c r="H172" t="e">
        <f>IF(#REF!="","",#REF!)</f>
        <v>#REF!</v>
      </c>
    </row>
    <row r="173" spans="4:8" x14ac:dyDescent="0.25">
      <c r="D173" t="e">
        <f>IF(#REF!="","",#REF!)</f>
        <v>#REF!</v>
      </c>
      <c r="E173" t="e">
        <f>IF(#REF!="","",#REF!)</f>
        <v>#REF!</v>
      </c>
      <c r="F173" t="e">
        <f>IF(#REF!="","",#REF!)</f>
        <v>#REF!</v>
      </c>
      <c r="G173" t="e">
        <f>IF(#REF!="","",#REF!)</f>
        <v>#REF!</v>
      </c>
      <c r="H173" t="e">
        <f>IF(#REF!="","",#REF!)</f>
        <v>#REF!</v>
      </c>
    </row>
    <row r="174" spans="4:8" x14ac:dyDescent="0.25">
      <c r="D174" t="e">
        <f>IF(#REF!="","",#REF!)</f>
        <v>#REF!</v>
      </c>
      <c r="E174" t="e">
        <f>IF(#REF!="","",#REF!)</f>
        <v>#REF!</v>
      </c>
      <c r="F174" t="e">
        <f>IF(#REF!="","",#REF!)</f>
        <v>#REF!</v>
      </c>
      <c r="G174" t="e">
        <f>IF(#REF!="","",#REF!)</f>
        <v>#REF!</v>
      </c>
      <c r="H174" t="e">
        <f>IF(#REF!="","",#REF!)</f>
        <v>#REF!</v>
      </c>
    </row>
    <row r="175" spans="4:8" x14ac:dyDescent="0.25">
      <c r="D175" t="e">
        <f>IF(#REF!="","",#REF!)</f>
        <v>#REF!</v>
      </c>
      <c r="E175" t="e">
        <f>IF(#REF!="","",#REF!)</f>
        <v>#REF!</v>
      </c>
      <c r="F175" t="e">
        <f>IF(#REF!="","",#REF!)</f>
        <v>#REF!</v>
      </c>
      <c r="G175" t="e">
        <f>IF(#REF!="","",#REF!)</f>
        <v>#REF!</v>
      </c>
      <c r="H175" t="e">
        <f>IF(#REF!="","",#REF!)</f>
        <v>#REF!</v>
      </c>
    </row>
    <row r="176" spans="4:8" x14ac:dyDescent="0.25">
      <c r="D176" t="e">
        <f>IF(#REF!="","",#REF!)</f>
        <v>#REF!</v>
      </c>
      <c r="E176" t="e">
        <f>IF(#REF!="","",#REF!)</f>
        <v>#REF!</v>
      </c>
      <c r="F176" t="e">
        <f>IF(#REF!="","",#REF!)</f>
        <v>#REF!</v>
      </c>
      <c r="G176" t="e">
        <f>IF(#REF!="","",#REF!)</f>
        <v>#REF!</v>
      </c>
      <c r="H176" t="e">
        <f>IF(#REF!="","",#REF!)</f>
        <v>#REF!</v>
      </c>
    </row>
    <row r="177" spans="4:8" x14ac:dyDescent="0.25">
      <c r="D177" t="e">
        <f>IF(#REF!="","",#REF!)</f>
        <v>#REF!</v>
      </c>
      <c r="E177" t="e">
        <f>IF(#REF!="","",#REF!)</f>
        <v>#REF!</v>
      </c>
      <c r="F177" t="e">
        <f>IF(#REF!="","",#REF!)</f>
        <v>#REF!</v>
      </c>
      <c r="G177" t="e">
        <f>IF(#REF!="","",#REF!)</f>
        <v>#REF!</v>
      </c>
      <c r="H177" t="e">
        <f>IF(#REF!="","",#REF!)</f>
        <v>#REF!</v>
      </c>
    </row>
    <row r="178" spans="4:8" x14ac:dyDescent="0.25">
      <c r="D178" t="e">
        <f>IF(#REF!="","",#REF!)</f>
        <v>#REF!</v>
      </c>
      <c r="E178" t="e">
        <f>IF(#REF!="","",#REF!)</f>
        <v>#REF!</v>
      </c>
      <c r="F178" t="e">
        <f>IF(#REF!="","",#REF!)</f>
        <v>#REF!</v>
      </c>
      <c r="G178" t="e">
        <f>IF(#REF!="","",#REF!)</f>
        <v>#REF!</v>
      </c>
      <c r="H178" t="e">
        <f>IF(#REF!="","",#REF!)</f>
        <v>#REF!</v>
      </c>
    </row>
    <row r="179" spans="4:8" x14ac:dyDescent="0.25">
      <c r="D179" t="e">
        <f>IF(#REF!="","",#REF!)</f>
        <v>#REF!</v>
      </c>
      <c r="E179" t="e">
        <f>IF(#REF!="","",#REF!)</f>
        <v>#REF!</v>
      </c>
      <c r="F179" t="e">
        <f>IF(#REF!="","",#REF!)</f>
        <v>#REF!</v>
      </c>
      <c r="G179" t="e">
        <f>IF(#REF!="","",#REF!)</f>
        <v>#REF!</v>
      </c>
      <c r="H179" t="e">
        <f>IF(#REF!="","",#REF!)</f>
        <v>#REF!</v>
      </c>
    </row>
    <row r="180" spans="4:8" x14ac:dyDescent="0.25">
      <c r="D180" t="e">
        <f>IF(#REF!="","",#REF!)</f>
        <v>#REF!</v>
      </c>
      <c r="E180" t="e">
        <f>IF(#REF!="","",#REF!)</f>
        <v>#REF!</v>
      </c>
      <c r="F180" t="e">
        <f>IF(#REF!="","",#REF!)</f>
        <v>#REF!</v>
      </c>
      <c r="G180" t="e">
        <f>IF(#REF!="","",#REF!)</f>
        <v>#REF!</v>
      </c>
      <c r="H180" t="e">
        <f>IF(#REF!="","",#REF!)</f>
        <v>#REF!</v>
      </c>
    </row>
    <row r="181" spans="4:8" x14ac:dyDescent="0.25">
      <c r="D181" t="e">
        <f>IF(#REF!="","",#REF!)</f>
        <v>#REF!</v>
      </c>
      <c r="E181" t="e">
        <f>IF(#REF!="","",#REF!)</f>
        <v>#REF!</v>
      </c>
      <c r="F181" t="e">
        <f>IF(#REF!="","",#REF!)</f>
        <v>#REF!</v>
      </c>
      <c r="G181" t="e">
        <f>IF(#REF!="","",#REF!)</f>
        <v>#REF!</v>
      </c>
      <c r="H181" t="e">
        <f>IF(#REF!="","",#REF!)</f>
        <v>#REF!</v>
      </c>
    </row>
    <row r="182" spans="4:8" x14ac:dyDescent="0.25">
      <c r="D182" t="e">
        <f>IF(#REF!="","",#REF!)</f>
        <v>#REF!</v>
      </c>
      <c r="E182" t="e">
        <f>IF(#REF!="","",#REF!)</f>
        <v>#REF!</v>
      </c>
      <c r="F182" t="e">
        <f>IF(#REF!="","",#REF!)</f>
        <v>#REF!</v>
      </c>
      <c r="G182" t="e">
        <f>IF(#REF!="","",#REF!)</f>
        <v>#REF!</v>
      </c>
      <c r="H182" t="e">
        <f>IF(#REF!="","",#REF!)</f>
        <v>#REF!</v>
      </c>
    </row>
    <row r="183" spans="4:8" x14ac:dyDescent="0.25">
      <c r="D183" t="e">
        <f>IF(#REF!="","",#REF!)</f>
        <v>#REF!</v>
      </c>
      <c r="E183" t="e">
        <f>IF(#REF!="","",#REF!)</f>
        <v>#REF!</v>
      </c>
      <c r="F183" t="e">
        <f>IF(#REF!="","",#REF!)</f>
        <v>#REF!</v>
      </c>
      <c r="G183" t="e">
        <f>IF(#REF!="","",#REF!)</f>
        <v>#REF!</v>
      </c>
      <c r="H183" t="e">
        <f>IF(#REF!="","",#REF!)</f>
        <v>#REF!</v>
      </c>
    </row>
    <row r="184" spans="4:8" x14ac:dyDescent="0.25">
      <c r="D184" t="e">
        <f>IF(#REF!="","",#REF!)</f>
        <v>#REF!</v>
      </c>
      <c r="E184" t="e">
        <f>IF(#REF!="","",#REF!)</f>
        <v>#REF!</v>
      </c>
      <c r="F184" t="e">
        <f>IF(#REF!="","",#REF!)</f>
        <v>#REF!</v>
      </c>
      <c r="G184" t="e">
        <f>IF(#REF!="","",#REF!)</f>
        <v>#REF!</v>
      </c>
      <c r="H184" t="e">
        <f>IF(#REF!="","",#REF!)</f>
        <v>#REF!</v>
      </c>
    </row>
    <row r="185" spans="4:8" x14ac:dyDescent="0.25">
      <c r="D185" t="e">
        <f>IF(#REF!="","",#REF!)</f>
        <v>#REF!</v>
      </c>
      <c r="E185" t="e">
        <f>IF(#REF!="","",#REF!)</f>
        <v>#REF!</v>
      </c>
      <c r="F185" t="e">
        <f>IF(#REF!="","",#REF!)</f>
        <v>#REF!</v>
      </c>
      <c r="G185" t="e">
        <f>IF(#REF!="","",#REF!)</f>
        <v>#REF!</v>
      </c>
      <c r="H185" t="e">
        <f>IF(#REF!="","",#REF!)</f>
        <v>#REF!</v>
      </c>
    </row>
    <row r="186" spans="4:8" x14ac:dyDescent="0.25">
      <c r="D186" t="e">
        <f>IF(#REF!="","",#REF!)</f>
        <v>#REF!</v>
      </c>
      <c r="E186" t="e">
        <f>IF(#REF!="","",#REF!)</f>
        <v>#REF!</v>
      </c>
      <c r="F186" t="e">
        <f>IF(#REF!="","",#REF!)</f>
        <v>#REF!</v>
      </c>
      <c r="G186" t="e">
        <f>IF(#REF!="","",#REF!)</f>
        <v>#REF!</v>
      </c>
      <c r="H186" t="e">
        <f>IF(#REF!="","",#REF!)</f>
        <v>#REF!</v>
      </c>
    </row>
    <row r="187" spans="4:8" x14ac:dyDescent="0.25">
      <c r="D187" t="e">
        <f>IF(#REF!="","",#REF!)</f>
        <v>#REF!</v>
      </c>
      <c r="E187" t="e">
        <f>IF(#REF!="","",#REF!)</f>
        <v>#REF!</v>
      </c>
      <c r="F187" t="e">
        <f>IF(#REF!="","",#REF!)</f>
        <v>#REF!</v>
      </c>
      <c r="G187" t="e">
        <f>IF(#REF!="","",#REF!)</f>
        <v>#REF!</v>
      </c>
      <c r="H187" t="e">
        <f>IF(#REF!="","",#REF!)</f>
        <v>#REF!</v>
      </c>
    </row>
    <row r="188" spans="4:8" x14ac:dyDescent="0.25">
      <c r="D188" t="e">
        <f>IF(#REF!="","",#REF!)</f>
        <v>#REF!</v>
      </c>
      <c r="E188" t="e">
        <f>IF(#REF!="","",#REF!)</f>
        <v>#REF!</v>
      </c>
      <c r="F188" t="e">
        <f>IF(#REF!="","",#REF!)</f>
        <v>#REF!</v>
      </c>
      <c r="G188" t="e">
        <f>IF(#REF!="","",#REF!)</f>
        <v>#REF!</v>
      </c>
      <c r="H188" t="e">
        <f>IF(#REF!="","",#REF!)</f>
        <v>#REF!</v>
      </c>
    </row>
    <row r="189" spans="4:8" x14ac:dyDescent="0.25">
      <c r="D189" t="e">
        <f>IF(#REF!="","",#REF!)</f>
        <v>#REF!</v>
      </c>
      <c r="E189" t="e">
        <f>IF(#REF!="","",#REF!)</f>
        <v>#REF!</v>
      </c>
      <c r="F189" t="e">
        <f>IF(#REF!="","",#REF!)</f>
        <v>#REF!</v>
      </c>
      <c r="G189" t="e">
        <f>IF(#REF!="","",#REF!)</f>
        <v>#REF!</v>
      </c>
      <c r="H189" t="e">
        <f>IF(#REF!="","",#REF!)</f>
        <v>#REF!</v>
      </c>
    </row>
    <row r="190" spans="4:8" x14ac:dyDescent="0.25">
      <c r="D190" t="e">
        <f>IF(#REF!="","",#REF!)</f>
        <v>#REF!</v>
      </c>
      <c r="E190" t="e">
        <f>IF(#REF!="","",#REF!)</f>
        <v>#REF!</v>
      </c>
      <c r="F190" t="e">
        <f>IF(#REF!="","",#REF!)</f>
        <v>#REF!</v>
      </c>
      <c r="G190" t="e">
        <f>IF(#REF!="","",#REF!)</f>
        <v>#REF!</v>
      </c>
      <c r="H190" t="e">
        <f>IF(#REF!="","",#REF!)</f>
        <v>#REF!</v>
      </c>
    </row>
    <row r="191" spans="4:8" x14ac:dyDescent="0.25">
      <c r="D191" t="e">
        <f>IF(#REF!="","",#REF!)</f>
        <v>#REF!</v>
      </c>
      <c r="E191" t="e">
        <f>IF(#REF!="","",#REF!)</f>
        <v>#REF!</v>
      </c>
      <c r="F191" t="e">
        <f>IF(#REF!="","",#REF!)</f>
        <v>#REF!</v>
      </c>
      <c r="G191" t="e">
        <f>IF(#REF!="","",#REF!)</f>
        <v>#REF!</v>
      </c>
      <c r="H191" t="e">
        <f>IF(#REF!="","",#REF!)</f>
        <v>#REF!</v>
      </c>
    </row>
    <row r="192" spans="4:8" x14ac:dyDescent="0.25">
      <c r="D192" t="e">
        <f>IF(#REF!="","",#REF!)</f>
        <v>#REF!</v>
      </c>
      <c r="E192" t="e">
        <f>IF(#REF!="","",#REF!)</f>
        <v>#REF!</v>
      </c>
      <c r="F192" t="e">
        <f>IF(#REF!="","",#REF!)</f>
        <v>#REF!</v>
      </c>
      <c r="G192" t="e">
        <f>IF(#REF!="","",#REF!)</f>
        <v>#REF!</v>
      </c>
      <c r="H192" t="e">
        <f>IF(#REF!="","",#REF!)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2021-05-14T14:44:57Z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