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Macro37\"/>
    </mc:Choice>
  </mc:AlternateContent>
  <xr:revisionPtr revIDLastSave="0" documentId="13_ncr:1_{F6F5D689-7CFF-452D-9DDF-E807A89A9B2A}" xr6:coauthVersionLast="46" xr6:coauthVersionMax="46" xr10:uidLastSave="{00000000-0000-0000-0000-000000000000}"/>
  <bookViews>
    <workbookView xWindow="-120" yWindow="-120" windowWidth="24240" windowHeight="17790" tabRatio="381" activeTab="2" xr2:uid="{00000000-000D-0000-FFFF-FFFF00000000}"/>
  </bookViews>
  <sheets>
    <sheet name="SEND" sheetId="12" r:id="rId1"/>
    <sheet name="BASE" sheetId="10" r:id="rId2"/>
    <sheet name="dados" sheetId="11" r:id="rId3"/>
  </sheets>
  <functionGroups builtInGroupCount="19"/>
  <definedNames>
    <definedName name="_xlnm._FilterDatabase" localSheetId="1" hidden="1">BASE!$D$12:$H$70</definedName>
    <definedName name="_xlnm._FilterDatabase" localSheetId="2" hidden="1">dados!$A$1:$AB$62</definedName>
    <definedName name="_xlnm._FilterDatabase" localSheetId="0" hidden="1">SEND!#REF!</definedName>
    <definedName name="tbl_dinamica">OFFSET(dados!$A$1,0,0,COUNTA(dados!$H:$H),COUNTA(dados!$1:$1))</definedName>
  </definedNames>
  <calcPr calcId="191029"/>
  <pivotCaches>
    <pivotCache cacheId="5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2" l="1"/>
  <c r="H12" i="12"/>
  <c r="H13" i="12"/>
  <c r="M1" i="10"/>
  <c r="M2" i="10"/>
  <c r="B7" i="12" s="1"/>
  <c r="C7" i="12" l="1"/>
  <c r="L2" i="10" l="1"/>
  <c r="C4" i="12" l="1"/>
  <c r="A10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J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PESO TOTAL VAGAO</t>
        </r>
      </text>
    </comment>
    <comment ref="N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edeoliveira:
PESO RATEIO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I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I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<sst xmlns="http://schemas.openxmlformats.org/spreadsheetml/2006/main" count="771" uniqueCount="207">
  <si>
    <t>FILIAL</t>
  </si>
  <si>
    <t>CNPJ</t>
  </si>
  <si>
    <t>DESTINO</t>
  </si>
  <si>
    <t>Documento</t>
  </si>
  <si>
    <t>06.315.338/0026-77</t>
  </si>
  <si>
    <t>TBO</t>
  </si>
  <si>
    <t>FABRICA</t>
  </si>
  <si>
    <t>ALL-TERMINAL RONDO</t>
  </si>
  <si>
    <t>24.962.466/0011-08</t>
  </si>
  <si>
    <t>soja</t>
  </si>
  <si>
    <t>24.962.466/0015-31</t>
  </si>
  <si>
    <t>milho</t>
  </si>
  <si>
    <t>42.276.907/0002-09</t>
  </si>
  <si>
    <t>42.276.907/0011-08</t>
  </si>
  <si>
    <t>VLI PIRAPORA</t>
  </si>
  <si>
    <t>Contagem de C2</t>
  </si>
  <si>
    <t>VLI ARAGUARI - TIA</t>
  </si>
  <si>
    <t>C1</t>
  </si>
  <si>
    <t>Total</t>
  </si>
  <si>
    <t>VLI PORTO NACIONAL - TO</t>
  </si>
  <si>
    <t>09.257.877/0002-18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</si>
  <si>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</si>
  <si>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</si>
  <si>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</si>
  <si>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</si>
  <si>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</si>
  <si>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</si>
  <si>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</si>
  <si>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</si>
  <si>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</si>
  <si>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</si>
  <si>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A</t>
  </si>
  <si>
    <t>Total/Parcial</t>
  </si>
  <si>
    <t>Peso</t>
  </si>
  <si>
    <t>Valor</t>
  </si>
  <si>
    <t>DCL</t>
  </si>
  <si>
    <t>Fluxo</t>
  </si>
  <si>
    <t>Data Saída</t>
  </si>
  <si>
    <t>Líquido</t>
  </si>
  <si>
    <t>Tara</t>
  </si>
  <si>
    <t>Bruto</t>
  </si>
  <si>
    <t>Vagão</t>
  </si>
  <si>
    <t>Produto:</t>
  </si>
  <si>
    <t>Transportadora:</t>
  </si>
  <si>
    <t>Destino:</t>
  </si>
  <si>
    <t xml:space="preserve">NOBLE - </t>
  </si>
  <si>
    <t>Origem:</t>
  </si>
  <si>
    <t>NOBLE</t>
  </si>
  <si>
    <t>Cliente:</t>
  </si>
  <si>
    <t>NOBLT39-AC</t>
  </si>
  <si>
    <t>Contrato:</t>
  </si>
  <si>
    <t>Página 1 de 2</t>
  </si>
  <si>
    <t xml:space="preserve">Contrato: NOBLT39-AC -  De 01/10/2012 00:00:01 até 10/10/2012 23:59:59 / </t>
  </si>
  <si>
    <t>16/10/2012 20:19:41</t>
  </si>
  <si>
    <t>Rateio de Transbordo</t>
  </si>
  <si>
    <t>S I S P A T</t>
  </si>
  <si>
    <t xml:space="preserve"> </t>
  </si>
  <si>
    <t>06315338019308</t>
  </si>
  <si>
    <t>06315338019480</t>
  </si>
  <si>
    <t>SOJA EM GRAOS-Transbordo</t>
  </si>
  <si>
    <t>06315338000119</t>
  </si>
  <si>
    <t>COFCO SÃO PAULO</t>
  </si>
  <si>
    <t>06315338000380</t>
  </si>
  <si>
    <t>COFCO SANTOS</t>
  </si>
  <si>
    <t>06315338000623</t>
  </si>
  <si>
    <t>COFCO ALFENAS</t>
  </si>
  <si>
    <t>06315338000542</t>
  </si>
  <si>
    <t>COFCO LONDRINA</t>
  </si>
  <si>
    <t>29332398001206</t>
  </si>
  <si>
    <t>COFCO RONDONÓPOLIS</t>
  </si>
  <si>
    <t>06315338000208</t>
  </si>
  <si>
    <t>COFCO CUIABÁ</t>
  </si>
  <si>
    <t>29332398003675</t>
  </si>
  <si>
    <t>COFCO PASSO FUNDO</t>
  </si>
  <si>
    <t>06315338001603</t>
  </si>
  <si>
    <t>COFCO MARINGÁ</t>
  </si>
  <si>
    <t>29332398000307</t>
  </si>
  <si>
    <t>COFCO CAMPO VERDE</t>
  </si>
  <si>
    <t>06315338001786</t>
  </si>
  <si>
    <t>COFCO JAPURA</t>
  </si>
  <si>
    <t>29332398000730</t>
  </si>
  <si>
    <t>COFCO NOVA MARINGA</t>
  </si>
  <si>
    <t>29332398000498</t>
  </si>
  <si>
    <t>COFCO SORRISO</t>
  </si>
  <si>
    <t>29332398003403</t>
  </si>
  <si>
    <t>COFCO LUIS ED. MAGALHÃES</t>
  </si>
  <si>
    <t>06315338002677</t>
  </si>
  <si>
    <t>COFCO RONDONÓPOLIS/CHUSHING</t>
  </si>
  <si>
    <t>06315338002839</t>
  </si>
  <si>
    <t>COFCO JATAI</t>
  </si>
  <si>
    <t>29332398001389</t>
  </si>
  <si>
    <t>COFCO LUCAS R. V. /NOVA MUTUM</t>
  </si>
  <si>
    <t>29332398000811</t>
  </si>
  <si>
    <t>COFCO PRMAVERA DO LESTE</t>
  </si>
  <si>
    <t>06315338005005</t>
  </si>
  <si>
    <t>COFCO NOVA UBIRATA</t>
  </si>
  <si>
    <t>06315338000269</t>
  </si>
  <si>
    <t>COFCO NORTELANDIA</t>
  </si>
  <si>
    <t>06315338003053</t>
  </si>
  <si>
    <t>COFCO PONTA GROSSA</t>
  </si>
  <si>
    <t>06315338003134</t>
  </si>
  <si>
    <t>COFCO SINOP</t>
  </si>
  <si>
    <t>29332398004213</t>
  </si>
  <si>
    <t xml:space="preserve">COFCO </t>
  </si>
  <si>
    <t>06315338016546</t>
  </si>
  <si>
    <t>COFCO FELIZ NATAL</t>
  </si>
  <si>
    <t>29332398004132</t>
  </si>
  <si>
    <t>COFCO ITAITUBA</t>
  </si>
  <si>
    <t>06315338016970</t>
  </si>
  <si>
    <t>COFCO NOVO MUNDO</t>
  </si>
  <si>
    <t>29332398000579</t>
  </si>
  <si>
    <t>COFCO ITANHANGÁ</t>
  </si>
  <si>
    <t>06315338017194</t>
  </si>
  <si>
    <t>COFCO MARCELANDIA</t>
  </si>
  <si>
    <t>06315338017275</t>
  </si>
  <si>
    <t>COFCO CATALÃO</t>
  </si>
  <si>
    <t>29332398004051</t>
  </si>
  <si>
    <t>COFCO PARAGOMINAS</t>
  </si>
  <si>
    <t>06315338017437</t>
  </si>
  <si>
    <t>COFCO TRÊS CORAÇÕES</t>
  </si>
  <si>
    <t>29332398001036</t>
  </si>
  <si>
    <t>COFCO DIAMANTINO</t>
  </si>
  <si>
    <t>06315338018247</t>
  </si>
  <si>
    <t>COFCO SORRISO II</t>
  </si>
  <si>
    <t>06315338018409</t>
  </si>
  <si>
    <t>COFCO NOVA UBIRATA II</t>
  </si>
  <si>
    <t>06315338018166</t>
  </si>
  <si>
    <t>COFCO CANARANA</t>
  </si>
  <si>
    <t>29332398000650</t>
  </si>
  <si>
    <t>COFCO IPIRANGA DO NORTE</t>
  </si>
  <si>
    <t>06315338018670</t>
  </si>
  <si>
    <t>COFCO SANTA CARMEM</t>
  </si>
  <si>
    <t>06315338018328</t>
  </si>
  <si>
    <t>COFCO NOVA SANTA HELENA</t>
  </si>
  <si>
    <t>06315338017941</t>
  </si>
  <si>
    <t>COFCO CLAUDIA - NIDERA</t>
  </si>
  <si>
    <t>29332398000900</t>
  </si>
  <si>
    <t>COFCO TANGARA DA SERRA</t>
  </si>
  <si>
    <t>29332398003756</t>
  </si>
  <si>
    <t>COFCO SILVANOPOLIS</t>
  </si>
  <si>
    <t>29332398004302</t>
  </si>
  <si>
    <t>COFCO SANTA ROSA</t>
  </si>
  <si>
    <t>29332398003918</t>
  </si>
  <si>
    <t>COFCO UBERLANDIA</t>
  </si>
  <si>
    <t>29332398000226</t>
  </si>
  <si>
    <t>COFCO RONDONOPOLIS/FABRICA</t>
  </si>
  <si>
    <t>06315338001948</t>
  </si>
  <si>
    <t>COFCO LEN</t>
  </si>
  <si>
    <t>06315338019219</t>
  </si>
  <si>
    <t>COFCO UNAI</t>
  </si>
  <si>
    <t>06315338017780</t>
  </si>
  <si>
    <t>COFCO - CANARANA</t>
  </si>
  <si>
    <t>03315338002839</t>
  </si>
  <si>
    <t>COFCO - BOM JESUS DE GOIAS</t>
  </si>
  <si>
    <t>06315338020659</t>
  </si>
  <si>
    <t>COFCO - NOVA MUTUM</t>
  </si>
  <si>
    <t>06315338017356</t>
  </si>
  <si>
    <t/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</si>
  <si>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</si>
  <si>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</si>
  <si>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</si>
  <si>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</si>
  <si>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</si>
  <si>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</si>
  <si>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</si>
  <si>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</si>
  <si>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</si>
  <si>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</si>
  <si>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</si>
  <si>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</si>
  <si>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</si>
  <si>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</si>
  <si>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</si>
  <si>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</si>
  <si>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</si>
  <si>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P</t>
  </si>
  <si>
    <t>478101</t>
  </si>
  <si>
    <t>COFCO CANARANA 0181-66</t>
  </si>
  <si>
    <t>HFT84175630</t>
  </si>
  <si>
    <t>03/05/2021 22:24</t>
  </si>
  <si>
    <t>COFCO SOJA 2020/2021</t>
  </si>
  <si>
    <t>28424</t>
  </si>
  <si>
    <t>2°VAGAO</t>
  </si>
  <si>
    <t>TERMINAL 12 A SA</t>
  </si>
  <si>
    <t>478100</t>
  </si>
  <si>
    <t>HFT09090760</t>
  </si>
  <si>
    <t>03/05/2021 22:14</t>
  </si>
  <si>
    <t>1° VAGAO</t>
  </si>
  <si>
    <t>28514</t>
  </si>
  <si>
    <t>HFT0909076</t>
  </si>
  <si>
    <t>HFT8417563</t>
  </si>
  <si>
    <t>56.216.872/0001-46</t>
  </si>
  <si>
    <t>24.962.466/0001-36</t>
  </si>
  <si>
    <t>ADM - SANTOS</t>
  </si>
  <si>
    <t>02.003.402/0007-60</t>
  </si>
  <si>
    <t>TERM.XXXIX</t>
  </si>
  <si>
    <t>04.244.527/0001-12</t>
  </si>
  <si>
    <t>TERM. GRANEIS GUARUJA</t>
  </si>
  <si>
    <t>05.527.694/0001-33</t>
  </si>
  <si>
    <t>TEG</t>
  </si>
  <si>
    <t>09.079.434/0001-01</t>
  </si>
  <si>
    <t>CUTRALE - SANTOS</t>
  </si>
  <si>
    <t>61.649.810/0018-06</t>
  </si>
  <si>
    <t>Tubarão - moega</t>
  </si>
  <si>
    <t>33.592.510/0262-00</t>
  </si>
  <si>
    <t>ITAQUI</t>
  </si>
  <si>
    <t>42.276.907/0015-23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</si>
</sst>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10409]#,##0"/>
    <numFmt numFmtId="166" formatCode="0.0"/>
    <numFmt numFmtId="167" formatCode="#,##0.000"/>
    <numFmt numFmtId="168" formatCode="#,#00"/>
    <numFmt numFmtId="169" formatCode="dd/mm/yyyy"/>
  </numFmts>
  <fonts count="24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</font>
    <font>
      <sz val="8"/>
      <color indexed="8"/>
      <name val="Arial"/>
      <family val="2"/>
    </font>
    <font>
      <sz val="11"/>
      <name val="Calibri"/>
      <family val="2"/>
      <scheme val="minor"/>
    </font>
    <font>
      <sz val="11"/>
      <color indexed="10"/>
      <name val="Calibri"/>
      <family val="2"/>
    </font>
    <font>
      <sz val="10.5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8"/>
      <name val="Calibri"/>
      <family val="2"/>
      <scheme val="minor"/>
    </font>
    <font>
      <sz val="10.5"/>
      <color rgb="FF000000"/>
      <name val="Calibri"/>
      <family val="2"/>
      <scheme val="minor"/>
    </font>
    <font>
      <sz val="8"/>
      <name val="Trebuchet MS"/>
      <family val="2"/>
    </font>
    <font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8" fillId="0" borderId="0"/>
    <xf numFmtId="0" fontId="9" fillId="0" borderId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3" fillId="0" borderId="0" applyNumberFormat="0" applyFill="0" applyBorder="0" applyAlignment="0" applyProtection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>
      <alignment vertical="top"/>
    </xf>
    <xf numFmtId="0" fontId="16" fillId="0" borderId="0">
      <alignment vertical="top"/>
    </xf>
    <xf numFmtId="0" fontId="16" fillId="0" borderId="0">
      <alignment vertical="top"/>
    </xf>
    <xf numFmtId="0" fontId="8" fillId="0" borderId="0"/>
  </cellStyleXfs>
  <cellXfs count="64">
    <xf numFmtId="0" fontId="0" fillId="0" borderId="0" xfId="0"/>
    <xf numFmtId="49" fontId="0" fillId="0" borderId="0" xfId="0" applyNumberFormat="1"/>
    <xf numFmtId="0" fontId="7" fillId="0" borderId="0" xfId="0" applyFont="1"/>
    <xf numFmtId="49" fontId="7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8" fillId="0" borderId="0" xfId="3"/>
    <xf numFmtId="0" fontId="0" fillId="0" borderId="2" xfId="0" applyBorder="1"/>
    <xf numFmtId="0" fontId="0" fillId="0" borderId="1" xfId="0" pivotButton="1" applyBorder="1"/>
    <xf numFmtId="0" fontId="13" fillId="0" borderId="0" xfId="7"/>
    <xf numFmtId="0" fontId="14" fillId="0" borderId="0" xfId="7" applyFont="1"/>
    <xf numFmtId="0" fontId="13" fillId="0" borderId="0" xfId="7" applyAlignment="1">
      <alignment horizontal="center"/>
    </xf>
    <xf numFmtId="0" fontId="3" fillId="0" borderId="0" xfId="7" applyFont="1" applyAlignment="1" applyProtection="1">
      <alignment horizontal="center" vertical="top"/>
      <protection locked="0"/>
    </xf>
    <xf numFmtId="0" fontId="3" fillId="0" borderId="0" xfId="7" applyFont="1" applyAlignment="1" applyProtection="1">
      <alignment horizontal="right" vertical="top"/>
      <protection locked="0"/>
    </xf>
    <xf numFmtId="0" fontId="13" fillId="0" borderId="0" xfId="7" applyAlignment="1" applyProtection="1">
      <alignment horizontal="left" vertical="top"/>
      <protection locked="0"/>
    </xf>
    <xf numFmtId="0" fontId="3" fillId="0" borderId="0" xfId="7" applyFont="1"/>
    <xf numFmtId="0" fontId="3" fillId="0" borderId="0" xfId="8" applyFont="1" applyFill="1" applyAlignment="1" applyProtection="1">
      <alignment horizontal="left" vertical="top"/>
      <protection locked="0"/>
    </xf>
    <xf numFmtId="0" fontId="4" fillId="0" borderId="0" xfId="7" applyFont="1" applyAlignment="1" applyProtection="1">
      <alignment horizontal="center" vertical="top"/>
      <protection locked="0"/>
    </xf>
    <xf numFmtId="166" fontId="13" fillId="0" borderId="0" xfId="7" applyNumberFormat="1"/>
    <xf numFmtId="0" fontId="12" fillId="0" borderId="0" xfId="8"/>
    <xf numFmtId="0" fontId="12" fillId="0" borderId="0" xfId="8" applyFill="1"/>
    <xf numFmtId="0" fontId="0" fillId="0" borderId="0" xfId="0" applyAlignment="1">
      <alignment horizontal="center"/>
    </xf>
    <xf numFmtId="14" fontId="0" fillId="0" borderId="0" xfId="0" applyNumberFormat="1"/>
    <xf numFmtId="49" fontId="15" fillId="4" borderId="3" xfId="0" applyNumberFormat="1" applyFont="1" applyFill="1" applyBorder="1" applyAlignment="1">
      <alignment horizontal="center"/>
    </xf>
    <xf numFmtId="49" fontId="2" fillId="0" borderId="0" xfId="7" applyNumberFormat="1" applyFont="1"/>
    <xf numFmtId="0" fontId="12" fillId="0" borderId="0" xfId="8" applyNumberFormat="1"/>
    <xf numFmtId="0" fontId="12" fillId="5" borderId="4" xfId="8" applyNumberFormat="1" applyFill="1" applyBorder="1" applyAlignment="1">
      <alignment horizontal="center" vertical="center"/>
    </xf>
    <xf numFmtId="165" fontId="0" fillId="0" borderId="1" xfId="0" applyNumberFormat="1" applyBorder="1"/>
    <xf numFmtId="1" fontId="0" fillId="0" borderId="0" xfId="0" applyNumberFormat="1" applyAlignment="1">
      <alignment horizontal="center"/>
    </xf>
    <xf numFmtId="1" fontId="12" fillId="0" borderId="0" xfId="8" applyNumberFormat="1"/>
    <xf numFmtId="1" fontId="13" fillId="0" borderId="0" xfId="7" applyNumberFormat="1"/>
    <xf numFmtId="1" fontId="3" fillId="0" borderId="0" xfId="7" applyNumberFormat="1" applyFont="1" applyAlignment="1" applyProtection="1">
      <alignment horizontal="left" vertical="top"/>
      <protection locked="0"/>
    </xf>
    <xf numFmtId="1" fontId="3" fillId="0" borderId="0" xfId="0" applyNumberFormat="1" applyFont="1" applyAlignment="1" applyProtection="1">
      <alignment horizontal="left" vertical="top"/>
      <protection locked="0"/>
    </xf>
    <xf numFmtId="0" fontId="0" fillId="0" borderId="0" xfId="0"/>
    <xf numFmtId="0" fontId="0" fillId="0" borderId="5" xfId="0" applyBorder="1"/>
    <xf numFmtId="0" fontId="0" fillId="0" borderId="7" xfId="0" applyNumberFormat="1" applyBorder="1"/>
    <xf numFmtId="0" fontId="0" fillId="6" borderId="4" xfId="0" applyFill="1" applyBorder="1"/>
    <xf numFmtId="0" fontId="3" fillId="6" borderId="4" xfId="8" applyFont="1" applyFill="1" applyBorder="1" applyAlignment="1" applyProtection="1">
      <alignment horizontal="left" vertical="top"/>
      <protection locked="0"/>
    </xf>
    <xf numFmtId="0" fontId="3" fillId="6" borderId="4" xfId="0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/>
    <xf numFmtId="0" fontId="2" fillId="6" borderId="4" xfId="8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 applyAlignment="1">
      <alignment horizontal="center" vertical="center"/>
    </xf>
    <xf numFmtId="0" fontId="19" fillId="6" borderId="0" xfId="0" quotePrefix="1" applyFont="1" applyFill="1" applyAlignment="1">
      <alignment horizontal="center" vertical="center"/>
    </xf>
    <xf numFmtId="0" fontId="12" fillId="6" borderId="4" xfId="8" quotePrefix="1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2" fillId="6" borderId="4" xfId="8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8" applyNumberFormat="1" applyAlignment="1">
      <alignment horizontal="center" vertical="center"/>
    </xf>
    <xf numFmtId="0" fontId="0" fillId="0" borderId="0" xfId="0"/>
    <xf numFmtId="49" fontId="0" fillId="7" borderId="8" xfId="0" applyNumberFormat="1" applyFill="1" applyBorder="1" applyAlignment="1">
      <alignment horizontal="right"/>
    </xf>
    <xf numFmtId="0" fontId="21" fillId="0" borderId="0" xfId="0" applyFont="1"/>
    <xf numFmtId="168" fontId="13" fillId="0" borderId="0" xfId="7" applyNumberFormat="1"/>
    <xf numFmtId="49" fontId="22" fillId="0" borderId="9" xfId="0" applyNumberFormat="1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3" fontId="22" fillId="0" borderId="9" xfId="0" applyNumberFormat="1" applyFont="1" applyBorder="1" applyAlignment="1">
      <alignment vertical="center"/>
    </xf>
    <xf numFmtId="0" fontId="23" fillId="0" borderId="0" xfId="0" applyFont="1"/>
    <xf numFmtId="0" fontId="0" fillId="0" borderId="6" xfId="0" applyBorder="1"/>
    <xf numFmtId="14" fontId="0" fillId="0" borderId="6" xfId="0" applyNumberFormat="1" applyBorder="1"/>
    <xf numFmtId="1" fontId="13" fillId="0" borderId="0" xfId="7" quotePrefix="1" applyNumberFormat="1"/>
    <xf numFmtId="1" fontId="22" fillId="0" borderId="9" xfId="0" applyNumberFormat="1" applyFont="1" applyBorder="1" applyAlignment="1">
      <alignment vertical="center"/>
    </xf>
    <xf numFmtId="169" fontId="3" fillId="0" borderId="0" xfId="7" applyNumberFormat="1" applyFont="1" applyAlignment="1" applyProtection="1">
      <alignment horizontal="center" vertical="top"/>
      <protection locked="0"/>
    </xf>
    <xf numFmtId="169" fontId="13" fillId="0" borderId="0" xfId="7" applyNumberFormat="1" applyAlignment="1">
      <alignment horizontal="center"/>
    </xf>
    <xf numFmtId="169" fontId="17" fillId="0" borderId="0" xfId="0" applyNumberFormat="1" applyFont="1"/>
  </cellXfs>
  <cellStyles count="21">
    <cellStyle name="Comma 2" xfId="15" xr:uid="{00000000-0005-0000-0000-000000000000}"/>
    <cellStyle name="Incorreto" xfId="5" xr:uid="{00000000-0005-0000-0000-000001000000}"/>
    <cellStyle name="Neutra" xfId="6" xr:uid="{00000000-0005-0000-0000-000002000000}"/>
    <cellStyle name="Normal" xfId="0" builtinId="0"/>
    <cellStyle name="Normal 10" xfId="17" xr:uid="{00000000-0005-0000-0000-000004000000}"/>
    <cellStyle name="Normal 11" xfId="18" xr:uid="{00000000-0005-0000-0000-000005000000}"/>
    <cellStyle name="Normal 12" xfId="19" xr:uid="{00000000-0005-0000-0000-000006000000}"/>
    <cellStyle name="Normal 13" xfId="20" xr:uid="{00000000-0005-0000-0000-000007000000}"/>
    <cellStyle name="Normal 2" xfId="1" xr:uid="{00000000-0005-0000-0000-000008000000}"/>
    <cellStyle name="Normal 3" xfId="2" xr:uid="{00000000-0005-0000-0000-000009000000}"/>
    <cellStyle name="Normal 3 2" xfId="8" xr:uid="{00000000-0005-0000-0000-00000A000000}"/>
    <cellStyle name="Normal 4" xfId="3" xr:uid="{00000000-0005-0000-0000-00000B000000}"/>
    <cellStyle name="Normal 4 2" xfId="9" xr:uid="{00000000-0005-0000-0000-00000C000000}"/>
    <cellStyle name="Normal 5" xfId="4" xr:uid="{00000000-0005-0000-0000-00000D000000}"/>
    <cellStyle name="Normal 5 2" xfId="10" xr:uid="{00000000-0005-0000-0000-00000E000000}"/>
    <cellStyle name="Normal 6" xfId="7" xr:uid="{00000000-0005-0000-0000-00000F000000}"/>
    <cellStyle name="Normal 6 2" xfId="11" xr:uid="{00000000-0005-0000-0000-000010000000}"/>
    <cellStyle name="Normal 7" xfId="12" xr:uid="{00000000-0005-0000-0000-000011000000}"/>
    <cellStyle name="Normal 8" xfId="13" xr:uid="{00000000-0005-0000-0000-000012000000}"/>
    <cellStyle name="Normal 9" xfId="14" xr:uid="{00000000-0005-0000-0000-000013000000}"/>
    <cellStyle name="Porcentagem 3" xfId="16" xr:uid="{00000000-0005-0000-0000-00001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328.38523738426" createdVersion="6" refreshedVersion="7" minRefreshableVersion="3" recordCount="3" xr:uid="{00000000-000A-0000-FFFF-FFFF31000000}">
  <cacheSource type="worksheet">
    <worksheetSource name="=tbl_dinamica"/>
  </cacheSource>
  <cacheFields count="28">
    <cacheField name="C1" numFmtId="49">
      <sharedItems/>
    </cacheField>
    <cacheField name="C2" numFmtId="49">
      <sharedItems count="1">
        <s v="COFCO CANARANA 0181-66"/>
      </sharedItems>
    </cacheField>
    <cacheField name="C3" numFmtId="49">
      <sharedItems count="1">
        <s v="06315338018166"/>
      </sharedItems>
    </cacheField>
    <cacheField name="C4" numFmtId="49">
      <sharedItems/>
    </cacheField>
    <cacheField name="C5" numFmtId="0">
      <sharedItems containsNonDate="0" containsString="0" containsBlank="1"/>
    </cacheField>
    <cacheField name="C6" numFmtId="3">
      <sharedItems containsSemiMixedTypes="0" containsString="0" containsNumber="1" containsInteger="1" minValue="25581" maxValue="29868"/>
    </cacheField>
    <cacheField name="C7" numFmtId="49">
      <sharedItems/>
    </cacheField>
    <cacheField name="C8" numFmtId="3">
      <sharedItems containsSemiMixedTypes="0" containsString="0" containsNumber="1" containsInteger="1" minValue="107600" maxValue="119180"/>
    </cacheField>
    <cacheField name="C9" numFmtId="49">
      <sharedItems/>
    </cacheField>
    <cacheField name="C10" numFmtId="3">
      <sharedItems containsSemiMixedTypes="0" containsString="0" containsNumber="1" containsInteger="1" minValue="16551" maxValue="50860"/>
    </cacheField>
    <cacheField name="C11" numFmtId="3">
      <sharedItems containsSemiMixedTypes="0" containsString="0" containsNumber="1" containsInteger="1" minValue="16551" maxValue="50860"/>
    </cacheField>
    <cacheField name="C12" numFmtId="3">
      <sharedItems containsSemiMixedTypes="0" containsString="0" containsNumber="1" containsInteger="1" minValue="0" maxValue="0"/>
    </cacheField>
    <cacheField name="C13" numFmtId="49">
      <sharedItems/>
    </cacheField>
    <cacheField name="C14" numFmtId="49">
      <sharedItems/>
    </cacheField>
    <cacheField name="C15" numFmtId="49">
      <sharedItems/>
    </cacheField>
    <cacheField name="C16" numFmtId="0">
      <sharedItems/>
    </cacheField>
    <cacheField name="C17" numFmtId="0">
      <sharedItems containsNonDate="0" containsString="0" containsBlank="1"/>
    </cacheField>
    <cacheField name="C18" numFmtId="0">
      <sharedItems containsNonDate="0" containsString="0" containsBlank="1"/>
    </cacheField>
    <cacheField name="C19" numFmtId="0">
      <sharedItems containsNonDate="0" containsString="0" containsBlank="1"/>
    </cacheField>
    <cacheField name="C20" numFmtId="0">
      <sharedItems containsNonDate="0" containsString="0" containsBlank="1"/>
    </cacheField>
    <cacheField name="C21" numFmtId="0">
      <sharedItems containsNonDate="0" containsString="0" containsBlank="1"/>
    </cacheField>
    <cacheField name="C22" numFmtId="0">
      <sharedItems containsNonDate="0" containsString="0" containsBlank="1"/>
    </cacheField>
    <cacheField name="C23" numFmtId="0">
      <sharedItems containsNonDate="0" containsString="0" containsBlank="1"/>
    </cacheField>
    <cacheField name="C24" numFmtId="0">
      <sharedItems containsNonDate="0" containsString="0" containsBlank="1"/>
    </cacheField>
    <cacheField name="C25" numFmtId="0">
      <sharedItems containsNonDate="0" containsString="0" containsBlank="1"/>
    </cacheField>
    <cacheField name="C26" numFmtId="0">
      <sharedItems containsNonDate="0" containsString="0" containsBlank="1"/>
    </cacheField>
    <cacheField name="C27" numFmtId="0">
      <sharedItems containsNonDate="0" containsString="0" containsBlank="1"/>
    </cacheField>
    <cacheField name="C28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478100"/>
    <x v="0"/>
    <x v="0"/>
    <s v="HFT09090760"/>
    <m/>
    <n v="25581"/>
    <s v="03/05/2021 22:14"/>
    <n v="107600"/>
    <s v="03/05/2021 22:14"/>
    <n v="31159"/>
    <n v="31159"/>
    <n v="0"/>
    <s v="COFCO SOJA 2020/2021"/>
    <s v="28424"/>
    <s v="1° VAGAO"/>
    <s v="TERMINAL 12 A SA"/>
    <m/>
    <m/>
    <m/>
    <m/>
    <m/>
    <m/>
    <m/>
    <m/>
    <m/>
    <m/>
    <m/>
    <m/>
  </r>
  <r>
    <s v="478100"/>
    <x v="0"/>
    <x v="0"/>
    <s v="HFT09090760"/>
    <m/>
    <n v="25581"/>
    <s v="03/05/2021 22:14"/>
    <n v="107600"/>
    <s v="03/05/2021 22:14"/>
    <n v="50860"/>
    <n v="50860"/>
    <n v="0"/>
    <s v="COFCO SOJA 2020/2021"/>
    <s v="28514"/>
    <s v="1° VAGAO"/>
    <s v="TERMINAL 12 A SA"/>
    <m/>
    <m/>
    <m/>
    <m/>
    <m/>
    <m/>
    <m/>
    <m/>
    <m/>
    <m/>
    <m/>
    <m/>
  </r>
  <r>
    <s v="478101"/>
    <x v="0"/>
    <x v="0"/>
    <s v="HFT84175630"/>
    <m/>
    <n v="29868"/>
    <s v="03/05/2021 22:24"/>
    <n v="119180"/>
    <s v="03/05/2021 22:24"/>
    <n v="16551"/>
    <n v="16551"/>
    <n v="0"/>
    <s v="COFCO SOJA 2020/2021"/>
    <s v="28424"/>
    <s v="2°VAGAO"/>
    <s v="TERMINAL 12 A SA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" cacheId="5" dataOnRows="1" applyNumberFormats="0" applyBorderFormats="0" applyFontFormats="0" applyPatternFormats="0" applyAlignmentFormats="0" applyWidthHeightFormats="1" dataCaption="Dados" updatedVersion="7" showMemberPropertyTips="0" useAutoFormatting="1" rowGrandTotals="0" colGrandTotals="0" itemPrintTitles="1" createdVersion="1" indent="0" compact="0" compactData="0" gridDropZones="1">
  <location ref="L4:N6" firstHeaderRow="2" firstDataRow="2" firstDataCol="2"/>
  <pivotFields count="28">
    <pivotField compact="0" outline="0" subtotalTop="0" showAll="0" includeNewItemsInFilter="1" defaultSubtotal="0"/>
    <pivotField axis="axisRow" dataField="1" compact="0" numFmtId="14" outline="0" showAll="0" includeNewItemsInFilter="1">
      <items count="2">
        <item x="0"/>
        <item t="default"/>
      </items>
    </pivotField>
    <pivotField axis="axisRow" compact="0" outline="0" showAll="0" includeNewItemsInFilter="1" defaultSubtotal="0">
      <items count="1">
        <item x="0"/>
      </items>
    </pivotField>
    <pivotField compact="0" numFmtId="165" outline="0" showAll="0" includeNewItemsInFilter="1"/>
    <pivotField compact="0" numFmtId="165" outline="0" showAll="0" includeNewItemsInFilter="1"/>
    <pivotField compact="0" numFmtId="165" outlin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includeNewItemsInFilter="1" defaultSubtotal="0"/>
    <pivotField compact="0" numFmtId="165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outline="0" showAll="0" includeNewItemsInFilter="1"/>
  </pivotFields>
  <rowFields count="2">
    <field x="2"/>
    <field x="1"/>
  </rowFields>
  <rowItems count="1">
    <i>
      <x/>
      <x/>
    </i>
  </rowItems>
  <colItems count="1">
    <i/>
  </colItems>
  <dataFields count="1">
    <dataField name="Contagem de C2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13"/>
  <sheetViews>
    <sheetView zoomScale="85" zoomScaleNormal="85" workbookViewId="0">
      <pane ySplit="9" topLeftCell="A10" activePane="bottomLeft" state="frozen"/>
      <selection pane="bottomLeft" activeCell="M11" sqref="M11:M13"/>
    </sheetView>
  </sheetViews>
  <sheetFormatPr defaultColWidth="13.28515625" defaultRowHeight="12.75" x14ac:dyDescent="0.2"/>
  <cols>
    <col min="1" max="1" width="18.28515625" style="31" bestFit="1" customWidth="1"/>
    <col min="2" max="2" width="24" style="10" customWidth="1"/>
    <col min="3" max="3" width="17.5703125" style="10" bestFit="1" customWidth="1"/>
    <col min="4" max="4" width="9.7109375" style="10" customWidth="1"/>
    <col min="5" max="5" width="16.5703125" style="10" customWidth="1"/>
    <col min="6" max="6" width="17.5703125" style="62" bestFit="1" customWidth="1"/>
    <col min="7" max="7" width="6.28515625" style="10" bestFit="1" customWidth="1"/>
    <col min="8" max="8" width="13.28515625" style="10"/>
    <col min="9" max="9" width="4.42578125" style="10" customWidth="1"/>
    <col min="10" max="10" width="13.28515625" style="10"/>
    <col min="11" max="11" width="5.7109375" style="10" bestFit="1" customWidth="1"/>
    <col min="12" max="12" width="11.28515625" style="12" bestFit="1" customWidth="1"/>
    <col min="13" max="13" width="8.28515625" style="12" customWidth="1"/>
    <col min="14" max="15" width="13.28515625" style="10"/>
    <col min="16" max="16" width="11.7109375" style="11" bestFit="1" customWidth="1"/>
    <col min="17" max="17" width="32.28515625" style="11" bestFit="1" customWidth="1"/>
    <col min="18" max="18" width="13.7109375" style="11" bestFit="1" customWidth="1"/>
    <col min="19" max="16384" width="13.28515625" style="10"/>
  </cols>
  <sheetData>
    <row r="1" spans="1:17" x14ac:dyDescent="0.2">
      <c r="A1" s="31" t="s">
        <v>56</v>
      </c>
      <c r="F1" s="61" t="s">
        <v>55</v>
      </c>
    </row>
    <row r="2" spans="1:17" ht="15" x14ac:dyDescent="0.2">
      <c r="H2" s="18" t="s">
        <v>54</v>
      </c>
    </row>
    <row r="3" spans="1:17" ht="15" x14ac:dyDescent="0.2">
      <c r="A3" s="32" t="s">
        <v>53</v>
      </c>
      <c r="E3" s="18" t="s">
        <v>52</v>
      </c>
      <c r="O3" s="14" t="s">
        <v>51</v>
      </c>
    </row>
    <row r="4" spans="1:17" x14ac:dyDescent="0.2">
      <c r="A4" s="32" t="s">
        <v>50</v>
      </c>
      <c r="B4" s="15" t="s">
        <v>49</v>
      </c>
      <c r="C4" s="25" t="str">
        <f>B10</f>
        <v>06315338018166</v>
      </c>
    </row>
    <row r="5" spans="1:17" x14ac:dyDescent="0.2">
      <c r="A5" s="32" t="s">
        <v>48</v>
      </c>
      <c r="B5" s="15" t="s">
        <v>47</v>
      </c>
    </row>
    <row r="6" spans="1:17" x14ac:dyDescent="0.2">
      <c r="A6" s="32" t="s">
        <v>46</v>
      </c>
      <c r="B6" s="15" t="s">
        <v>45</v>
      </c>
    </row>
    <row r="7" spans="1:17" ht="13.5" x14ac:dyDescent="0.2">
      <c r="A7" s="32" t="s">
        <v>44</v>
      </c>
      <c r="B7" s="17" t="str">
        <f>BASE!M2</f>
        <v>TERMINAL 12 A SA</v>
      </c>
      <c r="C7" s="10" t="str">
        <f>IFERROR(VLOOKUP(B7,BASE!D2:F10,2,0),"")</f>
        <v>56.216.872/0001-46</v>
      </c>
      <c r="E7" s="16" t="s">
        <v>43</v>
      </c>
      <c r="F7" s="63" t="s">
        <v>192</v>
      </c>
    </row>
    <row r="8" spans="1:17" x14ac:dyDescent="0.2">
      <c r="A8" s="32" t="s">
        <v>42</v>
      </c>
      <c r="B8" s="15" t="s">
        <v>59</v>
      </c>
    </row>
    <row r="9" spans="1:17" x14ac:dyDescent="0.2">
      <c r="A9" s="32" t="s">
        <v>41</v>
      </c>
      <c r="C9" s="14" t="s">
        <v>40</v>
      </c>
      <c r="D9" s="14" t="s">
        <v>39</v>
      </c>
      <c r="E9" s="14" t="s">
        <v>38</v>
      </c>
      <c r="F9" s="61" t="s">
        <v>37</v>
      </c>
      <c r="G9" s="13" t="s">
        <v>36</v>
      </c>
      <c r="H9" s="13" t="s">
        <v>35</v>
      </c>
      <c r="J9" s="13" t="s">
        <v>33</v>
      </c>
      <c r="K9" s="13" t="s">
        <v>34</v>
      </c>
      <c r="L9" s="13" t="s">
        <v>3</v>
      </c>
      <c r="N9" s="14" t="s">
        <v>33</v>
      </c>
      <c r="O9" s="13" t="s">
        <v>32</v>
      </c>
      <c r="Q9" s="11" t="s">
        <v>31</v>
      </c>
    </row>
    <row r="10" spans="1:17" ht="15" x14ac:dyDescent="0.25">
      <c r="A10" s="33" t="str">
        <f>VLOOKUP(B10,BASE!A2:B100,2,FALSE)</f>
        <v>COFCO CANARANA</v>
      </c>
      <c r="B10" s="24" t="s">
        <v>126</v>
      </c>
    </row>
    <row r="11" spans="1:17" x14ac:dyDescent="0.2">
      <c r="A11" s="59" t="s">
        <v>189</v>
      </c>
      <c r="C11" s="19">
        <v>0</v>
      </c>
      <c r="D11" s="19">
        <v>0</v>
      </c>
      <c r="E11" s="19">
        <v>0</v>
      </c>
      <c r="F11" s="62" t="s">
        <v>186</v>
      </c>
      <c r="H11" s="10" t="str">
        <f t="shared" ref="H11:H13" si="0">MID(A11,4,7)</f>
        <v>0909076</v>
      </c>
      <c r="J11" s="52">
        <v>31159</v>
      </c>
      <c r="K11" s="10">
        <v>0</v>
      </c>
      <c r="L11" s="12">
        <v>28424</v>
      </c>
      <c r="M11" s="12">
        <v>1</v>
      </c>
      <c r="N11" s="52">
        <v>31159</v>
      </c>
      <c r="O11" s="10" t="s">
        <v>175</v>
      </c>
    </row>
    <row r="12" spans="1:17" x14ac:dyDescent="0.2">
      <c r="A12" s="59" t="s">
        <v>189</v>
      </c>
      <c r="C12" s="19">
        <v>0</v>
      </c>
      <c r="D12" s="19">
        <v>0</v>
      </c>
      <c r="E12" s="19">
        <v>0</v>
      </c>
      <c r="F12" s="62" t="s">
        <v>186</v>
      </c>
      <c r="H12" s="10" t="str">
        <f t="shared" si="0"/>
        <v>0909076</v>
      </c>
      <c r="J12" s="52">
        <v>50860</v>
      </c>
      <c r="K12" s="10">
        <v>0</v>
      </c>
      <c r="L12" s="12">
        <v>28514</v>
      </c>
      <c r="M12" s="12">
        <v>1</v>
      </c>
      <c r="N12" s="52">
        <v>50860</v>
      </c>
      <c r="O12" s="10" t="s">
        <v>175</v>
      </c>
    </row>
    <row r="13" spans="1:17" x14ac:dyDescent="0.2">
      <c r="A13" s="59" t="s">
        <v>190</v>
      </c>
      <c r="C13" s="19">
        <v>0</v>
      </c>
      <c r="D13" s="19">
        <v>0</v>
      </c>
      <c r="E13" s="19">
        <v>0</v>
      </c>
      <c r="F13" s="62" t="s">
        <v>179</v>
      </c>
      <c r="H13" s="10" t="str">
        <f t="shared" si="0"/>
        <v>8417563</v>
      </c>
      <c r="J13" s="52">
        <v>16551</v>
      </c>
      <c r="K13" s="10">
        <v>0</v>
      </c>
      <c r="L13" s="12">
        <v>28424</v>
      </c>
      <c r="M13" s="12">
        <v>1</v>
      </c>
      <c r="N13" s="52">
        <v>16551</v>
      </c>
      <c r="O13" s="10" t="s">
        <v>175</v>
      </c>
    </row>
  </sheetData>
  <pageMargins left="0.78740157499999996" right="0.78740157499999996" top="0.984251969" bottom="0.984251969" header="0.4921259845" footer="0.4921259845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N137"/>
  <sheetViews>
    <sheetView topLeftCell="B1" zoomScale="85" zoomScaleNormal="85" workbookViewId="0">
      <selection activeCell="M2" sqref="M2"/>
    </sheetView>
  </sheetViews>
  <sheetFormatPr defaultRowHeight="15" x14ac:dyDescent="0.25"/>
  <cols>
    <col min="1" max="1" width="15.42578125" style="6" bestFit="1" customWidth="1"/>
    <col min="2" max="2" width="17" bestFit="1" customWidth="1"/>
    <col min="3" max="3" width="19.5703125" customWidth="1"/>
    <col min="4" max="4" width="42.7109375" bestFit="1" customWidth="1"/>
    <col min="5" max="5" width="15.85546875" style="47" customWidth="1"/>
    <col min="6" max="6" width="18" bestFit="1" customWidth="1"/>
    <col min="8" max="8" width="28.7109375" customWidth="1"/>
    <col min="9" max="9" width="18" bestFit="1" customWidth="1"/>
    <col min="12" max="12" width="44.5703125" bestFit="1" customWidth="1"/>
    <col min="13" max="13" width="25.5703125" bestFit="1" customWidth="1"/>
    <col min="14" max="14" width="5.85546875" bestFit="1" customWidth="1"/>
    <col min="15" max="16" width="5.42578125" bestFit="1" customWidth="1"/>
  </cols>
  <sheetData>
    <row r="1" spans="1:14" ht="15.75" x14ac:dyDescent="0.25">
      <c r="A1" s="29" t="s">
        <v>0</v>
      </c>
      <c r="B1" s="22" t="s">
        <v>1</v>
      </c>
      <c r="D1" s="40" t="s">
        <v>2</v>
      </c>
      <c r="E1" s="42" t="s">
        <v>1</v>
      </c>
      <c r="F1" s="40"/>
      <c r="H1" t="s">
        <v>5</v>
      </c>
      <c r="L1" s="28" t="s">
        <v>126</v>
      </c>
      <c r="M1">
        <f>IFERROR(VLOOKUP(L1,D12:H70,4,0),1)</f>
        <v>1</v>
      </c>
    </row>
    <row r="2" spans="1:14" x14ac:dyDescent="0.25">
      <c r="A2" s="30" t="s">
        <v>60</v>
      </c>
      <c r="B2" s="26" t="s">
        <v>61</v>
      </c>
      <c r="D2" s="41" t="s">
        <v>193</v>
      </c>
      <c r="E2" s="43" t="s">
        <v>194</v>
      </c>
      <c r="F2" s="37"/>
      <c r="H2" s="2" t="s">
        <v>6</v>
      </c>
      <c r="I2" t="s">
        <v>4</v>
      </c>
      <c r="L2" s="7" t="str">
        <f>SUBSTITUTE(SUBSTITUTE(SUBSTITUTE(L1,".",""),"-",""),"/","")</f>
        <v>06315338018166</v>
      </c>
      <c r="M2" s="7" t="str">
        <f>IFERROR(VLOOKUP(L1,dados!$C:$Y,14,0),"")</f>
        <v>TERMINAL 12 A SA</v>
      </c>
    </row>
    <row r="3" spans="1:14" x14ac:dyDescent="0.25">
      <c r="A3" s="30" t="s">
        <v>62</v>
      </c>
      <c r="B3" s="26" t="s">
        <v>63</v>
      </c>
      <c r="D3" s="41" t="s">
        <v>183</v>
      </c>
      <c r="E3" s="44" t="s">
        <v>191</v>
      </c>
      <c r="F3" s="37"/>
      <c r="H3" s="2" t="s">
        <v>7</v>
      </c>
      <c r="I3" t="s">
        <v>8</v>
      </c>
      <c r="J3" t="s">
        <v>9</v>
      </c>
      <c r="L3" s="7"/>
      <c r="M3" s="7"/>
    </row>
    <row r="4" spans="1:14" x14ac:dyDescent="0.25">
      <c r="A4" s="30" t="s">
        <v>64</v>
      </c>
      <c r="B4" s="26" t="s">
        <v>65</v>
      </c>
      <c r="D4" s="41" t="s">
        <v>195</v>
      </c>
      <c r="E4" s="44" t="s">
        <v>196</v>
      </c>
      <c r="F4" s="37"/>
      <c r="H4" s="2" t="s">
        <v>7</v>
      </c>
      <c r="I4" s="3" t="s">
        <v>10</v>
      </c>
      <c r="J4" t="s">
        <v>11</v>
      </c>
      <c r="L4" s="9" t="s">
        <v>15</v>
      </c>
      <c r="M4" s="35"/>
      <c r="N4" s="8"/>
    </row>
    <row r="5" spans="1:14" x14ac:dyDescent="0.25">
      <c r="A5" s="30" t="s">
        <v>66</v>
      </c>
      <c r="B5" s="26" t="s">
        <v>67</v>
      </c>
      <c r="D5" s="41" t="s">
        <v>197</v>
      </c>
      <c r="E5" s="44" t="s">
        <v>198</v>
      </c>
      <c r="F5" s="37"/>
      <c r="H5" s="4" t="s">
        <v>16</v>
      </c>
      <c r="I5" s="1" t="s">
        <v>13</v>
      </c>
      <c r="L5" s="9" t="s">
        <v>22</v>
      </c>
      <c r="M5" s="9" t="s">
        <v>21</v>
      </c>
      <c r="N5" s="8" t="s">
        <v>18</v>
      </c>
    </row>
    <row r="6" spans="1:14" x14ac:dyDescent="0.25">
      <c r="A6" s="30" t="s">
        <v>68</v>
      </c>
      <c r="B6" s="26" t="s">
        <v>69</v>
      </c>
      <c r="D6" s="41" t="s">
        <v>199</v>
      </c>
      <c r="E6" s="44" t="s">
        <v>200</v>
      </c>
      <c r="F6" s="37"/>
      <c r="H6" s="4" t="s">
        <v>19</v>
      </c>
      <c r="I6" s="5" t="s">
        <v>20</v>
      </c>
      <c r="L6" s="57" t="s">
        <v>126</v>
      </c>
      <c r="M6" s="58" t="s">
        <v>177</v>
      </c>
      <c r="N6" s="36">
        <v>3</v>
      </c>
    </row>
    <row r="7" spans="1:14" x14ac:dyDescent="0.25">
      <c r="A7" s="30" t="s">
        <v>70</v>
      </c>
      <c r="B7" s="26" t="s">
        <v>71</v>
      </c>
      <c r="D7" s="50" t="s">
        <v>201</v>
      </c>
      <c r="E7" s="51" t="s">
        <v>202</v>
      </c>
      <c r="F7" s="37"/>
      <c r="H7" s="2" t="s">
        <v>14</v>
      </c>
      <c r="I7" t="s">
        <v>12</v>
      </c>
    </row>
    <row r="8" spans="1:14" x14ac:dyDescent="0.25">
      <c r="A8" s="30" t="s">
        <v>72</v>
      </c>
      <c r="B8" s="26" t="s">
        <v>73</v>
      </c>
      <c r="D8" s="38" t="s">
        <v>203</v>
      </c>
      <c r="E8" s="46" t="s">
        <v>204</v>
      </c>
      <c r="F8" s="37"/>
    </row>
    <row r="9" spans="1:14" x14ac:dyDescent="0.25">
      <c r="A9" s="30" t="s">
        <v>74</v>
      </c>
      <c r="B9" s="26" t="s">
        <v>75</v>
      </c>
      <c r="D9" s="38" t="s">
        <v>205</v>
      </c>
      <c r="E9" s="46" t="s">
        <v>206</v>
      </c>
      <c r="F9" s="37"/>
    </row>
    <row r="10" spans="1:14" x14ac:dyDescent="0.25">
      <c r="A10" s="30" t="s">
        <v>76</v>
      </c>
      <c r="B10" s="26" t="s">
        <v>77</v>
      </c>
      <c r="D10" s="39"/>
      <c r="E10" s="45"/>
      <c r="F10" s="37"/>
    </row>
    <row r="11" spans="1:14" x14ac:dyDescent="0.25">
      <c r="A11" s="30" t="s">
        <v>78</v>
      </c>
      <c r="B11" s="26" t="s">
        <v>79</v>
      </c>
    </row>
    <row r="12" spans="1:14" x14ac:dyDescent="0.25">
      <c r="A12" s="30" t="s">
        <v>80</v>
      </c>
      <c r="B12" s="26" t="s">
        <v>81</v>
      </c>
      <c r="D12" s="27" t="s">
        <v>60</v>
      </c>
      <c r="E12" s="27">
        <v>100</v>
      </c>
      <c r="F12" s="27" t="s">
        <v>60</v>
      </c>
      <c r="G12" s="27">
        <v>1</v>
      </c>
      <c r="H12" s="27" t="s">
        <v>61</v>
      </c>
    </row>
    <row r="13" spans="1:14" x14ac:dyDescent="0.25">
      <c r="A13" s="30" t="s">
        <v>82</v>
      </c>
      <c r="B13" s="26" t="s">
        <v>83</v>
      </c>
      <c r="D13" s="27" t="s">
        <v>62</v>
      </c>
      <c r="E13" s="27">
        <v>101</v>
      </c>
      <c r="F13" s="27" t="s">
        <v>62</v>
      </c>
      <c r="G13" s="27">
        <v>1</v>
      </c>
      <c r="H13" s="27" t="s">
        <v>63</v>
      </c>
      <c r="I13" s="20"/>
    </row>
    <row r="14" spans="1:14" x14ac:dyDescent="0.25">
      <c r="A14" s="30" t="s">
        <v>84</v>
      </c>
      <c r="B14" s="26" t="s">
        <v>85</v>
      </c>
      <c r="D14" s="27" t="s">
        <v>64</v>
      </c>
      <c r="E14" s="27">
        <v>102</v>
      </c>
      <c r="F14" s="27" t="s">
        <v>64</v>
      </c>
      <c r="G14" s="27">
        <v>2</v>
      </c>
      <c r="H14" s="27" t="s">
        <v>65</v>
      </c>
      <c r="I14" s="20"/>
    </row>
    <row r="15" spans="1:14" x14ac:dyDescent="0.25">
      <c r="A15" s="30" t="s">
        <v>86</v>
      </c>
      <c r="B15" s="26" t="s">
        <v>87</v>
      </c>
      <c r="D15" s="27" t="s">
        <v>66</v>
      </c>
      <c r="E15" s="27">
        <v>103</v>
      </c>
      <c r="F15" s="27" t="s">
        <v>66</v>
      </c>
      <c r="G15" s="27">
        <v>1</v>
      </c>
      <c r="H15" s="27" t="s">
        <v>67</v>
      </c>
      <c r="I15" s="20"/>
    </row>
    <row r="16" spans="1:14" x14ac:dyDescent="0.25">
      <c r="A16" s="30" t="s">
        <v>88</v>
      </c>
      <c r="B16" s="26" t="s">
        <v>89</v>
      </c>
      <c r="D16" s="27" t="s">
        <v>68</v>
      </c>
      <c r="E16" s="27">
        <v>906</v>
      </c>
      <c r="F16" s="27" t="s">
        <v>68</v>
      </c>
      <c r="G16" s="27">
        <v>1</v>
      </c>
      <c r="H16" s="27" t="s">
        <v>69</v>
      </c>
      <c r="I16" s="20"/>
    </row>
    <row r="17" spans="1:9" x14ac:dyDescent="0.25">
      <c r="A17" s="30" t="s">
        <v>90</v>
      </c>
      <c r="B17" s="26" t="s">
        <v>91</v>
      </c>
      <c r="D17" s="27" t="s">
        <v>70</v>
      </c>
      <c r="E17" s="27">
        <v>107</v>
      </c>
      <c r="F17" s="27" t="s">
        <v>70</v>
      </c>
      <c r="G17" s="27">
        <v>1</v>
      </c>
      <c r="H17" s="27" t="s">
        <v>71</v>
      </c>
      <c r="I17" s="21"/>
    </row>
    <row r="18" spans="1:9" x14ac:dyDescent="0.25">
      <c r="A18" s="30" t="s">
        <v>92</v>
      </c>
      <c r="B18" s="26" t="s">
        <v>93</v>
      </c>
      <c r="D18" s="27" t="s">
        <v>72</v>
      </c>
      <c r="E18" s="27">
        <v>908</v>
      </c>
      <c r="F18" s="27" t="s">
        <v>72</v>
      </c>
      <c r="G18" s="27">
        <v>1</v>
      </c>
      <c r="H18" s="27" t="s">
        <v>73</v>
      </c>
    </row>
    <row r="19" spans="1:9" x14ac:dyDescent="0.25">
      <c r="A19" s="30" t="s">
        <v>94</v>
      </c>
      <c r="B19" s="26" t="s">
        <v>95</v>
      </c>
      <c r="D19" s="27" t="s">
        <v>74</v>
      </c>
      <c r="E19" s="27">
        <v>110</v>
      </c>
      <c r="F19" s="27" t="s">
        <v>74</v>
      </c>
      <c r="G19" s="27">
        <v>1</v>
      </c>
      <c r="H19" s="27" t="s">
        <v>75</v>
      </c>
      <c r="I19" s="21"/>
    </row>
    <row r="20" spans="1:9" x14ac:dyDescent="0.25">
      <c r="A20" s="30" t="s">
        <v>96</v>
      </c>
      <c r="B20" s="26" t="s">
        <v>97</v>
      </c>
      <c r="D20" s="27" t="s">
        <v>76</v>
      </c>
      <c r="E20" s="27">
        <v>911</v>
      </c>
      <c r="F20" s="27" t="s">
        <v>76</v>
      </c>
      <c r="G20" s="27">
        <v>1</v>
      </c>
      <c r="H20" s="27" t="s">
        <v>77</v>
      </c>
      <c r="I20" s="21"/>
    </row>
    <row r="21" spans="1:9" x14ac:dyDescent="0.25">
      <c r="A21" s="30" t="s">
        <v>98</v>
      </c>
      <c r="B21" s="26" t="s">
        <v>99</v>
      </c>
      <c r="D21" s="27" t="s">
        <v>78</v>
      </c>
      <c r="E21" s="27">
        <v>112</v>
      </c>
      <c r="F21" s="27" t="s">
        <v>78</v>
      </c>
      <c r="G21" s="27">
        <v>1</v>
      </c>
      <c r="H21" s="27" t="s">
        <v>79</v>
      </c>
    </row>
    <row r="22" spans="1:9" x14ac:dyDescent="0.25">
      <c r="A22" s="30" t="s">
        <v>100</v>
      </c>
      <c r="B22" s="26" t="s">
        <v>101</v>
      </c>
      <c r="D22" s="27" t="s">
        <v>80</v>
      </c>
      <c r="E22" s="27">
        <v>914</v>
      </c>
      <c r="F22" s="27" t="s">
        <v>80</v>
      </c>
      <c r="G22" s="27">
        <v>1</v>
      </c>
      <c r="H22" s="27" t="s">
        <v>81</v>
      </c>
    </row>
    <row r="23" spans="1:9" x14ac:dyDescent="0.25">
      <c r="A23" s="30" t="s">
        <v>102</v>
      </c>
      <c r="B23" s="26" t="s">
        <v>103</v>
      </c>
      <c r="D23" s="27" t="s">
        <v>82</v>
      </c>
      <c r="E23" s="27">
        <v>915</v>
      </c>
      <c r="F23" s="27" t="s">
        <v>82</v>
      </c>
      <c r="G23" s="27">
        <v>1</v>
      </c>
      <c r="H23" s="27" t="s">
        <v>83</v>
      </c>
    </row>
    <row r="24" spans="1:9" x14ac:dyDescent="0.25">
      <c r="A24" s="30" t="s">
        <v>104</v>
      </c>
      <c r="B24" s="26" t="s">
        <v>105</v>
      </c>
      <c r="D24" s="27" t="s">
        <v>84</v>
      </c>
      <c r="E24" s="27">
        <v>916</v>
      </c>
      <c r="F24" s="27" t="s">
        <v>84</v>
      </c>
      <c r="G24" s="27">
        <v>1</v>
      </c>
      <c r="H24" s="27" t="s">
        <v>85</v>
      </c>
    </row>
    <row r="25" spans="1:9" x14ac:dyDescent="0.25">
      <c r="A25" s="30" t="s">
        <v>106</v>
      </c>
      <c r="B25" s="26" t="s">
        <v>107</v>
      </c>
      <c r="D25" s="27" t="s">
        <v>86</v>
      </c>
      <c r="E25" s="27">
        <v>930</v>
      </c>
      <c r="F25" s="27" t="s">
        <v>86</v>
      </c>
      <c r="G25" s="27">
        <v>1</v>
      </c>
      <c r="H25" s="27" t="s">
        <v>87</v>
      </c>
    </row>
    <row r="26" spans="1:9" x14ac:dyDescent="0.25">
      <c r="A26" s="30" t="s">
        <v>108</v>
      </c>
      <c r="B26" s="26" t="s">
        <v>109</v>
      </c>
      <c r="D26" s="27" t="s">
        <v>88</v>
      </c>
      <c r="E26" s="27">
        <v>131</v>
      </c>
      <c r="F26" s="27" t="s">
        <v>88</v>
      </c>
      <c r="G26" s="27">
        <v>2</v>
      </c>
      <c r="H26" s="27" t="s">
        <v>89</v>
      </c>
    </row>
    <row r="27" spans="1:9" x14ac:dyDescent="0.25">
      <c r="A27" s="30" t="s">
        <v>110</v>
      </c>
      <c r="B27" s="26" t="s">
        <v>111</v>
      </c>
      <c r="D27" s="27" t="s">
        <v>90</v>
      </c>
      <c r="E27" s="27">
        <v>932</v>
      </c>
      <c r="F27" s="27" t="s">
        <v>90</v>
      </c>
      <c r="G27" s="27">
        <v>1</v>
      </c>
      <c r="H27" s="27" t="s">
        <v>91</v>
      </c>
    </row>
    <row r="28" spans="1:9" x14ac:dyDescent="0.25">
      <c r="A28" s="30" t="s">
        <v>112</v>
      </c>
      <c r="B28" s="26" t="s">
        <v>113</v>
      </c>
      <c r="D28" s="27" t="s">
        <v>92</v>
      </c>
      <c r="E28" s="27">
        <v>934</v>
      </c>
      <c r="F28" s="27" t="s">
        <v>92</v>
      </c>
      <c r="G28" s="27">
        <v>1</v>
      </c>
      <c r="H28" s="27" t="s">
        <v>93</v>
      </c>
    </row>
    <row r="29" spans="1:9" x14ac:dyDescent="0.25">
      <c r="A29" s="30" t="s">
        <v>114</v>
      </c>
      <c r="B29" s="26" t="s">
        <v>115</v>
      </c>
      <c r="D29" s="27" t="s">
        <v>94</v>
      </c>
      <c r="E29" s="27">
        <v>135</v>
      </c>
      <c r="F29" s="27" t="s">
        <v>94</v>
      </c>
      <c r="G29" s="27">
        <v>1</v>
      </c>
      <c r="H29" s="27" t="s">
        <v>95</v>
      </c>
    </row>
    <row r="30" spans="1:9" x14ac:dyDescent="0.25">
      <c r="A30" s="30" t="s">
        <v>116</v>
      </c>
      <c r="B30" s="26" t="s">
        <v>117</v>
      </c>
      <c r="D30" s="27" t="s">
        <v>96</v>
      </c>
      <c r="E30" s="27">
        <v>136</v>
      </c>
      <c r="F30" s="27" t="s">
        <v>96</v>
      </c>
      <c r="G30" s="27">
        <v>1</v>
      </c>
      <c r="H30" s="27" t="s">
        <v>97</v>
      </c>
    </row>
    <row r="31" spans="1:9" x14ac:dyDescent="0.25">
      <c r="A31" s="30" t="s">
        <v>118</v>
      </c>
      <c r="B31" s="26" t="s">
        <v>119</v>
      </c>
      <c r="D31" s="27" t="s">
        <v>98</v>
      </c>
      <c r="E31" s="27">
        <v>137</v>
      </c>
      <c r="F31" s="27" t="s">
        <v>98</v>
      </c>
      <c r="G31" s="27">
        <v>1</v>
      </c>
      <c r="H31" s="27" t="s">
        <v>99</v>
      </c>
    </row>
    <row r="32" spans="1:9" x14ac:dyDescent="0.25">
      <c r="A32" s="30" t="s">
        <v>120</v>
      </c>
      <c r="B32" s="26" t="s">
        <v>121</v>
      </c>
      <c r="D32" s="27" t="s">
        <v>100</v>
      </c>
      <c r="E32" s="27">
        <v>139</v>
      </c>
      <c r="F32" s="27" t="s">
        <v>100</v>
      </c>
      <c r="G32" s="27">
        <v>1</v>
      </c>
      <c r="H32" s="27" t="s">
        <v>101</v>
      </c>
    </row>
    <row r="33" spans="1:8" x14ac:dyDescent="0.25">
      <c r="A33" s="30" t="s">
        <v>122</v>
      </c>
      <c r="B33" s="26" t="s">
        <v>123</v>
      </c>
      <c r="D33" s="27" t="s">
        <v>102</v>
      </c>
      <c r="E33" s="27">
        <v>943</v>
      </c>
      <c r="F33" s="27" t="s">
        <v>102</v>
      </c>
      <c r="G33" s="27">
        <v>1</v>
      </c>
      <c r="H33" s="27" t="s">
        <v>103</v>
      </c>
    </row>
    <row r="34" spans="1:8" x14ac:dyDescent="0.25">
      <c r="A34" s="30" t="s">
        <v>124</v>
      </c>
      <c r="B34" s="26" t="s">
        <v>125</v>
      </c>
      <c r="D34" s="27" t="s">
        <v>104</v>
      </c>
      <c r="E34" s="27">
        <v>144</v>
      </c>
      <c r="F34" s="27" t="s">
        <v>104</v>
      </c>
      <c r="G34" s="27">
        <v>1</v>
      </c>
      <c r="H34" s="27" t="s">
        <v>105</v>
      </c>
    </row>
    <row r="35" spans="1:8" x14ac:dyDescent="0.25">
      <c r="A35" s="30" t="s">
        <v>126</v>
      </c>
      <c r="B35" s="26" t="s">
        <v>127</v>
      </c>
      <c r="D35" s="27" t="s">
        <v>106</v>
      </c>
      <c r="E35" s="27">
        <v>946</v>
      </c>
      <c r="F35" s="27" t="s">
        <v>106</v>
      </c>
      <c r="G35" s="27">
        <v>1</v>
      </c>
      <c r="H35" s="27" t="s">
        <v>107</v>
      </c>
    </row>
    <row r="36" spans="1:8" x14ac:dyDescent="0.25">
      <c r="A36" s="30" t="s">
        <v>128</v>
      </c>
      <c r="B36" s="26" t="s">
        <v>129</v>
      </c>
      <c r="D36" s="27" t="s">
        <v>108</v>
      </c>
      <c r="E36" s="27">
        <v>148</v>
      </c>
      <c r="F36" s="27" t="s">
        <v>108</v>
      </c>
      <c r="G36" s="27">
        <v>1</v>
      </c>
      <c r="H36" s="27" t="s">
        <v>109</v>
      </c>
    </row>
    <row r="37" spans="1:8" x14ac:dyDescent="0.25">
      <c r="A37" s="30" t="s">
        <v>130</v>
      </c>
      <c r="B37" s="26" t="s">
        <v>131</v>
      </c>
      <c r="D37" s="27" t="s">
        <v>110</v>
      </c>
      <c r="E37" s="27">
        <v>949</v>
      </c>
      <c r="F37" s="27" t="s">
        <v>110</v>
      </c>
      <c r="G37" s="27">
        <v>1</v>
      </c>
      <c r="H37" s="27" t="s">
        <v>111</v>
      </c>
    </row>
    <row r="38" spans="1:8" x14ac:dyDescent="0.25">
      <c r="A38" s="30" t="s">
        <v>132</v>
      </c>
      <c r="B38" s="26" t="s">
        <v>133</v>
      </c>
      <c r="D38" s="27" t="s">
        <v>112</v>
      </c>
      <c r="E38" s="27">
        <v>179</v>
      </c>
      <c r="F38" s="27" t="s">
        <v>112</v>
      </c>
      <c r="G38" s="27">
        <v>1</v>
      </c>
      <c r="H38" s="27" t="s">
        <v>113</v>
      </c>
    </row>
    <row r="39" spans="1:8" x14ac:dyDescent="0.25">
      <c r="A39" s="30" t="s">
        <v>134</v>
      </c>
      <c r="B39" s="26" t="s">
        <v>135</v>
      </c>
      <c r="D39" s="27" t="s">
        <v>114</v>
      </c>
      <c r="E39" s="27">
        <v>181</v>
      </c>
      <c r="F39" s="27" t="s">
        <v>114</v>
      </c>
      <c r="G39" s="27">
        <v>1</v>
      </c>
      <c r="H39" s="27" t="s">
        <v>115</v>
      </c>
    </row>
    <row r="40" spans="1:8" x14ac:dyDescent="0.25">
      <c r="A40" s="30" t="s">
        <v>136</v>
      </c>
      <c r="B40" s="26" t="s">
        <v>137</v>
      </c>
      <c r="D40" s="27" t="s">
        <v>116</v>
      </c>
      <c r="E40" s="27">
        <v>982</v>
      </c>
      <c r="F40" s="27" t="s">
        <v>116</v>
      </c>
      <c r="G40" s="27">
        <v>1</v>
      </c>
      <c r="H40" s="27" t="s">
        <v>117</v>
      </c>
    </row>
    <row r="41" spans="1:8" x14ac:dyDescent="0.25">
      <c r="A41" s="30" t="s">
        <v>138</v>
      </c>
      <c r="B41" s="26" t="s">
        <v>103</v>
      </c>
      <c r="D41" s="27" t="s">
        <v>118</v>
      </c>
      <c r="E41" s="27">
        <v>183</v>
      </c>
      <c r="F41" s="27" t="s">
        <v>118</v>
      </c>
      <c r="G41" s="27">
        <v>1</v>
      </c>
      <c r="H41" s="27" t="s">
        <v>119</v>
      </c>
    </row>
    <row r="42" spans="1:8" x14ac:dyDescent="0.25">
      <c r="A42" s="30" t="s">
        <v>57</v>
      </c>
      <c r="B42" s="26" t="s">
        <v>139</v>
      </c>
      <c r="D42" s="27" t="s">
        <v>120</v>
      </c>
      <c r="E42" s="27">
        <v>984</v>
      </c>
      <c r="F42" s="27" t="s">
        <v>120</v>
      </c>
      <c r="G42" s="27">
        <v>1</v>
      </c>
      <c r="H42" s="27" t="s">
        <v>121</v>
      </c>
    </row>
    <row r="43" spans="1:8" x14ac:dyDescent="0.25">
      <c r="A43" s="30" t="s">
        <v>140</v>
      </c>
      <c r="B43" s="26" t="s">
        <v>141</v>
      </c>
      <c r="D43" s="27" t="s">
        <v>122</v>
      </c>
      <c r="E43" s="27">
        <v>190</v>
      </c>
      <c r="F43" s="27" t="s">
        <v>122</v>
      </c>
      <c r="G43" s="27">
        <v>1</v>
      </c>
      <c r="H43" s="27" t="s">
        <v>123</v>
      </c>
    </row>
    <row r="44" spans="1:8" x14ac:dyDescent="0.25">
      <c r="A44" s="30" t="s">
        <v>142</v>
      </c>
      <c r="B44" s="26" t="s">
        <v>143</v>
      </c>
      <c r="D44" s="27" t="s">
        <v>124</v>
      </c>
      <c r="E44" s="27">
        <v>192</v>
      </c>
      <c r="F44" s="27" t="s">
        <v>124</v>
      </c>
      <c r="G44" s="27">
        <v>1</v>
      </c>
      <c r="H44" s="27" t="s">
        <v>125</v>
      </c>
    </row>
    <row r="45" spans="1:8" x14ac:dyDescent="0.25">
      <c r="A45" s="30" t="s">
        <v>144</v>
      </c>
      <c r="B45" s="26" t="s">
        <v>145</v>
      </c>
      <c r="D45" s="27" t="s">
        <v>126</v>
      </c>
      <c r="E45" s="27">
        <v>193</v>
      </c>
      <c r="F45" s="27" t="s">
        <v>126</v>
      </c>
      <c r="G45" s="27">
        <v>1</v>
      </c>
      <c r="H45" s="27" t="s">
        <v>127</v>
      </c>
    </row>
    <row r="46" spans="1:8" x14ac:dyDescent="0.25">
      <c r="A46" s="30" t="s">
        <v>146</v>
      </c>
      <c r="B46" s="26" t="s">
        <v>147</v>
      </c>
      <c r="D46" s="27" t="s">
        <v>128</v>
      </c>
      <c r="E46" s="27">
        <v>994</v>
      </c>
      <c r="F46" s="27" t="s">
        <v>128</v>
      </c>
      <c r="G46" s="27">
        <v>1</v>
      </c>
      <c r="H46" s="27" t="s">
        <v>129</v>
      </c>
    </row>
    <row r="47" spans="1:8" x14ac:dyDescent="0.25">
      <c r="A47" s="30" t="s">
        <v>148</v>
      </c>
      <c r="B47" s="26" t="s">
        <v>149</v>
      </c>
      <c r="D47" s="27" t="s">
        <v>130</v>
      </c>
      <c r="E47" s="27">
        <v>195</v>
      </c>
      <c r="F47" s="27" t="s">
        <v>130</v>
      </c>
      <c r="G47" s="27">
        <v>1</v>
      </c>
      <c r="H47" s="27" t="s">
        <v>131</v>
      </c>
    </row>
    <row r="48" spans="1:8" x14ac:dyDescent="0.25">
      <c r="A48" s="30" t="s">
        <v>58</v>
      </c>
      <c r="B48" s="26" t="s">
        <v>141</v>
      </c>
      <c r="D48" s="27" t="s">
        <v>132</v>
      </c>
      <c r="E48" s="27">
        <v>196</v>
      </c>
      <c r="F48" s="27" t="s">
        <v>132</v>
      </c>
      <c r="G48" s="27">
        <v>1</v>
      </c>
      <c r="H48" s="27" t="s">
        <v>133</v>
      </c>
    </row>
    <row r="49" spans="1:8" x14ac:dyDescent="0.25">
      <c r="A49" s="30" t="s">
        <v>150</v>
      </c>
      <c r="B49" s="26" t="s">
        <v>143</v>
      </c>
      <c r="D49" s="27" t="s">
        <v>134</v>
      </c>
      <c r="E49" s="27">
        <v>197</v>
      </c>
      <c r="F49" s="27" t="s">
        <v>134</v>
      </c>
      <c r="G49" s="27">
        <v>1</v>
      </c>
      <c r="H49" s="27" t="s">
        <v>135</v>
      </c>
    </row>
    <row r="50" spans="1:8" x14ac:dyDescent="0.25">
      <c r="A50" s="30" t="s">
        <v>126</v>
      </c>
      <c r="B50" s="26" t="s">
        <v>151</v>
      </c>
      <c r="D50" s="27" t="s">
        <v>136</v>
      </c>
      <c r="E50" s="27">
        <v>998</v>
      </c>
      <c r="F50" s="27" t="s">
        <v>136</v>
      </c>
      <c r="G50" s="27">
        <v>1</v>
      </c>
      <c r="H50" s="27" t="s">
        <v>137</v>
      </c>
    </row>
    <row r="51" spans="1:8" x14ac:dyDescent="0.25">
      <c r="A51" s="30" t="s">
        <v>152</v>
      </c>
      <c r="B51" s="26" t="s">
        <v>153</v>
      </c>
      <c r="D51" s="27" t="s">
        <v>138</v>
      </c>
      <c r="E51" s="27">
        <v>902</v>
      </c>
      <c r="F51" s="27" t="s">
        <v>138</v>
      </c>
      <c r="G51" s="27">
        <v>1</v>
      </c>
      <c r="H51" s="27" t="s">
        <v>103</v>
      </c>
    </row>
    <row r="52" spans="1:8" x14ac:dyDescent="0.25">
      <c r="A52" s="30" t="s">
        <v>154</v>
      </c>
      <c r="B52" s="26" t="s">
        <v>155</v>
      </c>
      <c r="D52" s="27" t="s">
        <v>57</v>
      </c>
      <c r="E52" s="27">
        <v>206</v>
      </c>
      <c r="F52" s="27" t="s">
        <v>57</v>
      </c>
      <c r="G52" s="27">
        <v>1</v>
      </c>
      <c r="H52" s="27" t="s">
        <v>139</v>
      </c>
    </row>
    <row r="53" spans="1:8" x14ac:dyDescent="0.25">
      <c r="A53" s="30" t="s">
        <v>156</v>
      </c>
      <c r="B53" s="26" t="s">
        <v>157</v>
      </c>
      <c r="D53" s="27" t="s">
        <v>140</v>
      </c>
      <c r="E53" s="27">
        <v>907</v>
      </c>
      <c r="F53" s="27" t="s">
        <v>140</v>
      </c>
      <c r="G53" s="27">
        <v>1</v>
      </c>
      <c r="H53" s="27" t="s">
        <v>141</v>
      </c>
    </row>
    <row r="54" spans="1:8" x14ac:dyDescent="0.25">
      <c r="A54" s="30" t="s">
        <v>157</v>
      </c>
      <c r="B54" s="26" t="s">
        <v>157</v>
      </c>
      <c r="D54" s="27" t="s">
        <v>142</v>
      </c>
      <c r="E54" s="27">
        <v>918</v>
      </c>
      <c r="F54" s="27" t="s">
        <v>142</v>
      </c>
      <c r="G54" s="27">
        <v>1</v>
      </c>
      <c r="H54" s="27" t="s">
        <v>143</v>
      </c>
    </row>
    <row r="55" spans="1:8" x14ac:dyDescent="0.25">
      <c r="A55" s="30" t="s">
        <v>157</v>
      </c>
      <c r="B55" s="26" t="s">
        <v>157</v>
      </c>
      <c r="D55" s="27" t="s">
        <v>144</v>
      </c>
      <c r="E55" s="27">
        <v>930</v>
      </c>
      <c r="F55" s="27" t="s">
        <v>144</v>
      </c>
      <c r="G55" s="27">
        <v>10</v>
      </c>
      <c r="H55" s="27" t="s">
        <v>145</v>
      </c>
    </row>
    <row r="56" spans="1:8" x14ac:dyDescent="0.25">
      <c r="A56" s="30" t="s">
        <v>157</v>
      </c>
      <c r="B56" s="26" t="s">
        <v>157</v>
      </c>
      <c r="D56" s="27" t="s">
        <v>146</v>
      </c>
      <c r="E56" s="27" t="s">
        <v>157</v>
      </c>
      <c r="F56" s="27" t="s">
        <v>146</v>
      </c>
      <c r="G56" s="27">
        <v>6</v>
      </c>
      <c r="H56" s="27" t="s">
        <v>147</v>
      </c>
    </row>
    <row r="57" spans="1:8" x14ac:dyDescent="0.25">
      <c r="A57" s="30" t="s">
        <v>157</v>
      </c>
      <c r="B57" s="26" t="s">
        <v>157</v>
      </c>
      <c r="D57" s="27" t="s">
        <v>148</v>
      </c>
      <c r="E57" s="27" t="s">
        <v>157</v>
      </c>
      <c r="F57" s="27" t="s">
        <v>148</v>
      </c>
      <c r="G57" s="27">
        <v>1</v>
      </c>
      <c r="H57" s="27" t="s">
        <v>149</v>
      </c>
    </row>
    <row r="58" spans="1:8" x14ac:dyDescent="0.25">
      <c r="A58" s="30" t="s">
        <v>157</v>
      </c>
      <c r="B58" s="26" t="s">
        <v>157</v>
      </c>
      <c r="D58" s="27" t="s">
        <v>58</v>
      </c>
      <c r="E58" s="27" t="s">
        <v>157</v>
      </c>
      <c r="F58" s="27" t="s">
        <v>58</v>
      </c>
      <c r="G58" s="27">
        <v>1</v>
      </c>
      <c r="H58" s="27" t="s">
        <v>141</v>
      </c>
    </row>
    <row r="59" spans="1:8" x14ac:dyDescent="0.25">
      <c r="A59" s="30" t="s">
        <v>157</v>
      </c>
      <c r="B59" s="26" t="s">
        <v>157</v>
      </c>
      <c r="D59" s="27" t="s">
        <v>150</v>
      </c>
      <c r="E59" s="27" t="s">
        <v>157</v>
      </c>
      <c r="F59" s="27" t="s">
        <v>150</v>
      </c>
      <c r="G59" s="27">
        <v>1</v>
      </c>
      <c r="H59" s="27" t="s">
        <v>143</v>
      </c>
    </row>
    <row r="60" spans="1:8" x14ac:dyDescent="0.25">
      <c r="A60" s="30" t="s">
        <v>157</v>
      </c>
      <c r="B60" s="26" t="s">
        <v>157</v>
      </c>
      <c r="D60" s="27" t="s">
        <v>126</v>
      </c>
      <c r="E60" s="27" t="s">
        <v>157</v>
      </c>
      <c r="F60" s="27" t="s">
        <v>126</v>
      </c>
      <c r="G60" s="27">
        <v>1</v>
      </c>
      <c r="H60" s="27" t="s">
        <v>151</v>
      </c>
    </row>
    <row r="61" spans="1:8" x14ac:dyDescent="0.25">
      <c r="A61" s="30" t="s">
        <v>157</v>
      </c>
      <c r="B61" s="26" t="s">
        <v>157</v>
      </c>
      <c r="D61" s="27" t="s">
        <v>152</v>
      </c>
      <c r="E61" s="27" t="s">
        <v>157</v>
      </c>
      <c r="F61" s="27" t="s">
        <v>152</v>
      </c>
      <c r="G61" s="27">
        <v>1</v>
      </c>
      <c r="H61" s="27" t="s">
        <v>153</v>
      </c>
    </row>
    <row r="62" spans="1:8" x14ac:dyDescent="0.25">
      <c r="A62" s="30" t="s">
        <v>157</v>
      </c>
      <c r="B62" s="26" t="s">
        <v>157</v>
      </c>
      <c r="D62" s="27" t="s">
        <v>154</v>
      </c>
      <c r="E62" s="27" t="s">
        <v>157</v>
      </c>
      <c r="F62" s="27" t="s">
        <v>154</v>
      </c>
      <c r="G62" s="27">
        <v>1</v>
      </c>
      <c r="H62" s="27" t="s">
        <v>155</v>
      </c>
    </row>
    <row r="63" spans="1:8" x14ac:dyDescent="0.25">
      <c r="A63" s="30" t="s">
        <v>157</v>
      </c>
      <c r="B63" s="26" t="s">
        <v>157</v>
      </c>
      <c r="D63" s="27" t="s">
        <v>156</v>
      </c>
      <c r="E63" s="27" t="s">
        <v>157</v>
      </c>
      <c r="F63" s="27" t="s">
        <v>156</v>
      </c>
      <c r="G63" s="27">
        <v>1</v>
      </c>
      <c r="H63" s="27" t="s">
        <v>157</v>
      </c>
    </row>
    <row r="64" spans="1:8" x14ac:dyDescent="0.25">
      <c r="A64" s="30" t="s">
        <v>157</v>
      </c>
      <c r="B64" s="26" t="s">
        <v>157</v>
      </c>
      <c r="D64" s="27" t="s">
        <v>157</v>
      </c>
      <c r="E64" s="27" t="s">
        <v>157</v>
      </c>
      <c r="F64" s="27" t="s">
        <v>157</v>
      </c>
      <c r="G64" s="27" t="s">
        <v>157</v>
      </c>
      <c r="H64" s="27" t="s">
        <v>157</v>
      </c>
    </row>
    <row r="65" spans="1:8" x14ac:dyDescent="0.25">
      <c r="A65" s="30" t="s">
        <v>157</v>
      </c>
      <c r="B65" s="26" t="s">
        <v>157</v>
      </c>
      <c r="D65" s="27" t="s">
        <v>157</v>
      </c>
      <c r="E65" s="27" t="s">
        <v>157</v>
      </c>
      <c r="F65" s="27" t="s">
        <v>157</v>
      </c>
      <c r="G65" s="27" t="s">
        <v>157</v>
      </c>
      <c r="H65" s="27" t="s">
        <v>157</v>
      </c>
    </row>
    <row r="66" spans="1:8" x14ac:dyDescent="0.25">
      <c r="A66" s="30" t="s">
        <v>157</v>
      </c>
      <c r="B66" s="26" t="s">
        <v>157</v>
      </c>
      <c r="D66" s="27" t="s">
        <v>157</v>
      </c>
      <c r="E66" s="27" t="s">
        <v>157</v>
      </c>
      <c r="F66" s="27" t="s">
        <v>157</v>
      </c>
      <c r="G66" s="27" t="s">
        <v>157</v>
      </c>
      <c r="H66" s="27" t="s">
        <v>157</v>
      </c>
    </row>
    <row r="67" spans="1:8" x14ac:dyDescent="0.25">
      <c r="A67" s="30" t="s">
        <v>157</v>
      </c>
      <c r="B67" s="26" t="s">
        <v>157</v>
      </c>
      <c r="D67" s="27" t="s">
        <v>157</v>
      </c>
      <c r="E67" s="27" t="s">
        <v>157</v>
      </c>
      <c r="F67" s="27" t="s">
        <v>157</v>
      </c>
      <c r="G67" s="27" t="s">
        <v>157</v>
      </c>
      <c r="H67" s="27" t="s">
        <v>157</v>
      </c>
    </row>
    <row r="68" spans="1:8" x14ac:dyDescent="0.25">
      <c r="A68" s="30" t="s">
        <v>157</v>
      </c>
      <c r="B68" s="26" t="s">
        <v>157</v>
      </c>
      <c r="D68" s="27" t="s">
        <v>157</v>
      </c>
      <c r="E68" s="27" t="s">
        <v>157</v>
      </c>
      <c r="F68" s="27" t="s">
        <v>157</v>
      </c>
      <c r="G68" s="27" t="s">
        <v>157</v>
      </c>
      <c r="H68" s="27" t="s">
        <v>157</v>
      </c>
    </row>
    <row r="69" spans="1:8" x14ac:dyDescent="0.25">
      <c r="A69" s="30" t="s">
        <v>157</v>
      </c>
      <c r="B69" s="26" t="s">
        <v>157</v>
      </c>
      <c r="D69" s="27" t="s">
        <v>157</v>
      </c>
      <c r="E69" s="27" t="s">
        <v>157</v>
      </c>
      <c r="F69" s="27" t="s">
        <v>157</v>
      </c>
      <c r="G69" s="27" t="s">
        <v>157</v>
      </c>
      <c r="H69" s="27" t="s">
        <v>157</v>
      </c>
    </row>
    <row r="70" spans="1:8" x14ac:dyDescent="0.25">
      <c r="A70" s="30" t="s">
        <v>157</v>
      </c>
      <c r="B70" s="26" t="s">
        <v>157</v>
      </c>
      <c r="D70" s="27" t="s">
        <v>157</v>
      </c>
      <c r="E70" s="27" t="s">
        <v>157</v>
      </c>
      <c r="F70" s="27" t="s">
        <v>157</v>
      </c>
      <c r="G70" s="27" t="s">
        <v>157</v>
      </c>
      <c r="H70" s="27" t="s">
        <v>157</v>
      </c>
    </row>
    <row r="71" spans="1:8" x14ac:dyDescent="0.25">
      <c r="A71" s="30" t="s">
        <v>157</v>
      </c>
      <c r="B71" s="26" t="s">
        <v>157</v>
      </c>
      <c r="D71" s="26" t="s">
        <v>157</v>
      </c>
      <c r="E71" s="48" t="s">
        <v>157</v>
      </c>
      <c r="F71" s="26" t="s">
        <v>157</v>
      </c>
      <c r="G71" s="26" t="s">
        <v>157</v>
      </c>
      <c r="H71" s="26" t="s">
        <v>157</v>
      </c>
    </row>
    <row r="72" spans="1:8" x14ac:dyDescent="0.25">
      <c r="A72" s="30" t="s">
        <v>157</v>
      </c>
      <c r="B72" s="26" t="s">
        <v>157</v>
      </c>
      <c r="D72" s="26" t="s">
        <v>157</v>
      </c>
      <c r="E72" s="48" t="s">
        <v>157</v>
      </c>
      <c r="F72" s="26" t="s">
        <v>157</v>
      </c>
      <c r="G72" s="26" t="s">
        <v>157</v>
      </c>
      <c r="H72" s="26" t="s">
        <v>157</v>
      </c>
    </row>
    <row r="73" spans="1:8" x14ac:dyDescent="0.25">
      <c r="A73" s="30" t="s">
        <v>157</v>
      </c>
      <c r="B73" s="26" t="s">
        <v>157</v>
      </c>
      <c r="D73" s="26" t="s">
        <v>157</v>
      </c>
      <c r="E73" s="48" t="s">
        <v>157</v>
      </c>
      <c r="F73" s="26" t="s">
        <v>157</v>
      </c>
      <c r="G73" s="26" t="s">
        <v>157</v>
      </c>
      <c r="H73" s="26" t="s">
        <v>157</v>
      </c>
    </row>
    <row r="74" spans="1:8" x14ac:dyDescent="0.25">
      <c r="A74" s="30" t="s">
        <v>157</v>
      </c>
      <c r="B74" s="26" t="s">
        <v>157</v>
      </c>
      <c r="D74" s="26" t="s">
        <v>157</v>
      </c>
      <c r="E74" s="48" t="s">
        <v>157</v>
      </c>
      <c r="F74" s="26" t="s">
        <v>157</v>
      </c>
      <c r="G74" s="26" t="s">
        <v>157</v>
      </c>
      <c r="H74" s="26" t="s">
        <v>157</v>
      </c>
    </row>
    <row r="75" spans="1:8" x14ac:dyDescent="0.25">
      <c r="A75" s="30" t="s">
        <v>157</v>
      </c>
      <c r="B75" s="26" t="s">
        <v>157</v>
      </c>
      <c r="D75" s="26" t="s">
        <v>157</v>
      </c>
      <c r="E75" s="48" t="s">
        <v>157</v>
      </c>
      <c r="F75" s="26" t="s">
        <v>157</v>
      </c>
      <c r="G75" s="26" t="s">
        <v>157</v>
      </c>
      <c r="H75" s="26" t="s">
        <v>157</v>
      </c>
    </row>
    <row r="76" spans="1:8" x14ac:dyDescent="0.25">
      <c r="A76" s="30" t="s">
        <v>157</v>
      </c>
      <c r="B76" s="26" t="s">
        <v>157</v>
      </c>
      <c r="D76" s="26" t="s">
        <v>157</v>
      </c>
      <c r="E76" s="48" t="s">
        <v>157</v>
      </c>
      <c r="F76" s="26" t="s">
        <v>157</v>
      </c>
      <c r="G76" s="26" t="s">
        <v>157</v>
      </c>
      <c r="H76" s="26" t="s">
        <v>157</v>
      </c>
    </row>
    <row r="77" spans="1:8" x14ac:dyDescent="0.25">
      <c r="A77" s="30" t="s">
        <v>157</v>
      </c>
      <c r="B77" s="26" t="s">
        <v>157</v>
      </c>
      <c r="D77" s="26" t="s">
        <v>157</v>
      </c>
      <c r="E77" s="48" t="s">
        <v>157</v>
      </c>
      <c r="F77" s="26" t="s">
        <v>157</v>
      </c>
      <c r="G77" s="26" t="s">
        <v>157</v>
      </c>
      <c r="H77" s="26" t="s">
        <v>157</v>
      </c>
    </row>
    <row r="78" spans="1:8" x14ac:dyDescent="0.25">
      <c r="A78" s="30" t="s">
        <v>157</v>
      </c>
      <c r="B78" s="26" t="s">
        <v>157</v>
      </c>
      <c r="D78" s="26" t="s">
        <v>157</v>
      </c>
      <c r="E78" s="48" t="s">
        <v>157</v>
      </c>
      <c r="F78" s="26" t="s">
        <v>157</v>
      </c>
      <c r="G78" s="26" t="s">
        <v>157</v>
      </c>
      <c r="H78" s="26" t="s">
        <v>157</v>
      </c>
    </row>
    <row r="79" spans="1:8" x14ac:dyDescent="0.25">
      <c r="A79" s="30" t="s">
        <v>157</v>
      </c>
      <c r="B79" s="26" t="s">
        <v>157</v>
      </c>
      <c r="D79" s="26" t="s">
        <v>157</v>
      </c>
      <c r="E79" s="48" t="s">
        <v>157</v>
      </c>
      <c r="F79" s="26" t="s">
        <v>157</v>
      </c>
      <c r="G79" s="26" t="s">
        <v>157</v>
      </c>
      <c r="H79" s="26" t="s">
        <v>157</v>
      </c>
    </row>
    <row r="80" spans="1:8" x14ac:dyDescent="0.25">
      <c r="A80" s="30" t="s">
        <v>157</v>
      </c>
      <c r="B80" s="26" t="s">
        <v>157</v>
      </c>
      <c r="D80" s="26" t="s">
        <v>157</v>
      </c>
      <c r="E80" s="48" t="s">
        <v>157</v>
      </c>
      <c r="F80" s="26" t="s">
        <v>157</v>
      </c>
      <c r="G80" s="26" t="s">
        <v>157</v>
      </c>
      <c r="H80" s="26" t="s">
        <v>157</v>
      </c>
    </row>
    <row r="81" spans="1:8" x14ac:dyDescent="0.25">
      <c r="A81" s="30" t="s">
        <v>157</v>
      </c>
      <c r="B81" s="26" t="s">
        <v>157</v>
      </c>
      <c r="D81" s="26" t="s">
        <v>157</v>
      </c>
      <c r="E81" s="48" t="s">
        <v>157</v>
      </c>
      <c r="F81" s="26" t="s">
        <v>157</v>
      </c>
      <c r="G81" s="26" t="s">
        <v>157</v>
      </c>
      <c r="H81" s="26" t="s">
        <v>157</v>
      </c>
    </row>
    <row r="82" spans="1:8" x14ac:dyDescent="0.25">
      <c r="A82" s="30" t="s">
        <v>157</v>
      </c>
      <c r="B82" s="26" t="s">
        <v>157</v>
      </c>
      <c r="D82" s="26" t="s">
        <v>157</v>
      </c>
      <c r="E82" s="48" t="s">
        <v>157</v>
      </c>
      <c r="F82" s="26" t="s">
        <v>157</v>
      </c>
      <c r="G82" s="26" t="s">
        <v>157</v>
      </c>
      <c r="H82" s="26" t="s">
        <v>157</v>
      </c>
    </row>
    <row r="83" spans="1:8" x14ac:dyDescent="0.25">
      <c r="A83" s="30" t="s">
        <v>157</v>
      </c>
      <c r="B83" s="26" t="s">
        <v>157</v>
      </c>
      <c r="D83" s="26" t="s">
        <v>157</v>
      </c>
      <c r="E83" s="48" t="s">
        <v>157</v>
      </c>
      <c r="F83" s="26" t="s">
        <v>157</v>
      </c>
      <c r="G83" s="26" t="s">
        <v>157</v>
      </c>
      <c r="H83" s="26" t="s">
        <v>157</v>
      </c>
    </row>
    <row r="84" spans="1:8" x14ac:dyDescent="0.25">
      <c r="A84" s="30" t="s">
        <v>157</v>
      </c>
      <c r="B84" s="26" t="s">
        <v>157</v>
      </c>
      <c r="D84" s="26" t="s">
        <v>157</v>
      </c>
      <c r="E84" s="48" t="s">
        <v>157</v>
      </c>
      <c r="F84" s="26" t="s">
        <v>157</v>
      </c>
      <c r="G84" s="26" t="s">
        <v>157</v>
      </c>
      <c r="H84" s="26" t="s">
        <v>157</v>
      </c>
    </row>
    <row r="85" spans="1:8" x14ac:dyDescent="0.25">
      <c r="A85" s="30" t="s">
        <v>157</v>
      </c>
      <c r="B85" s="26" t="s">
        <v>157</v>
      </c>
      <c r="D85" s="26" t="s">
        <v>157</v>
      </c>
      <c r="E85" s="48" t="s">
        <v>157</v>
      </c>
      <c r="F85" s="26" t="s">
        <v>157</v>
      </c>
      <c r="G85" s="26" t="s">
        <v>157</v>
      </c>
      <c r="H85" s="26" t="s">
        <v>157</v>
      </c>
    </row>
    <row r="86" spans="1:8" x14ac:dyDescent="0.25">
      <c r="A86" s="30" t="s">
        <v>157</v>
      </c>
      <c r="B86" s="26" t="s">
        <v>157</v>
      </c>
      <c r="D86" s="26" t="s">
        <v>157</v>
      </c>
      <c r="E86" s="48" t="s">
        <v>157</v>
      </c>
      <c r="F86" s="26" t="s">
        <v>157</v>
      </c>
      <c r="G86" s="26" t="s">
        <v>157</v>
      </c>
      <c r="H86" s="26" t="s">
        <v>157</v>
      </c>
    </row>
    <row r="87" spans="1:8" x14ac:dyDescent="0.25">
      <c r="A87" s="30" t="s">
        <v>157</v>
      </c>
      <c r="B87" s="26" t="s">
        <v>157</v>
      </c>
      <c r="D87" s="26" t="s">
        <v>157</v>
      </c>
      <c r="E87" s="48" t="s">
        <v>157</v>
      </c>
      <c r="F87" s="26" t="s">
        <v>157</v>
      </c>
      <c r="G87" s="26" t="s">
        <v>157</v>
      </c>
      <c r="H87" s="26" t="s">
        <v>157</v>
      </c>
    </row>
    <row r="88" spans="1:8" x14ac:dyDescent="0.25">
      <c r="A88" s="30" t="s">
        <v>157</v>
      </c>
      <c r="B88" s="26" t="s">
        <v>157</v>
      </c>
      <c r="D88" s="26" t="s">
        <v>157</v>
      </c>
      <c r="E88" s="48" t="s">
        <v>157</v>
      </c>
      <c r="F88" s="26" t="s">
        <v>157</v>
      </c>
      <c r="G88" s="26" t="s">
        <v>157</v>
      </c>
      <c r="H88" s="26" t="s">
        <v>157</v>
      </c>
    </row>
    <row r="89" spans="1:8" x14ac:dyDescent="0.25">
      <c r="A89" s="30" t="s">
        <v>157</v>
      </c>
      <c r="B89" s="26" t="s">
        <v>157</v>
      </c>
      <c r="D89" s="26" t="s">
        <v>157</v>
      </c>
      <c r="E89" s="48" t="s">
        <v>157</v>
      </c>
      <c r="F89" s="26" t="s">
        <v>157</v>
      </c>
      <c r="G89" s="26" t="s">
        <v>157</v>
      </c>
      <c r="H89" s="26" t="s">
        <v>157</v>
      </c>
    </row>
    <row r="90" spans="1:8" x14ac:dyDescent="0.25">
      <c r="A90" s="30" t="s">
        <v>157</v>
      </c>
      <c r="B90" s="26" t="s">
        <v>157</v>
      </c>
      <c r="D90" s="26" t="s">
        <v>157</v>
      </c>
      <c r="E90" s="48" t="s">
        <v>157</v>
      </c>
      <c r="F90" s="26" t="s">
        <v>157</v>
      </c>
      <c r="G90" s="26" t="s">
        <v>157</v>
      </c>
      <c r="H90" s="26" t="s">
        <v>157</v>
      </c>
    </row>
    <row r="91" spans="1:8" x14ac:dyDescent="0.25">
      <c r="A91" s="30" t="s">
        <v>157</v>
      </c>
      <c r="B91" s="26" t="s">
        <v>157</v>
      </c>
      <c r="D91" s="26" t="s">
        <v>157</v>
      </c>
      <c r="E91" s="48" t="s">
        <v>157</v>
      </c>
      <c r="F91" s="26" t="s">
        <v>157</v>
      </c>
      <c r="G91" s="26" t="s">
        <v>157</v>
      </c>
      <c r="H91" s="26" t="s">
        <v>157</v>
      </c>
    </row>
    <row r="92" spans="1:8" x14ac:dyDescent="0.25">
      <c r="A92" s="30" t="s">
        <v>157</v>
      </c>
      <c r="B92" s="26" t="s">
        <v>157</v>
      </c>
      <c r="D92" s="26" t="s">
        <v>157</v>
      </c>
      <c r="E92" s="48" t="s">
        <v>157</v>
      </c>
      <c r="F92" s="26" t="s">
        <v>157</v>
      </c>
      <c r="G92" s="26" t="s">
        <v>157</v>
      </c>
      <c r="H92" s="26" t="s">
        <v>157</v>
      </c>
    </row>
    <row r="93" spans="1:8" x14ac:dyDescent="0.25">
      <c r="A93" s="30" t="s">
        <v>157</v>
      </c>
      <c r="B93" s="26" t="s">
        <v>157</v>
      </c>
      <c r="D93" s="26" t="s">
        <v>157</v>
      </c>
      <c r="E93" s="48" t="s">
        <v>157</v>
      </c>
      <c r="F93" s="26" t="s">
        <v>157</v>
      </c>
      <c r="G93" s="26" t="s">
        <v>157</v>
      </c>
      <c r="H93" s="26" t="s">
        <v>157</v>
      </c>
    </row>
    <row r="94" spans="1:8" x14ac:dyDescent="0.25">
      <c r="A94" s="30" t="s">
        <v>157</v>
      </c>
      <c r="B94" s="26" t="s">
        <v>157</v>
      </c>
      <c r="D94" s="26" t="s">
        <v>157</v>
      </c>
      <c r="E94" s="48" t="s">
        <v>157</v>
      </c>
      <c r="F94" s="26" t="s">
        <v>157</v>
      </c>
      <c r="G94" s="26" t="s">
        <v>157</v>
      </c>
      <c r="H94" s="26" t="s">
        <v>157</v>
      </c>
    </row>
    <row r="95" spans="1:8" x14ac:dyDescent="0.25">
      <c r="A95" s="30" t="s">
        <v>157</v>
      </c>
      <c r="B95" s="26" t="s">
        <v>157</v>
      </c>
      <c r="D95" s="26" t="s">
        <v>157</v>
      </c>
      <c r="E95" s="48" t="s">
        <v>157</v>
      </c>
      <c r="F95" s="26" t="s">
        <v>157</v>
      </c>
      <c r="G95" s="26" t="s">
        <v>157</v>
      </c>
      <c r="H95" s="26" t="s">
        <v>157</v>
      </c>
    </row>
    <row r="96" spans="1:8" x14ac:dyDescent="0.25">
      <c r="A96" s="30" t="s">
        <v>157</v>
      </c>
      <c r="B96" s="26" t="s">
        <v>157</v>
      </c>
      <c r="D96" s="26" t="s">
        <v>157</v>
      </c>
      <c r="E96" s="48" t="s">
        <v>157</v>
      </c>
      <c r="F96" s="26" t="s">
        <v>157</v>
      </c>
      <c r="G96" s="26" t="s">
        <v>157</v>
      </c>
      <c r="H96" s="26" t="s">
        <v>157</v>
      </c>
    </row>
    <row r="97" spans="1:8" x14ac:dyDescent="0.25">
      <c r="A97" s="30" t="s">
        <v>157</v>
      </c>
      <c r="B97" s="26" t="s">
        <v>157</v>
      </c>
      <c r="D97" s="26" t="s">
        <v>157</v>
      </c>
      <c r="E97" s="48" t="s">
        <v>157</v>
      </c>
      <c r="F97" s="26" t="s">
        <v>157</v>
      </c>
      <c r="G97" s="26" t="s">
        <v>157</v>
      </c>
      <c r="H97" s="26" t="s">
        <v>157</v>
      </c>
    </row>
    <row r="98" spans="1:8" x14ac:dyDescent="0.25">
      <c r="A98" s="30" t="s">
        <v>157</v>
      </c>
      <c r="B98" s="26" t="s">
        <v>157</v>
      </c>
      <c r="D98" s="26" t="s">
        <v>157</v>
      </c>
      <c r="E98" s="48" t="s">
        <v>157</v>
      </c>
      <c r="F98" s="26" t="s">
        <v>157</v>
      </c>
      <c r="G98" s="26" t="s">
        <v>157</v>
      </c>
      <c r="H98" s="26" t="s">
        <v>157</v>
      </c>
    </row>
    <row r="99" spans="1:8" x14ac:dyDescent="0.25">
      <c r="A99" s="30" t="s">
        <v>157</v>
      </c>
      <c r="B99" s="26" t="s">
        <v>157</v>
      </c>
      <c r="D99" s="26" t="s">
        <v>157</v>
      </c>
      <c r="E99" s="48" t="s">
        <v>157</v>
      </c>
      <c r="F99" s="26" t="s">
        <v>157</v>
      </c>
      <c r="G99" s="26" t="s">
        <v>157</v>
      </c>
      <c r="H99" s="26" t="s">
        <v>157</v>
      </c>
    </row>
    <row r="100" spans="1:8" x14ac:dyDescent="0.25">
      <c r="A100" s="30" t="s">
        <v>157</v>
      </c>
      <c r="B100" s="26" t="s">
        <v>157</v>
      </c>
      <c r="D100" s="26" t="s">
        <v>157</v>
      </c>
      <c r="E100" s="48" t="s">
        <v>157</v>
      </c>
      <c r="F100" s="26" t="s">
        <v>157</v>
      </c>
      <c r="G100" s="26" t="s">
        <v>157</v>
      </c>
      <c r="H100" s="26" t="s">
        <v>157</v>
      </c>
    </row>
    <row r="101" spans="1:8" x14ac:dyDescent="0.25">
      <c r="A101" s="30" t="s">
        <v>157</v>
      </c>
      <c r="B101" s="26" t="s">
        <v>157</v>
      </c>
      <c r="D101" s="26" t="s">
        <v>157</v>
      </c>
      <c r="E101" s="48" t="s">
        <v>157</v>
      </c>
      <c r="F101" s="26" t="s">
        <v>157</v>
      </c>
      <c r="G101" s="26" t="s">
        <v>157</v>
      </c>
      <c r="H101" s="26" t="s">
        <v>157</v>
      </c>
    </row>
    <row r="102" spans="1:8" x14ac:dyDescent="0.25">
      <c r="A102" s="30" t="s">
        <v>157</v>
      </c>
      <c r="B102" s="26" t="s">
        <v>157</v>
      </c>
      <c r="D102" s="26" t="s">
        <v>157</v>
      </c>
      <c r="E102" s="48" t="s">
        <v>157</v>
      </c>
      <c r="F102" s="26" t="s">
        <v>157</v>
      </c>
      <c r="G102" s="26" t="s">
        <v>157</v>
      </c>
      <c r="H102" s="26" t="s">
        <v>157</v>
      </c>
    </row>
    <row r="103" spans="1:8" x14ac:dyDescent="0.25">
      <c r="A103" s="30" t="s">
        <v>157</v>
      </c>
      <c r="B103" s="26" t="s">
        <v>157</v>
      </c>
    </row>
    <row r="104" spans="1:8" x14ac:dyDescent="0.25">
      <c r="A104" s="30" t="s">
        <v>157</v>
      </c>
      <c r="B104" s="26" t="s">
        <v>157</v>
      </c>
    </row>
    <row r="105" spans="1:8" x14ac:dyDescent="0.25">
      <c r="A105" s="30" t="s">
        <v>157</v>
      </c>
      <c r="B105" s="26" t="s">
        <v>157</v>
      </c>
    </row>
    <row r="106" spans="1:8" x14ac:dyDescent="0.25">
      <c r="A106" s="30" t="s">
        <v>157</v>
      </c>
      <c r="B106" s="26" t="s">
        <v>157</v>
      </c>
    </row>
    <row r="107" spans="1:8" x14ac:dyDescent="0.25">
      <c r="A107" s="30" t="s">
        <v>157</v>
      </c>
      <c r="B107" s="26" t="s">
        <v>157</v>
      </c>
    </row>
    <row r="108" spans="1:8" x14ac:dyDescent="0.25">
      <c r="A108" s="30" t="s">
        <v>157</v>
      </c>
      <c r="B108" s="26" t="s">
        <v>157</v>
      </c>
    </row>
    <row r="109" spans="1:8" x14ac:dyDescent="0.25">
      <c r="A109" s="30" t="s">
        <v>157</v>
      </c>
      <c r="B109" s="26" t="s">
        <v>157</v>
      </c>
    </row>
    <row r="110" spans="1:8" x14ac:dyDescent="0.25">
      <c r="A110" s="30" t="s">
        <v>157</v>
      </c>
      <c r="B110" s="26" t="s">
        <v>157</v>
      </c>
    </row>
    <row r="111" spans="1:8" x14ac:dyDescent="0.25">
      <c r="A111" s="30" t="s">
        <v>157</v>
      </c>
      <c r="B111" s="26" t="s">
        <v>157</v>
      </c>
    </row>
    <row r="112" spans="1:8" x14ac:dyDescent="0.25">
      <c r="A112" s="30" t="s">
        <v>157</v>
      </c>
      <c r="B112" s="26" t="s">
        <v>157</v>
      </c>
    </row>
    <row r="113" spans="1:2" x14ac:dyDescent="0.25">
      <c r="A113" s="30" t="s">
        <v>157</v>
      </c>
      <c r="B113" s="26" t="s">
        <v>157</v>
      </c>
    </row>
    <row r="114" spans="1:2" x14ac:dyDescent="0.25">
      <c r="A114" s="30" t="s">
        <v>157</v>
      </c>
      <c r="B114" s="26" t="s">
        <v>157</v>
      </c>
    </row>
    <row r="115" spans="1:2" x14ac:dyDescent="0.25">
      <c r="A115" s="30" t="s">
        <v>157</v>
      </c>
      <c r="B115" s="26" t="s">
        <v>157</v>
      </c>
    </row>
    <row r="116" spans="1:2" x14ac:dyDescent="0.25">
      <c r="A116" s="30" t="s">
        <v>157</v>
      </c>
      <c r="B116" s="26" t="s">
        <v>157</v>
      </c>
    </row>
    <row r="117" spans="1:2" x14ac:dyDescent="0.25">
      <c r="A117" s="30" t="s">
        <v>157</v>
      </c>
      <c r="B117" s="26" t="s">
        <v>157</v>
      </c>
    </row>
    <row r="118" spans="1:2" x14ac:dyDescent="0.25">
      <c r="A118" s="30" t="s">
        <v>157</v>
      </c>
      <c r="B118" s="26" t="s">
        <v>157</v>
      </c>
    </row>
    <row r="119" spans="1:2" x14ac:dyDescent="0.25">
      <c r="A119" s="30" t="s">
        <v>157</v>
      </c>
      <c r="B119" s="26" t="s">
        <v>157</v>
      </c>
    </row>
    <row r="120" spans="1:2" x14ac:dyDescent="0.25">
      <c r="A120" s="30" t="s">
        <v>157</v>
      </c>
      <c r="B120" s="26" t="s">
        <v>157</v>
      </c>
    </row>
    <row r="121" spans="1:2" x14ac:dyDescent="0.25">
      <c r="A121" s="30" t="s">
        <v>157</v>
      </c>
      <c r="B121" s="26" t="s">
        <v>157</v>
      </c>
    </row>
    <row r="122" spans="1:2" x14ac:dyDescent="0.25">
      <c r="A122" s="30" t="s">
        <v>157</v>
      </c>
      <c r="B122" s="26" t="s">
        <v>157</v>
      </c>
    </row>
    <row r="123" spans="1:2" x14ac:dyDescent="0.25">
      <c r="A123" s="30" t="s">
        <v>157</v>
      </c>
      <c r="B123" s="26" t="s">
        <v>157</v>
      </c>
    </row>
    <row r="124" spans="1:2" x14ac:dyDescent="0.25">
      <c r="A124" s="30" t="s">
        <v>157</v>
      </c>
      <c r="B124" s="26" t="s">
        <v>157</v>
      </c>
    </row>
    <row r="125" spans="1:2" x14ac:dyDescent="0.25">
      <c r="A125" s="30" t="s">
        <v>157</v>
      </c>
      <c r="B125" s="26" t="s">
        <v>157</v>
      </c>
    </row>
    <row r="126" spans="1:2" x14ac:dyDescent="0.25">
      <c r="A126" s="30" t="s">
        <v>157</v>
      </c>
      <c r="B126" s="26" t="s">
        <v>157</v>
      </c>
    </row>
    <row r="127" spans="1:2" x14ac:dyDescent="0.25">
      <c r="A127" s="30" t="s">
        <v>157</v>
      </c>
      <c r="B127" s="26" t="s">
        <v>157</v>
      </c>
    </row>
    <row r="128" spans="1:2" x14ac:dyDescent="0.25">
      <c r="A128" s="30" t="s">
        <v>157</v>
      </c>
      <c r="B128" s="26" t="s">
        <v>157</v>
      </c>
    </row>
    <row r="129" spans="1:2" x14ac:dyDescent="0.25">
      <c r="A129" s="30" t="s">
        <v>157</v>
      </c>
      <c r="B129" s="26" t="s">
        <v>157</v>
      </c>
    </row>
    <row r="130" spans="1:2" x14ac:dyDescent="0.25">
      <c r="A130" s="30" t="s">
        <v>157</v>
      </c>
      <c r="B130" s="26" t="s">
        <v>157</v>
      </c>
    </row>
    <row r="131" spans="1:2" x14ac:dyDescent="0.25">
      <c r="A131" s="30" t="s">
        <v>157</v>
      </c>
      <c r="B131" s="26" t="s">
        <v>157</v>
      </c>
    </row>
    <row r="132" spans="1:2" x14ac:dyDescent="0.25">
      <c r="A132" s="30" t="s">
        <v>157</v>
      </c>
      <c r="B132" s="26" t="s">
        <v>157</v>
      </c>
    </row>
    <row r="133" spans="1:2" x14ac:dyDescent="0.25">
      <c r="A133" s="30" t="s">
        <v>157</v>
      </c>
      <c r="B133" s="26" t="s">
        <v>157</v>
      </c>
    </row>
    <row r="134" spans="1:2" x14ac:dyDescent="0.25">
      <c r="A134" s="30" t="s">
        <v>157</v>
      </c>
      <c r="B134" s="26" t="s">
        <v>157</v>
      </c>
    </row>
    <row r="135" spans="1:2" x14ac:dyDescent="0.25">
      <c r="A135" s="30" t="s">
        <v>157</v>
      </c>
      <c r="B135" s="26" t="s">
        <v>157</v>
      </c>
    </row>
    <row r="136" spans="1:2" x14ac:dyDescent="0.25">
      <c r="A136" s="30" t="s">
        <v>157</v>
      </c>
      <c r="B136" s="26" t="s">
        <v>157</v>
      </c>
    </row>
    <row r="137" spans="1:2" x14ac:dyDescent="0.25">
      <c r="A137" s="30" t="s">
        <v>157</v>
      </c>
      <c r="B137" s="26" t="s">
        <v>157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B62"/>
  <sheetViews>
    <sheetView tabSelected="1" workbookViewId="0">
      <selection activeCell="A2" sqref="A2:AB4"/>
    </sheetView>
  </sheetViews>
  <sheetFormatPr defaultColWidth="147.140625" defaultRowHeight="15" x14ac:dyDescent="0.25"/>
  <cols>
    <col min="1" max="1" width="6.140625" style="6" bestFit="1" customWidth="1"/>
    <col min="2" max="2" width="20.28515625" style="23" bestFit="1" customWidth="1"/>
    <col min="3" max="3" width="13.140625" bestFit="1" customWidth="1"/>
    <col min="4" max="4" width="10.5703125" bestFit="1" customWidth="1"/>
    <col min="5" max="5" width="3.140625" bestFit="1" customWidth="1"/>
    <col min="6" max="6" width="5.85546875" bestFit="1" customWidth="1"/>
    <col min="7" max="7" width="14.140625" bestFit="1" customWidth="1"/>
    <col min="8" max="8" width="6.7109375" bestFit="1" customWidth="1"/>
    <col min="9" max="9" width="14.140625" bestFit="1" customWidth="1"/>
    <col min="10" max="11" width="5.85546875" bestFit="1" customWidth="1"/>
    <col min="12" max="12" width="4.140625" bestFit="1" customWidth="1"/>
    <col min="13" max="13" width="18.42578125" bestFit="1" customWidth="1"/>
    <col min="14" max="14" width="5.28515625" bestFit="1" customWidth="1"/>
    <col min="15" max="15" width="7.5703125" bestFit="1" customWidth="1"/>
    <col min="16" max="16" width="16" bestFit="1" customWidth="1"/>
    <col min="17" max="28" width="4.140625" bestFit="1" customWidth="1"/>
  </cols>
  <sheetData>
    <row r="1" spans="1:28" x14ac:dyDescent="0.25">
      <c r="A1" s="6" t="s">
        <v>17</v>
      </c>
      <c r="B1" s="23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s="34" t="s">
        <v>158</v>
      </c>
      <c r="M1" s="34" t="s">
        <v>159</v>
      </c>
      <c r="N1" s="34" t="s">
        <v>160</v>
      </c>
      <c r="O1" s="34" t="s">
        <v>161</v>
      </c>
      <c r="P1" s="49" t="s">
        <v>162</v>
      </c>
      <c r="Q1" s="49" t="s">
        <v>163</v>
      </c>
      <c r="R1" s="49" t="s">
        <v>164</v>
      </c>
      <c r="S1" s="49" t="s">
        <v>165</v>
      </c>
      <c r="T1" s="49" t="s">
        <v>166</v>
      </c>
      <c r="U1" s="49" t="s">
        <v>167</v>
      </c>
      <c r="V1" s="49" t="s">
        <v>168</v>
      </c>
      <c r="W1" s="49" t="s">
        <v>169</v>
      </c>
      <c r="X1" s="49" t="s">
        <v>170</v>
      </c>
      <c r="Y1" s="49" t="s">
        <v>171</v>
      </c>
      <c r="Z1" s="49" t="s">
        <v>172</v>
      </c>
      <c r="AA1" s="49" t="s">
        <v>173</v>
      </c>
      <c r="AB1" s="49" t="s">
        <v>174</v>
      </c>
    </row>
    <row r="2" spans="1:28" x14ac:dyDescent="0.25">
      <c r="A2" s="60" t="s">
        <v>184</v>
      </c>
      <c r="B2" s="53" t="s">
        <v>177</v>
      </c>
      <c r="C2" s="53" t="s">
        <v>126</v>
      </c>
      <c r="D2" s="53" t="s">
        <v>185</v>
      </c>
      <c r="E2" s="54"/>
      <c r="F2" s="55">
        <v>25581</v>
      </c>
      <c r="G2" s="53" t="s">
        <v>186</v>
      </c>
      <c r="H2" s="55">
        <v>107600</v>
      </c>
      <c r="I2" s="53" t="s">
        <v>186</v>
      </c>
      <c r="J2" s="55">
        <v>31159</v>
      </c>
      <c r="K2" s="55">
        <v>31159</v>
      </c>
      <c r="L2" s="55">
        <v>0</v>
      </c>
      <c r="M2" s="53" t="s">
        <v>180</v>
      </c>
      <c r="N2" s="53" t="s">
        <v>181</v>
      </c>
      <c r="O2" s="53" t="s">
        <v>187</v>
      </c>
      <c r="P2" s="56" t="s">
        <v>183</v>
      </c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</row>
    <row r="3" spans="1:28" x14ac:dyDescent="0.25">
      <c r="A3" s="60" t="s">
        <v>184</v>
      </c>
      <c r="B3" s="53" t="s">
        <v>177</v>
      </c>
      <c r="C3" s="53" t="s">
        <v>126</v>
      </c>
      <c r="D3" s="53" t="s">
        <v>185</v>
      </c>
      <c r="E3" s="54"/>
      <c r="F3" s="55">
        <v>25581</v>
      </c>
      <c r="G3" s="53" t="s">
        <v>186</v>
      </c>
      <c r="H3" s="55">
        <v>107600</v>
      </c>
      <c r="I3" s="53" t="s">
        <v>186</v>
      </c>
      <c r="J3" s="55">
        <v>50860</v>
      </c>
      <c r="K3" s="55">
        <v>50860</v>
      </c>
      <c r="L3" s="55">
        <v>0</v>
      </c>
      <c r="M3" s="53" t="s">
        <v>180</v>
      </c>
      <c r="N3" s="53" t="s">
        <v>188</v>
      </c>
      <c r="O3" s="53" t="s">
        <v>187</v>
      </c>
      <c r="P3" s="56" t="s">
        <v>183</v>
      </c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</row>
    <row r="4" spans="1:28" x14ac:dyDescent="0.25">
      <c r="A4" s="60" t="s">
        <v>176</v>
      </c>
      <c r="B4" s="53" t="s">
        <v>177</v>
      </c>
      <c r="C4" s="53" t="s">
        <v>126</v>
      </c>
      <c r="D4" s="53" t="s">
        <v>178</v>
      </c>
      <c r="E4" s="54"/>
      <c r="F4" s="55">
        <v>29868</v>
      </c>
      <c r="G4" s="53" t="s">
        <v>179</v>
      </c>
      <c r="H4" s="55">
        <v>119180</v>
      </c>
      <c r="I4" s="53" t="s">
        <v>179</v>
      </c>
      <c r="J4" s="55">
        <v>16551</v>
      </c>
      <c r="K4" s="55">
        <v>16551</v>
      </c>
      <c r="L4" s="55">
        <v>0</v>
      </c>
      <c r="M4" s="53" t="s">
        <v>180</v>
      </c>
      <c r="N4" s="53" t="s">
        <v>181</v>
      </c>
      <c r="O4" s="53" t="s">
        <v>182</v>
      </c>
      <c r="P4" s="56" t="s">
        <v>183</v>
      </c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</row>
    <row r="5" spans="1:28" hidden="1" x14ac:dyDescent="0.25"/>
    <row r="6" spans="1:28" hidden="1" x14ac:dyDescent="0.25"/>
    <row r="7" spans="1:28" hidden="1" x14ac:dyDescent="0.25"/>
    <row r="8" spans="1:28" hidden="1" x14ac:dyDescent="0.25"/>
    <row r="9" spans="1:28" hidden="1" x14ac:dyDescent="0.25"/>
    <row r="10" spans="1:28" hidden="1" x14ac:dyDescent="0.25"/>
    <row r="11" spans="1:28" hidden="1" x14ac:dyDescent="0.25"/>
    <row r="12" spans="1:28" hidden="1" x14ac:dyDescent="0.25"/>
    <row r="13" spans="1:28" hidden="1" x14ac:dyDescent="0.25"/>
    <row r="14" spans="1:28" hidden="1" x14ac:dyDescent="0.25"/>
    <row r="15" spans="1:28" hidden="1" x14ac:dyDescent="0.25"/>
    <row r="16" spans="1:28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</sheetData>
  <autoFilter ref="A1:AB62" xr:uid="{478AAF7E-3C4D-4569-929E-6A2A4097F828}">
    <filterColumn colId="2">
      <filters>
        <filter val="06315338018166"/>
      </filters>
    </filterColumn>
  </autoFilter>
  <phoneticPr fontId="20" type="noConversion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BASE</vt:lpstr>
      <vt:lpstr>dados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cp:lastPrinted>2018-12-18T16:33:55Z</cp:lastPrinted>
  <dcterms:created xsi:type="dcterms:W3CDTF">2012-10-02T12:41:35Z</dcterms:created>
  <dcterms:modified xsi:type="dcterms:W3CDTF">2021-05-12T12:15:18Z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2020-10-15T14:05:14.9827821Z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e704b7e0-f869-4ec0-b4e8-0110fa7d4aba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