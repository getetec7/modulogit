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Pasta2_11_03\"/>
    </mc:Choice>
  </mc:AlternateContent>
  <xr:revisionPtr revIDLastSave="0" documentId="13_ncr:1_{CE067EC7-C445-4DD2-A47A-90AD25A3919C}" xr6:coauthVersionLast="46" xr6:coauthVersionMax="46" xr10:uidLastSave="{00000000-0000-0000-0000-000000000000}"/>
  <bookViews>
    <workbookView xWindow="-120" yWindow="-120" windowWidth="24240" windowHeight="17790" activeTab="3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FILTRO!$A$1:$AD$20</definedName>
    <definedName name="_xlnm._FilterDatabase" localSheetId="0" hidden="1">Report!#REF!</definedName>
    <definedName name="lista_Valores">OFFSET(FILTRO!$A$1,0,0,COUNTA(FILTRO!$A:$A),COUNTA(FILTRO!$1:$1))</definedName>
  </definedNames>
  <calcPr calcId="191029"/>
  <pivotCaches>
    <pivotCache cacheId="11" r:id="rId6"/>
  </pivotCaches>
</workbook>
</file>

<file path=xl/calcChain.xml><?xml version="1.0" encoding="utf-8"?>
<calcChain xmlns="http://schemas.openxmlformats.org/spreadsheetml/2006/main">
  <c r="F7" i="2" l="1"/>
  <c r="AD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J45" i="3"/>
  <c r="J46" i="3"/>
  <c r="J47" i="3"/>
  <c r="J48" i="3"/>
  <c r="J49" i="3"/>
  <c r="J50" i="3"/>
  <c r="J51" i="3"/>
  <c r="J52" i="3"/>
  <c r="J53" i="3"/>
  <c r="J54" i="3"/>
  <c r="J7" i="3"/>
  <c r="J8" i="3" s="1"/>
  <c r="J9" i="3" s="1"/>
  <c r="J10" i="3"/>
  <c r="J11" i="3" s="1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AD1" i="4"/>
  <c r="C7" i="2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<sst xmlns="http://schemas.openxmlformats.org/spreadsheetml/2006/main" count="852" uniqueCount="222">
  <si>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</si>
  <si>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</si>
  <si>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</si>
  <si>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</si>
  <si>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</si>
  <si>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</si>
  <si>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</si>
  <si>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</si>
  <si>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</si>
  <si>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</si>
  <si>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</si>
  <si>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</si>
  <si>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</si>
  <si>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</si>
  <si>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</si>
  <si>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</si>
  <si>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</si>
  <si>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</si>
  <si>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</si>
  <si>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</si>
  <si>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</si>
  <si>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</si>
  <si>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</si>
  <si>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</si>
  <si>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</si>
  <si>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</si>
  <si>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</si>
  <si>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</si>
  <si>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</si>
  <si>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</si>
  <si>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</si>
  <si>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</si>
  <si>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</si>
  <si>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</si>
  <si>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</si>
  <si>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</si>
  <si>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</si>
  <si>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</si>
  <si>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</si>
  <si>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</si>
  <si>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</si>
  <si>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</si>
  <si>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</si>
  <si>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</si>
  <si>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</si>
  <si>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</si>
  <si>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</si>
  <si>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</si>
  <si>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</si>
  <si>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</si>
  <si>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</si>
  <si>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</si>
  <si>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</si>
  <si>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</si>
  <si>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</si>
  <si>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</si>
  <si>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</si>
  <si>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</si>
  <si>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</si>
  <si>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</si>
  <si>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</si>
  <si>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</si>
  <si>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</si>
  <si>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</si>
  <si>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</si>
  <si>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</si>
  <si>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</si>
  <si>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</si>
  <si>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</si>
  <si>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</si>
  <si>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</si>
  <si>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</si>
  <si>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</si>
  <si>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</si>
  <si>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</si>
  <si>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</si>
  <si>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</si>
  <si>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</si>
  <si>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</si>
  <si>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</si>
  <si>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</si>
  <si>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</si>
  <si>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</si>
  <si>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</si>
  <si>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</si>
  <si>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</si>
  <si>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</si>
  <si>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</si>
  <si>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</si>
  <si>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</si>
  <si>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</si>
  <si>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</si>
  <si>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</si>
  <si>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</si>
  <si>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</si>
  <si>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</si>
  <si>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</si>
  <si>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</si>
  <si>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</si>
  <si>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</si>
  <si>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</si>
  <si>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</si>
  <si>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</si>
  <si>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</si>
  <si>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</si>
  <si>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</si>
  <si>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</si>
  <si>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</si>
  <si>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</si>
  <si>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</si>
  <si>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</si>
  <si>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</si>
  <si>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</si>
  <si>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</si>
  <si>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</si>
  <si>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</si>
  <si>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</si>
  <si>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</si>
  <si>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</si>
  <si>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</si>
  <si>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</si>
  <si>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</si>
  <si>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</si>
  <si>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</si>
  <si>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</si>
  <si>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</si>
  <si>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</si>
  <si>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</si>
  <si>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</si>
  <si>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</si>
  <si>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</si>
  <si>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</si>
  <si>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</si>
  <si>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</si>
  <si>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</si>
  <si>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</si>
  <si>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</si>
  <si>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</si>
  <si>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</si>
  <si>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</si>
  <si>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</si>
  <si>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</si>
  <si>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</si>
  <si>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</si>
  <si>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</si>
  <si>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</si>
  <si>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</si>
  <si>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</si>
  <si>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</si>
  <si>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</si>
  <si>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</si>
  <si>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</si>
  <si>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</si>
  <si>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</si>
  <si>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</si>
  <si>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</si>
  <si>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</si>
  <si>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</si>
  <si>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</si>
  <si>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</si>
  <si>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</si>
  <si>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</si>
  <si>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</si>
  <si>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</si>
  <si>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</si>
  <si>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</si>
  <si>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</si>
  <si>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</si>
  <si>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HFT</t>
  </si>
  <si>
    <t>06315338020659</t>
  </si>
  <si>
    <t>T</t>
  </si>
  <si>
    <t>COFCO INTERNATIONAL GRAINS LTDA</t>
  </si>
  <si>
    <t>HPT</t>
  </si>
  <si>
    <t>COFCO INTERNATIONAL BRASIL S.A.</t>
  </si>
  <si>
    <t>COFCO INTERNATIONAL BRASIL S A</t>
  </si>
  <si>
    <t>06.315.338/0206-59</t>
  </si>
  <si>
    <t>NOVA MUTUM</t>
  </si>
  <si>
    <t>PSS - SÃO SIMÃO</t>
  </si>
  <si>
    <t>TCS - CHAPADÃO DO SUL</t>
  </si>
  <si>
    <t>33.572.408/0002-78</t>
  </si>
  <si>
    <t>24.962.466/0005-60</t>
  </si>
  <si>
    <t>100 - ARM.12-A</t>
  </si>
  <si>
    <t>SOJA</t>
  </si>
  <si>
    <t>GN16639</t>
  </si>
  <si>
    <t>NFe51210306315338018166550010000299541702454930</t>
  </si>
  <si>
    <t>06.315.338/0181-66</t>
  </si>
  <si>
    <t>COFCO INTERNATIONAL BRASIL S.A</t>
  </si>
  <si>
    <t>CANARANA</t>
  </si>
  <si>
    <t>NFe51210306315338018166550010000299001951298176</t>
  </si>
  <si>
    <t>NFe51210306315338018166550010000299301263289904</t>
  </si>
  <si>
    <t>GN16638</t>
  </si>
  <si>
    <t>NFe51210206315338018166550010000297641254676120</t>
  </si>
  <si>
    <t>HTT</t>
  </si>
  <si>
    <t>GN16588</t>
  </si>
  <si>
    <t>NFe51210229332398000226550100001125941381111895</t>
  </si>
  <si>
    <t>29.332.398/0002-26</t>
  </si>
  <si>
    <t>RONDONOPOLIS</t>
  </si>
  <si>
    <t>NFe51210229332398000226550100001126001830828146</t>
  </si>
  <si>
    <t>NFe51210229332398000226550100001125611824421285</t>
  </si>
  <si>
    <t>NFe51210329332398000226550100001135631650143490</t>
  </si>
  <si>
    <t>NFe51210329332398000226550100001134761519772199</t>
  </si>
  <si>
    <t>NFe51210329332398000226550100001135201198178280</t>
  </si>
  <si>
    <t>NFe51210229332398000226550100001128311126174816</t>
  </si>
  <si>
    <t>GN28700</t>
  </si>
  <si>
    <t>NFe51210306315338020659550010000059261242046271</t>
  </si>
  <si>
    <t>NFe51210306315338020659550010000059241033153712</t>
  </si>
  <si>
    <t>NFe51210306315338020659550010000059351368400154</t>
  </si>
  <si>
    <t>NFe51210206315338020659550010000058841368480471</t>
  </si>
  <si>
    <t>NFe51210206315338020659550010000059171979809090</t>
  </si>
  <si>
    <t>NFe51210206315338020659550010000058801901592261</t>
  </si>
  <si>
    <t>NFe51210206315338020659550010000058621978461198</t>
  </si>
  <si>
    <t>2021 COFCO/SOJA/PSS X T12APSS - SÃO SIMÃO</t>
  </si>
  <si>
    <t>2021 COFCO/SOJA/TCS X T12ATCS - CHAPADÃO DO SUL</t>
  </si>
  <si>
    <t>2021 COFCO BRASIL S A/SOJA/TRO X ARM.12-ATRO - RONDONOPOLIS</t>
  </si>
  <si>
    <t>HFT7153112</t>
  </si>
  <si>
    <t>HPT0306231</t>
  </si>
  <si>
    <t>HTT3506258</t>
  </si>
  <si>
    <t>HPT0308269</t>
  </si>
  <si>
    <t>HPT8447144</t>
  </si>
  <si>
    <t>HFT8424047</t>
  </si>
  <si>
    <t>HPT8448949</t>
  </si>
  <si>
    <t>HFT8423008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</si>
</sst>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00,000"/>
    <numFmt numFmtId="166" formatCode="00,000"/>
    <numFmt numFmtId="171" formatCode="dd/mm/yyyy"/>
  </numFmts>
  <fonts count="23" x14ac:knownFonts="1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8" fillId="0" borderId="0" applyNumberForma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8" fillId="0" borderId="0" applyFont="0" applyFill="0" applyBorder="0" applyAlignment="0" applyProtection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11" fillId="2" borderId="0" applyNumberFormat="0" applyBorder="0" applyAlignment="0" applyProtection="0"/>
    <xf numFmtId="0" fontId="17" fillId="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</cellStyleXfs>
  <cellXfs count="53">
    <xf numFmtId="0" fontId="0" fillId="0" borderId="0" xfId="0" applyProtection="1">
      <alignment vertical="top"/>
      <protection locked="0"/>
    </xf>
    <xf numFmtId="0" fontId="0" fillId="0" borderId="0" xfId="0" applyAlignment="1"/>
    <xf numFmtId="0" fontId="4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right" vertical="top"/>
      <protection locked="0"/>
    </xf>
    <xf numFmtId="0" fontId="3" fillId="0" borderId="0" xfId="0" applyFont="1" applyAlignment="1"/>
    <xf numFmtId="49" fontId="0" fillId="0" borderId="0" xfId="0" applyNumberFormat="1" applyAlignment="1"/>
    <xf numFmtId="49" fontId="3" fillId="0" borderId="0" xfId="2" applyNumberFormat="1" applyFont="1"/>
    <xf numFmtId="0" fontId="5" fillId="0" borderId="0" xfId="0" applyFont="1" applyAlignment="1"/>
    <xf numFmtId="49" fontId="8" fillId="0" borderId="0" xfId="0" applyNumberFormat="1" applyFont="1" applyAlignment="1"/>
    <xf numFmtId="1" fontId="0" fillId="0" borderId="0" xfId="0" applyNumberFormat="1" applyProtection="1">
      <alignment vertical="top"/>
      <protection locked="0"/>
    </xf>
    <xf numFmtId="37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0" xfId="4" applyNumberFormat="1"/>
    <xf numFmtId="49" fontId="12" fillId="0" borderId="0" xfId="4" applyNumberFormat="1" applyFont="1"/>
    <xf numFmtId="1" fontId="2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5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1" applyFont="1" applyAlignment="1" applyProtection="1">
      <alignment horizontal="left" vertical="top"/>
      <protection locked="0"/>
    </xf>
    <xf numFmtId="0" fontId="16" fillId="0" borderId="0" xfId="1" applyFont="1" applyAlignment="1" applyProtection="1">
      <alignment horizontal="left" vertical="top"/>
      <protection locked="0"/>
    </xf>
    <xf numFmtId="0" fontId="5" fillId="0" borderId="0" xfId="3" applyFont="1"/>
    <xf numFmtId="49" fontId="13" fillId="0" borderId="0" xfId="3" applyNumberFormat="1"/>
    <xf numFmtId="49" fontId="8" fillId="0" borderId="0" xfId="3" applyNumberFormat="1" applyFont="1"/>
    <xf numFmtId="0" fontId="14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2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2" xfId="18" applyFont="1" applyFill="1" applyBorder="1" applyAlignment="1" applyProtection="1">
      <alignment horizontal="left" vertical="top"/>
      <protection locked="0"/>
    </xf>
    <xf numFmtId="0" fontId="1" fillId="5" borderId="2" xfId="18" applyFill="1" applyBorder="1" applyAlignment="1">
      <alignment horizontal="center"/>
    </xf>
    <xf numFmtId="0" fontId="13" fillId="5" borderId="2" xfId="3" applyFill="1" applyBorder="1" applyAlignment="1">
      <alignment horizontal="center"/>
    </xf>
    <xf numFmtId="0" fontId="0" fillId="5" borderId="2" xfId="0" applyFill="1" applyBorder="1" applyAlignment="1"/>
    <xf numFmtId="0" fontId="0" fillId="5" borderId="2" xfId="0" applyFill="1" applyBorder="1" applyAlignment="1">
      <alignment horizontal="center"/>
    </xf>
    <xf numFmtId="0" fontId="22" fillId="0" borderId="0" xfId="0" applyFont="1" applyAlignment="1"/>
    <xf numFmtId="22" fontId="0" fillId="0" borderId="0" xfId="0" applyNumberFormat="1" applyAlignment="1"/>
    <xf numFmtId="0" fontId="0" fillId="0" borderId="0" xfId="0" quotePrefix="1" applyAlignment="1"/>
    <xf numFmtId="0" fontId="8" fillId="0" borderId="0" xfId="3" applyNumberFormat="1" applyFont="1"/>
    <xf numFmtId="0" fontId="0" fillId="0" borderId="2" xfId="0" applyBorder="1" applyAlignment="1"/>
    <xf numFmtId="1" fontId="0" fillId="0" borderId="2" xfId="0" applyNumberFormat="1" applyBorder="1" applyAlignment="1"/>
    <xf numFmtId="166" fontId="0" fillId="0" borderId="2" xfId="0" applyNumberFormat="1" applyBorder="1" applyAlignment="1"/>
    <xf numFmtId="165" fontId="0" fillId="0" borderId="2" xfId="0" applyNumberFormat="1" applyBorder="1" applyAlignment="1"/>
    <xf numFmtId="22" fontId="0" fillId="0" borderId="2" xfId="0" applyNumberFormat="1" applyBorder="1" applyAlignment="1"/>
    <xf numFmtId="14" fontId="0" fillId="0" borderId="2" xfId="0" applyNumberFormat="1" applyBorder="1" applyAlignment="1"/>
    <xf numFmtId="171" fontId="0" fillId="0" borderId="2" xfId="0" applyNumberFormat="1" applyBorder="1" applyAlignment="1"/>
    <xf numFmtId="0" fontId="10" fillId="0" borderId="2" xfId="0" applyFont="1" applyBorder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66.380549074071" createdVersion="4" refreshedVersion="6" minRefreshableVersion="3" recordCount="19" xr:uid="{00000000-000A-0000-FFFF-FFFF1C000000}">
  <cacheSource type="worksheet">
    <worksheetSource name="=lista_Valores"/>
  </cacheSource>
  <cacheFields count="30">
    <cacheField name="C1" numFmtId="0">
      <sharedItems count="8">
        <s v="2021 COFCO/SOJA/PSS X T12APSS - SÃO SIMÃO"/>
        <s v="2021 COFCO/SOJA/TCS X T12ATCS - CHAPADÃO DO SUL"/>
        <s v="2021 COFCO BRASIL S A/SOJA/TRO X ARM.12-ATRO - RONDONOPOLIS"/>
        <s v="COFCO/MILHO/TRO-TGGTRO - RONDONOPOLIS" u="1"/>
        <s v="COFCO/MILHO/TRO x TGGTRO - RONDONOPOLIS" u="1"/>
        <s v="COFCO/MILHO/TRO-TGRAOTRO - RONDONOPOLIS" u="1"/>
        <s v="COFCO/MILHO/TRO-RUMOTRO - RONDONOPOLIS" u="1"/>
        <s v="COFCO/MILHO/TAG x TGGTAG - ALTO ARAGUAIA" u="1"/>
      </sharedItems>
    </cacheField>
    <cacheField name="C2" numFmtId="0">
      <sharedItems count="3">
        <s v="PSS - SÃO SIMÃO"/>
        <s v="TCS - CHAPADÃO DO SUL"/>
        <s v="TRO - RONDONOPOLIS"/>
      </sharedItems>
    </cacheField>
    <cacheField name="C3" numFmtId="0">
      <sharedItems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ntainsSemiMixedTypes="0" containsString="0" containsNumber="1" containsInteger="1" minValue="306231" maxValue="8448949"/>
    </cacheField>
    <cacheField name="C8" numFmtId="0">
      <sharedItems/>
    </cacheField>
    <cacheField name="C9" numFmtId="22">
      <sharedItems containsSemiMixedTypes="0" containsNonDate="0" containsDate="1" containsString="0" minDate="2021-03-02T21:09:21" maxDate="2021-03-08T09:33:42"/>
    </cacheField>
    <cacheField name="C10" numFmtId="14">
      <sharedItems containsSemiMixedTypes="0" containsNonDate="0" containsDate="1" containsString="0" minDate="2021-03-07T14:39:53" maxDate="2021-03-09T23:34:21"/>
    </cacheField>
    <cacheField name="C11" numFmtId="0">
      <sharedItems containsSemiMixedTypes="0" containsString="0" containsNumber="1" containsInteger="1" minValue="98260" maxValue="125294"/>
    </cacheField>
    <cacheField name="C12" numFmtId="0">
      <sharedItems containsSemiMixedTypes="0" containsString="0" containsNumber="1" containsInteger="1" minValue="24675" maxValue="30520"/>
    </cacheField>
    <cacheField name="C13" numFmtId="0">
      <sharedItems containsSemiMixedTypes="0" containsString="0" containsNumber="1" containsInteger="1" minValue="73585" maxValue="96824"/>
    </cacheField>
    <cacheField name="C14" numFmtId="0">
      <sharedItems/>
    </cacheField>
    <cacheField name="C15" numFmtId="22">
      <sharedItems containsSemiMixedTypes="0" containsNonDate="0" containsDate="1" containsString="0" minDate="2021-02-27T08:37:25" maxDate="2021-03-08T16:52:24"/>
    </cacheField>
    <cacheField name="C16" numFmtId="0">
      <sharedItems containsSemiMixedTypes="0" containsString="0" containsNumber="1" containsInteger="1" minValue="5862" maxValue="113563"/>
    </cacheField>
    <cacheField name="C17" numFmtId="0">
      <sharedItems containsSemiMixedTypes="0" containsString="0" containsNumber="1" containsInteger="1" minValue="1" maxValue="10"/>
    </cacheField>
    <cacheField name="C18" numFmtId="22">
      <sharedItems containsSemiMixedTypes="0" containsNonDate="0" containsDate="1" containsString="0" minDate="2021-02-23T14:55:11" maxDate="2021-03-04T06:57:35"/>
    </cacheField>
    <cacheField name="C19" numFmtId="0">
      <sharedItems/>
    </cacheField>
    <cacheField name="C20" numFmtId="0">
      <sharedItems containsSemiMixedTypes="0" containsString="0" containsNumber="1" containsInteger="1" minValue="35820" maxValue="50840"/>
    </cacheField>
    <cacheField name="C21" numFmtId="0">
      <sharedItems containsSemiMixedTypes="0" containsString="0" containsNumber="1" containsInteger="1" minValue="35820" maxValue="50840"/>
    </cacheField>
    <cacheField name="C22" numFmtId="0">
      <sharedItems containsSemiMixedTypes="0" containsString="0" containsNumber="1" containsInteger="1" minValue="2528" maxValue="50280"/>
    </cacheField>
    <cacheField name="C23" numFmtId="0">
      <sharedItems count="15">
        <s v="06.315.338/0181-66"/>
        <s v="29.332.398/0002-26"/>
        <s v="06.315.338/0206-59"/>
        <s v="29.332.398/0004-98" u="1"/>
        <s v="29.332.398/0007-30" u="1"/>
        <s v="06315338020659" u="1"/>
        <s v="29332398000579" u="1"/>
        <s v="29332398001036" u="1"/>
        <s v="29332398001389" u="1"/>
        <s v="06315338/0206-59" u="1"/>
        <s v="06.315.338/0184-09" u="1"/>
        <s v="06315338003134" u="1"/>
        <s v="29.332.398/0010-36" u="1"/>
        <s v="29.332.398/0005-79" u="1"/>
        <s v="06315338018247" u="1"/>
      </sharedItems>
    </cacheField>
    <cacheField name="C24" numFmtId="0">
      <sharedItems/>
    </cacheField>
    <cacheField name="C25" numFmtId="0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  <cacheField name="C29" numFmtId="22">
      <sharedItems containsSemiMixedTypes="0" containsNonDate="0" containsDate="1" containsString="0" minDate="2021-02-27T08:37:25" maxDate="2021-03-08T16:52:24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s v="COFCO INTERNATIONAL BRASIL S.A."/>
    <s v="100 - ARM.12-A"/>
    <s v="56.216.872/0001-46"/>
    <s v="SOJA"/>
    <n v="7153112"/>
    <s v="HFT"/>
    <d v="2021-03-05T10:18:51"/>
    <d v="2021-03-09T23:34:21"/>
    <n v="98260"/>
    <n v="24675"/>
    <n v="73585"/>
    <s v="GN16639"/>
    <d v="2021-03-05T20:25:29"/>
    <n v="29954"/>
    <n v="1"/>
    <d v="2021-03-04T06:57:35"/>
    <s v="NFe51210306315338018166550010000299541702454930"/>
    <n v="50450"/>
    <n v="50450"/>
    <n v="10553"/>
    <x v="0"/>
    <s v="COFCO INTERNATIONAL BRASIL S.A"/>
    <s v="CANARANA"/>
    <s v="06.315.338/0181-66"/>
    <s v="COFCO INTERNATIONAL BRASIL S A"/>
    <s v="CANARANA"/>
    <d v="2021-03-05T20:25:29"/>
    <s v="HFT7153112"/>
  </r>
  <r>
    <x v="0"/>
    <x v="0"/>
    <s v="COFCO INTERNATIONAL BRASIL S.A."/>
    <s v="100 - ARM.12-A"/>
    <s v="56.216.872/0001-46"/>
    <s v="SOJA"/>
    <n v="7153112"/>
    <s v="HFT"/>
    <d v="2021-03-05T10:18:51"/>
    <d v="2021-03-09T23:34:21"/>
    <n v="98260"/>
    <n v="24675"/>
    <n v="73585"/>
    <s v="GN16639"/>
    <d v="2021-03-05T04:16:13"/>
    <n v="29900"/>
    <n v="1"/>
    <d v="2021-03-02T08:52:30"/>
    <s v="NFe51210306315338018166550010000299001951298176"/>
    <n v="49820"/>
    <n v="49820"/>
    <n v="13722"/>
    <x v="0"/>
    <s v="COFCO INTERNATIONAL BRASIL S.A"/>
    <s v="CANARANA"/>
    <s v="06.315.338/0181-66"/>
    <s v="COFCO INTERNATIONAL BRASIL S A"/>
    <s v="CANARANA"/>
    <d v="2021-03-05T04:16:13"/>
    <s v="HFT7153112"/>
  </r>
  <r>
    <x v="0"/>
    <x v="0"/>
    <s v="COFCO INTERNATIONAL BRASIL S.A."/>
    <s v="100 - ARM.12-A"/>
    <s v="56.216.872/0001-46"/>
    <s v="SOJA"/>
    <n v="7153112"/>
    <s v="HFT"/>
    <d v="2021-03-05T10:18:51"/>
    <d v="2021-03-09T23:34:21"/>
    <n v="98260"/>
    <n v="24675"/>
    <n v="73585"/>
    <s v="GN16639"/>
    <d v="2021-03-05T12:15:13"/>
    <n v="29930"/>
    <n v="1"/>
    <d v="2021-03-02T19:43:38"/>
    <s v="NFe51210306315338018166550010000299301263289904"/>
    <n v="49310"/>
    <n v="49310"/>
    <n v="49310"/>
    <x v="0"/>
    <s v="COFCO INTERNATIONAL BRASIL S.A"/>
    <s v="CANARANA"/>
    <s v="06.315.338/0181-66"/>
    <s v="COFCO INTERNATIONAL BRASIL S A"/>
    <s v="CANARANA"/>
    <d v="2021-03-05T12:15:13"/>
    <s v="HFT7153112"/>
  </r>
  <r>
    <x v="0"/>
    <x v="0"/>
    <s v="COFCO INTERNATIONAL BRASIL S.A."/>
    <s v="100 - ARM.12-A"/>
    <s v="56.216.872/0001-46"/>
    <s v="SOJA"/>
    <n v="306231"/>
    <s v="HPT"/>
    <d v="2021-03-05T11:19:00"/>
    <d v="2021-03-09T20:58:05"/>
    <n v="120640"/>
    <n v="28330"/>
    <n v="92310"/>
    <s v="GN16638"/>
    <d v="2021-03-01T09:08:05"/>
    <n v="29764"/>
    <n v="1"/>
    <d v="2021-02-27T12:55:32"/>
    <s v="NFe51210206315338018166550010000297641254676120"/>
    <n v="49760"/>
    <n v="49760"/>
    <n v="23322"/>
    <x v="0"/>
    <s v="COFCO INTERNATIONAL BRASIL S.A"/>
    <s v="CANARANA"/>
    <s v="06.315.338/0181-66"/>
    <s v="COFCO INTERNATIONAL BRASIL S A"/>
    <s v="CANARANA"/>
    <d v="2021-03-01T09:08:05"/>
    <s v="HPT0306231"/>
  </r>
  <r>
    <x v="1"/>
    <x v="1"/>
    <s v="COFCO INTERNATIONAL GRAINS LTDA"/>
    <s v="100 - ARM.12-A"/>
    <s v="56.216.872/0001-46"/>
    <s v="SOJA"/>
    <n v="3506258"/>
    <s v="HTT"/>
    <d v="2021-03-08T08:13:41"/>
    <d v="2021-03-08T19:15:30"/>
    <n v="125294"/>
    <n v="28470"/>
    <n v="96824"/>
    <s v="GN16588"/>
    <d v="2021-03-08T16:52:24"/>
    <n v="112594"/>
    <n v="10"/>
    <d v="2021-02-23T17:04:39"/>
    <s v="NFe51210229332398000226550100001125941381111895"/>
    <n v="37540"/>
    <n v="37540"/>
    <n v="37540"/>
    <x v="1"/>
    <s v="COFCO INTERNATIONAL GRAINS LTDA"/>
    <s v="RONDONOPOLIS"/>
    <s v="29.332.398/0002-26"/>
    <s v="COFCO INTERNATIONAL GRAINS LTDA"/>
    <s v="RONDONOPOLIS"/>
    <d v="2021-03-08T16:52:24"/>
    <s v="HTT3506258"/>
  </r>
  <r>
    <x v="1"/>
    <x v="1"/>
    <s v="COFCO INTERNATIONAL GRAINS LTDA"/>
    <s v="100 - ARM.12-A"/>
    <s v="56.216.872/0001-46"/>
    <s v="SOJA"/>
    <n v="3506258"/>
    <s v="HTT"/>
    <d v="2021-03-08T08:13:41"/>
    <d v="2021-03-08T19:15:30"/>
    <n v="125294"/>
    <n v="28470"/>
    <n v="96824"/>
    <s v="GN16588"/>
    <d v="2021-03-08T16:52:24"/>
    <n v="112600"/>
    <n v="10"/>
    <d v="2021-02-23T17:22:10"/>
    <s v="NFe51210229332398000226550100001126001830828146"/>
    <n v="40000"/>
    <n v="40000"/>
    <n v="37472"/>
    <x v="1"/>
    <s v="COFCO INTERNATIONAL GRAINS LTDA"/>
    <s v="RONDONOPOLIS"/>
    <s v="29.332.398/0002-26"/>
    <s v="COFCO INTERNATIONAL GRAINS LTDA"/>
    <s v="RONDONOPOLIS"/>
    <d v="2021-03-08T16:52:24"/>
    <s v="HTT3506258"/>
  </r>
  <r>
    <x v="1"/>
    <x v="1"/>
    <s v="COFCO INTERNATIONAL GRAINS LTDA"/>
    <s v="100 - ARM.12-A"/>
    <s v="56.216.872/0001-46"/>
    <s v="SOJA"/>
    <n v="3506258"/>
    <s v="HTT"/>
    <d v="2021-03-08T08:13:41"/>
    <d v="2021-03-08T19:15:30"/>
    <n v="125294"/>
    <n v="28470"/>
    <n v="96824"/>
    <s v="GN16588"/>
    <d v="2021-03-08T16:52:24"/>
    <n v="112561"/>
    <n v="10"/>
    <d v="2021-02-23T14:55:11"/>
    <s v="NFe51210229332398000226550100001125611824421285"/>
    <n v="37960"/>
    <n v="37960"/>
    <n v="21812"/>
    <x v="1"/>
    <s v="COFCO INTERNATIONAL GRAINS LTDA"/>
    <s v="RONDONOPOLIS"/>
    <s v="29.332.398/0002-26"/>
    <s v="COFCO INTERNATIONAL GRAINS LTDA"/>
    <s v="RONDONOPOLIS"/>
    <d v="2021-03-08T16:52:24"/>
    <s v="HTT3506258"/>
  </r>
  <r>
    <x v="1"/>
    <x v="1"/>
    <s v="COFCO INTERNATIONAL GRAINS LTDA"/>
    <s v="100 - ARM.12-A"/>
    <s v="56.216.872/0001-46"/>
    <s v="SOJA"/>
    <n v="308269"/>
    <s v="HPT"/>
    <d v="2021-03-08T09:33:42"/>
    <d v="2021-03-08T19:15:26"/>
    <n v="124640"/>
    <n v="29500"/>
    <n v="95140"/>
    <s v="GN16588"/>
    <d v="2021-03-08T16:52:24"/>
    <n v="113563"/>
    <n v="10"/>
    <d v="2021-03-03T16:44:39"/>
    <s v="NFe51210329332398000226550100001135631650143490"/>
    <n v="50720"/>
    <n v="50720"/>
    <n v="23060"/>
    <x v="1"/>
    <s v="COFCO INTERNATIONAL GRAINS LTDA"/>
    <s v="RONDONOPOLIS"/>
    <s v="29.332.398/0002-26"/>
    <s v="COFCO INTERNATIONAL GRAINS LTDA"/>
    <s v="RONDONOPOLIS"/>
    <d v="2021-03-08T16:52:24"/>
    <s v="HPT0308269"/>
  </r>
  <r>
    <x v="1"/>
    <x v="1"/>
    <s v="COFCO INTERNATIONAL GRAINS LTDA"/>
    <s v="100 - ARM.12-A"/>
    <s v="56.216.872/0001-46"/>
    <s v="SOJA"/>
    <n v="308269"/>
    <s v="HPT"/>
    <d v="2021-03-08T09:33:42"/>
    <d v="2021-03-08T19:15:26"/>
    <n v="124640"/>
    <n v="29500"/>
    <n v="95140"/>
    <s v="GN16588"/>
    <d v="2021-03-08T16:52:24"/>
    <n v="113476"/>
    <n v="10"/>
    <d v="2021-03-02T19:18:06"/>
    <s v="NFe51210329332398000226550100001134761519772199"/>
    <n v="37620"/>
    <n v="37620"/>
    <n v="21800"/>
    <x v="1"/>
    <s v="COFCO INTERNATIONAL GRAINS LTDA"/>
    <s v="RONDONOPOLIS"/>
    <s v="29.332.398/0002-26"/>
    <s v="COFCO INTERNATIONAL GRAINS LTDA"/>
    <s v="RONDONOPOLIS"/>
    <d v="2021-03-08T16:52:24"/>
    <s v="HPT0308269"/>
  </r>
  <r>
    <x v="1"/>
    <x v="1"/>
    <s v="COFCO INTERNATIONAL GRAINS LTDA"/>
    <s v="100 - ARM.12-A"/>
    <s v="56.216.872/0001-46"/>
    <s v="SOJA"/>
    <n v="308269"/>
    <s v="HPT"/>
    <d v="2021-03-08T09:33:42"/>
    <d v="2021-03-08T19:15:26"/>
    <n v="124640"/>
    <n v="29500"/>
    <n v="95140"/>
    <s v="GN16588"/>
    <d v="2021-03-08T16:52:24"/>
    <n v="113520"/>
    <n v="10"/>
    <d v="2021-03-03T11:44:35"/>
    <s v="NFe51210329332398000226550100001135201198178280"/>
    <n v="50280"/>
    <n v="50280"/>
    <n v="50280"/>
    <x v="1"/>
    <s v="COFCO INTERNATIONAL GRAINS LTDA"/>
    <s v="RONDONOPOLIS"/>
    <s v="29.332.398/0002-26"/>
    <s v="COFCO INTERNATIONAL GRAINS LTDA"/>
    <s v="RONDONOPOLIS"/>
    <d v="2021-03-08T16:52:24"/>
    <s v="HPT0308269"/>
  </r>
  <r>
    <x v="1"/>
    <x v="1"/>
    <s v="COFCO INTERNATIONAL GRAINS LTDA"/>
    <s v="100 - ARM.12-A"/>
    <s v="56.216.872/0001-46"/>
    <s v="SOJA"/>
    <n v="8447144"/>
    <s v="HPT"/>
    <d v="2021-03-08T08:13:41"/>
    <d v="2021-03-08T19:15:26"/>
    <n v="124392"/>
    <n v="28720"/>
    <n v="95672"/>
    <s v="GN16588"/>
    <d v="2021-03-08T16:52:24"/>
    <n v="112600"/>
    <n v="10"/>
    <d v="2021-02-23T17:22:10"/>
    <s v="NFe51210229332398000226550100001126001830828146"/>
    <n v="40000"/>
    <n v="40000"/>
    <n v="2528"/>
    <x v="1"/>
    <s v="COFCO INTERNATIONAL GRAINS LTDA"/>
    <s v="RONDONOPOLIS"/>
    <s v="29.332.398/0002-26"/>
    <s v="COFCO INTERNATIONAL GRAINS LTDA"/>
    <s v="RONDONOPOLIS"/>
    <d v="2021-03-08T16:52:24"/>
    <s v="HPT8447144"/>
  </r>
  <r>
    <x v="1"/>
    <x v="1"/>
    <s v="COFCO INTERNATIONAL GRAINS LTDA"/>
    <s v="100 - ARM.12-A"/>
    <s v="56.216.872/0001-46"/>
    <s v="SOJA"/>
    <n v="8447144"/>
    <s v="HPT"/>
    <d v="2021-03-08T08:13:41"/>
    <d v="2021-03-08T19:15:26"/>
    <n v="124392"/>
    <n v="28720"/>
    <n v="95672"/>
    <s v="GN16588"/>
    <d v="2021-03-08T16:52:24"/>
    <n v="112831"/>
    <n v="10"/>
    <d v="2021-02-25T11:40:46"/>
    <s v="NFe51210229332398000226550100001128311126174816"/>
    <n v="38160"/>
    <n v="38160"/>
    <n v="10364"/>
    <x v="1"/>
    <s v="COFCO INTERNATIONAL GRAINS LTDA"/>
    <s v="RONDONOPOLIS"/>
    <s v="29.332.398/0002-26"/>
    <s v="COFCO INTERNATIONAL GRAINS LTDA"/>
    <s v="RONDONOPOLIS"/>
    <d v="2021-03-08T16:52:24"/>
    <s v="HPT8447144"/>
  </r>
  <r>
    <x v="2"/>
    <x v="2"/>
    <s v="COFCO INTERNATIONAL BRASIL S.A."/>
    <s v="100 - ARM.12-A"/>
    <s v="56.216.872/0001-46"/>
    <s v="SOJA"/>
    <n v="8424047"/>
    <s v="HFT"/>
    <d v="2021-03-02T21:54:49"/>
    <d v="2021-03-07T14:39:54"/>
    <n v="118520"/>
    <n v="30120"/>
    <n v="88400"/>
    <s v="GN28700"/>
    <d v="2021-03-02T17:10:04"/>
    <n v="5926"/>
    <n v="1"/>
    <d v="2021-03-01T14:09:26"/>
    <s v="NFe51210306315338020659550010000059261242046271"/>
    <n v="48820"/>
    <n v="48820"/>
    <n v="17476"/>
    <x v="2"/>
    <s v="COFCO INTERNATIONAL BRASIL S.A."/>
    <s v="NOVA MUTUM"/>
    <s v="06.315.338/0206-59"/>
    <s v="COFCO INTERNATIONAL BRASIL S A"/>
    <s v="NOVA MUTUM"/>
    <d v="2021-03-02T17:10:04"/>
    <s v="HFT8424047"/>
  </r>
  <r>
    <x v="2"/>
    <x v="2"/>
    <s v="COFCO INTERNATIONAL BRASIL S.A."/>
    <s v="100 - ARM.12-A"/>
    <s v="56.216.872/0001-46"/>
    <s v="SOJA"/>
    <n v="8424047"/>
    <s v="HFT"/>
    <d v="2021-03-02T21:54:49"/>
    <d v="2021-03-07T14:39:54"/>
    <n v="118520"/>
    <n v="30120"/>
    <n v="88400"/>
    <s v="GN28700"/>
    <d v="2021-03-02T17:14:43"/>
    <n v="5924"/>
    <n v="1"/>
    <d v="2021-03-01T12:40:35"/>
    <s v="NFe51210306315338020659550010000059241033153712"/>
    <n v="48880"/>
    <n v="48880"/>
    <n v="48700"/>
    <x v="2"/>
    <s v="COFCO INTERNATIONAL BRASIL S.A."/>
    <s v="NOVA MUTUM"/>
    <s v="06.315.338/0206-59"/>
    <s v="COFCO INTERNATIONAL BRASIL S A"/>
    <s v="NOVA MUTUM"/>
    <d v="2021-03-02T17:14:43"/>
    <s v="HFT8424047"/>
  </r>
  <r>
    <x v="2"/>
    <x v="2"/>
    <s v="COFCO INTERNATIONAL BRASIL S.A."/>
    <s v="100 - ARM.12-A"/>
    <s v="56.216.872/0001-46"/>
    <s v="SOJA"/>
    <n v="8424047"/>
    <s v="HFT"/>
    <d v="2021-03-02T21:54:49"/>
    <d v="2021-03-07T14:39:54"/>
    <n v="118520"/>
    <n v="30120"/>
    <n v="88400"/>
    <s v="GN28700"/>
    <d v="2021-03-02T18:16:00"/>
    <n v="5935"/>
    <n v="1"/>
    <d v="2021-03-01T16:23:02"/>
    <s v="NFe51210306315338020659550010000059351368400154"/>
    <n v="35820"/>
    <n v="35820"/>
    <n v="22224"/>
    <x v="2"/>
    <s v="COFCO INTERNATIONAL BRASIL S.A."/>
    <s v="NOVA MUTUM"/>
    <s v="06.315.338/0206-59"/>
    <s v="COFCO INTERNATIONAL BRASIL S A"/>
    <s v="NOVA MUTUM"/>
    <d v="2021-03-02T18:16:00"/>
    <s v="HFT8424047"/>
  </r>
  <r>
    <x v="2"/>
    <x v="2"/>
    <s v="COFCO INTERNATIONAL BRASIL S.A."/>
    <s v="100 - ARM.12-A"/>
    <s v="56.216.872/0001-46"/>
    <s v="SOJA"/>
    <n v="8448949"/>
    <s v="HPT"/>
    <d v="2021-03-02T21:28:48"/>
    <d v="2021-03-07T14:39:54"/>
    <n v="121192"/>
    <n v="28790"/>
    <n v="92402"/>
    <s v="GN28700"/>
    <d v="2021-02-28T03:54:37"/>
    <n v="5884"/>
    <n v="1"/>
    <d v="2021-02-26T15:43:07"/>
    <s v="NFe51210206315338020659550010000058841368480471"/>
    <n v="50500"/>
    <n v="50500"/>
    <n v="18066"/>
    <x v="2"/>
    <s v="COFCO INTERNATIONAL BRASIL S.A."/>
    <s v="NOVA MUTUM"/>
    <s v="06.315.338/0206-59"/>
    <s v="COFCO INTERNATIONAL BRASIL S A"/>
    <s v="NOVA MUTUM"/>
    <d v="2021-02-28T03:54:37"/>
    <s v="HPT8448949"/>
  </r>
  <r>
    <x v="2"/>
    <x v="2"/>
    <s v="COFCO INTERNATIONAL BRASIL S.A."/>
    <s v="100 - ARM.12-A"/>
    <s v="56.216.872/0001-46"/>
    <s v="SOJA"/>
    <n v="8448949"/>
    <s v="HPT"/>
    <d v="2021-03-02T21:28:48"/>
    <d v="2021-03-07T14:39:54"/>
    <n v="121192"/>
    <n v="28790"/>
    <n v="92402"/>
    <s v="GN28700"/>
    <d v="2021-03-01T15:34:04"/>
    <n v="5917"/>
    <n v="1"/>
    <d v="2021-02-28T20:03:39"/>
    <s v="NFe51210206315338020659550010000059171979809090"/>
    <n v="50840"/>
    <n v="50840"/>
    <n v="36546"/>
    <x v="2"/>
    <s v="COFCO INTERNATIONAL BRASIL S.A."/>
    <s v="NOVA MUTUM"/>
    <s v="06.315.338/0206-59"/>
    <s v="COFCO INTERNATIONAL BRASIL S A"/>
    <s v="NOVA MUTUM"/>
    <d v="2021-03-01T15:34:04"/>
    <s v="HPT8448949"/>
  </r>
  <r>
    <x v="2"/>
    <x v="2"/>
    <s v="COFCO INTERNATIONAL BRASIL S.A."/>
    <s v="100 - ARM.12-A"/>
    <s v="56.216.872/0001-46"/>
    <s v="SOJA"/>
    <n v="8448949"/>
    <s v="HPT"/>
    <d v="2021-03-02T21:28:48"/>
    <d v="2021-03-07T14:39:54"/>
    <n v="121192"/>
    <n v="28790"/>
    <n v="92402"/>
    <s v="GN28700"/>
    <d v="2021-02-28T04:36:44"/>
    <n v="5880"/>
    <n v="1"/>
    <d v="2021-02-26T13:37:30"/>
    <s v="NFe51210206315338020659550010000058801901592261"/>
    <n v="37940"/>
    <n v="37940"/>
    <n v="37790"/>
    <x v="2"/>
    <s v="COFCO INTERNATIONAL BRASIL S.A."/>
    <s v="NOVA MUTUM"/>
    <s v="06.315.338/0206-59"/>
    <s v="COFCO INTERNATIONAL BRASIL S A"/>
    <s v="NOVA MUTUM"/>
    <d v="2021-02-28T04:36:44"/>
    <s v="HPT8448949"/>
  </r>
  <r>
    <x v="2"/>
    <x v="2"/>
    <s v="COFCO INTERNATIONAL BRASIL S.A."/>
    <s v="100 - ARM.12-A"/>
    <s v="56.216.872/0001-46"/>
    <s v="SOJA"/>
    <n v="8423008"/>
    <s v="HFT"/>
    <d v="2021-03-02T21:09:21"/>
    <d v="2021-03-07T14:39:53"/>
    <n v="119259"/>
    <n v="30520"/>
    <n v="88739"/>
    <s v="GN28700"/>
    <d v="2021-02-27T08:37:25"/>
    <n v="5862"/>
    <n v="1"/>
    <d v="2021-02-25T16:52:38"/>
    <s v="NFe51210206315338020659550010000058621978461198"/>
    <n v="38010"/>
    <n v="38010"/>
    <n v="25583"/>
    <x v="2"/>
    <s v="COFCO INTERNATIONAL BRASIL S.A."/>
    <s v="NOVA MUTUM"/>
    <s v="06.315.338/0206-59"/>
    <s v="COFCO INTERNATIONAL BRASIL S A"/>
    <s v="NOVA MUTUM"/>
    <d v="2021-02-27T08:37:25"/>
    <s v="HFT8423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1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S8" firstHeaderRow="2" firstDataRow="2" firstDataCol="3"/>
  <pivotFields count="30">
    <pivotField axis="axisRow" compact="0" outline="0" showAll="0" defaultSubtotal="0">
      <items count="8">
        <item m="1" x="5"/>
        <item m="1" x="6"/>
        <item m="1" x="3"/>
        <item m="1" x="7"/>
        <item m="1" x="4"/>
        <item x="0"/>
        <item x="1"/>
        <item x="2"/>
      </items>
    </pivotField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axis="axisRow" compact="0" outline="0" showAll="0" defaultSubtotal="0">
      <items count="15">
        <item m="1" x="11"/>
        <item m="1" x="14"/>
        <item m="1" x="5"/>
        <item m="1" x="7"/>
        <item m="1" x="8"/>
        <item m="1" x="6"/>
        <item m="1" x="9"/>
        <item x="2"/>
        <item m="1" x="10"/>
        <item m="1" x="3"/>
        <item m="1" x="4"/>
        <item m="1" x="13"/>
        <item m="1" x="1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22"/>
    <field x="0"/>
    <field x="1"/>
  </rowFields>
  <rowItems count="3">
    <i>
      <x v="7"/>
      <x v="7"/>
      <x v="2"/>
    </i>
    <i>
      <x v="13"/>
      <x v="5"/>
      <x/>
    </i>
    <i>
      <x v="14"/>
      <x v="6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F34"/>
  <sheetViews>
    <sheetView showOutlineSymbols="0" workbookViewId="0">
      <selection sqref="A1:W19"/>
    </sheetView>
  </sheetViews>
  <sheetFormatPr defaultRowHeight="15" x14ac:dyDescent="0.25"/>
  <cols>
    <col min="1" max="1" width="23" style="1" bestFit="1" customWidth="1"/>
    <col min="2" max="8" width="9.140625" style="1"/>
    <col min="9" max="9" width="20.7109375" style="1" bestFit="1" customWidth="1"/>
    <col min="10" max="10" width="12.140625" style="1" bestFit="1" customWidth="1"/>
    <col min="11" max="16384" width="9.140625" style="1"/>
  </cols>
  <sheetData>
    <row r="1" spans="1:32" x14ac:dyDescent="0.25">
      <c r="A1" s="45" t="s">
        <v>211</v>
      </c>
      <c r="B1" s="45" t="s">
        <v>177</v>
      </c>
      <c r="C1" s="45" t="s">
        <v>173</v>
      </c>
      <c r="D1" s="45" t="s">
        <v>181</v>
      </c>
      <c r="E1" s="45" t="s">
        <v>7</v>
      </c>
      <c r="F1" s="45" t="s">
        <v>182</v>
      </c>
      <c r="G1" s="45">
        <v>7153112</v>
      </c>
      <c r="H1" s="45" t="s">
        <v>168</v>
      </c>
      <c r="I1" s="49">
        <v>44260.429756944446</v>
      </c>
      <c r="J1" s="50">
        <v>44264.982187499998</v>
      </c>
      <c r="K1" s="45">
        <v>98260</v>
      </c>
      <c r="L1" s="45">
        <v>24675</v>
      </c>
      <c r="M1" s="45">
        <v>73585</v>
      </c>
      <c r="N1" s="45" t="s">
        <v>183</v>
      </c>
      <c r="O1" s="49">
        <v>44260.851030092592</v>
      </c>
      <c r="P1" s="45">
        <v>29954</v>
      </c>
      <c r="Q1" s="45">
        <v>1</v>
      </c>
      <c r="R1" s="49">
        <v>44259.289988425924</v>
      </c>
      <c r="S1" s="45" t="s">
        <v>184</v>
      </c>
      <c r="T1" s="45">
        <v>50450</v>
      </c>
      <c r="U1" s="45">
        <v>50450</v>
      </c>
      <c r="V1" s="45">
        <v>10553</v>
      </c>
      <c r="W1" s="45" t="s">
        <v>185</v>
      </c>
      <c r="X1" s="45" t="s">
        <v>186</v>
      </c>
      <c r="Y1" s="45" t="s">
        <v>187</v>
      </c>
      <c r="Z1" s="45" t="s">
        <v>185</v>
      </c>
      <c r="AA1" s="45" t="s">
        <v>174</v>
      </c>
      <c r="AB1" s="45" t="s">
        <v>187</v>
      </c>
      <c r="AC1" s="49">
        <v>44260.851030092592</v>
      </c>
      <c r="AD1" s="45" t="str">
        <f t="shared" ref="AD1:AD19" si="0">H1&amp;TEXT(G1,"0000000")</f>
        <v>HFT7153112</v>
      </c>
      <c r="AE1" s="45" t="s">
        <v>177</v>
      </c>
      <c r="AF1" s="45">
        <v>1762142</v>
      </c>
    </row>
    <row r="2" spans="1:32" x14ac:dyDescent="0.25">
      <c r="A2" s="45" t="s">
        <v>211</v>
      </c>
      <c r="B2" s="45" t="s">
        <v>177</v>
      </c>
      <c r="C2" s="45" t="s">
        <v>173</v>
      </c>
      <c r="D2" s="45" t="s">
        <v>181</v>
      </c>
      <c r="E2" s="45" t="s">
        <v>7</v>
      </c>
      <c r="F2" s="45" t="s">
        <v>182</v>
      </c>
      <c r="G2" s="45">
        <v>7153112</v>
      </c>
      <c r="H2" s="45" t="s">
        <v>168</v>
      </c>
      <c r="I2" s="49">
        <v>44260.429756944446</v>
      </c>
      <c r="J2" s="50">
        <v>44264.982187499998</v>
      </c>
      <c r="K2" s="45">
        <v>98260</v>
      </c>
      <c r="L2" s="45">
        <v>24675</v>
      </c>
      <c r="M2" s="45">
        <v>73585</v>
      </c>
      <c r="N2" s="45" t="s">
        <v>183</v>
      </c>
      <c r="O2" s="49">
        <v>44260.177928240744</v>
      </c>
      <c r="P2" s="45">
        <v>29900</v>
      </c>
      <c r="Q2" s="45">
        <v>1</v>
      </c>
      <c r="R2" s="49">
        <v>44257.369791666664</v>
      </c>
      <c r="S2" s="45" t="s">
        <v>188</v>
      </c>
      <c r="T2" s="45">
        <v>49820</v>
      </c>
      <c r="U2" s="45">
        <v>49820</v>
      </c>
      <c r="V2" s="45">
        <v>13722</v>
      </c>
      <c r="W2" s="45" t="s">
        <v>185</v>
      </c>
      <c r="X2" s="45" t="s">
        <v>186</v>
      </c>
      <c r="Y2" s="45" t="s">
        <v>187</v>
      </c>
      <c r="Z2" s="45" t="s">
        <v>185</v>
      </c>
      <c r="AA2" s="45" t="s">
        <v>174</v>
      </c>
      <c r="AB2" s="45" t="s">
        <v>187</v>
      </c>
      <c r="AC2" s="49">
        <v>44260.177928240744</v>
      </c>
      <c r="AD2" s="45" t="str">
        <f t="shared" si="0"/>
        <v>HFT7153112</v>
      </c>
      <c r="AE2" s="45" t="s">
        <v>177</v>
      </c>
      <c r="AF2" s="45">
        <v>1762142</v>
      </c>
    </row>
    <row r="3" spans="1:32" x14ac:dyDescent="0.25">
      <c r="A3" s="45" t="s">
        <v>211</v>
      </c>
      <c r="B3" s="45" t="s">
        <v>177</v>
      </c>
      <c r="C3" s="45" t="s">
        <v>173</v>
      </c>
      <c r="D3" s="45" t="s">
        <v>181</v>
      </c>
      <c r="E3" s="45" t="s">
        <v>7</v>
      </c>
      <c r="F3" s="45" t="s">
        <v>182</v>
      </c>
      <c r="G3" s="45">
        <v>7153112</v>
      </c>
      <c r="H3" s="45" t="s">
        <v>168</v>
      </c>
      <c r="I3" s="49">
        <v>44260.429756944446</v>
      </c>
      <c r="J3" s="50">
        <v>44264.982187499998</v>
      </c>
      <c r="K3" s="45">
        <v>98260</v>
      </c>
      <c r="L3" s="45">
        <v>24675</v>
      </c>
      <c r="M3" s="45">
        <v>73585</v>
      </c>
      <c r="N3" s="45" t="s">
        <v>183</v>
      </c>
      <c r="O3" s="49">
        <v>44260.510567129626</v>
      </c>
      <c r="P3" s="45">
        <v>29930</v>
      </c>
      <c r="Q3" s="45">
        <v>1</v>
      </c>
      <c r="R3" s="49">
        <v>44257.821967592594</v>
      </c>
      <c r="S3" s="45" t="s">
        <v>189</v>
      </c>
      <c r="T3" s="45">
        <v>49310</v>
      </c>
      <c r="U3" s="45">
        <v>49310</v>
      </c>
      <c r="V3" s="45">
        <v>49310</v>
      </c>
      <c r="W3" s="45" t="s">
        <v>185</v>
      </c>
      <c r="X3" s="45" t="s">
        <v>186</v>
      </c>
      <c r="Y3" s="45" t="s">
        <v>187</v>
      </c>
      <c r="Z3" s="45" t="s">
        <v>185</v>
      </c>
      <c r="AA3" s="45" t="s">
        <v>174</v>
      </c>
      <c r="AB3" s="45" t="s">
        <v>187</v>
      </c>
      <c r="AC3" s="49">
        <v>44260.510567129626</v>
      </c>
      <c r="AD3" s="45" t="str">
        <f t="shared" si="0"/>
        <v>HFT7153112</v>
      </c>
      <c r="AE3" s="45" t="s">
        <v>177</v>
      </c>
      <c r="AF3" s="45">
        <v>1762142</v>
      </c>
    </row>
    <row r="4" spans="1:32" x14ac:dyDescent="0.25">
      <c r="A4" s="45" t="s">
        <v>211</v>
      </c>
      <c r="B4" s="45" t="s">
        <v>177</v>
      </c>
      <c r="C4" s="45" t="s">
        <v>173</v>
      </c>
      <c r="D4" s="45" t="s">
        <v>181</v>
      </c>
      <c r="E4" s="45" t="s">
        <v>7</v>
      </c>
      <c r="F4" s="45" t="s">
        <v>182</v>
      </c>
      <c r="G4" s="45">
        <v>306231</v>
      </c>
      <c r="H4" s="45" t="s">
        <v>172</v>
      </c>
      <c r="I4" s="49">
        <v>44260.47152777778</v>
      </c>
      <c r="J4" s="50">
        <v>44264.873668981483</v>
      </c>
      <c r="K4" s="45">
        <v>120640</v>
      </c>
      <c r="L4" s="45">
        <v>28330</v>
      </c>
      <c r="M4" s="45">
        <v>92310</v>
      </c>
      <c r="N4" s="45" t="s">
        <v>190</v>
      </c>
      <c r="O4" s="49">
        <v>44256.380613425928</v>
      </c>
      <c r="P4" s="45">
        <v>29764</v>
      </c>
      <c r="Q4" s="45">
        <v>1</v>
      </c>
      <c r="R4" s="49">
        <v>44254.538564814815</v>
      </c>
      <c r="S4" s="45" t="s">
        <v>191</v>
      </c>
      <c r="T4" s="45">
        <v>49760</v>
      </c>
      <c r="U4" s="45">
        <v>49760</v>
      </c>
      <c r="V4" s="45">
        <v>23322</v>
      </c>
      <c r="W4" s="45" t="s">
        <v>185</v>
      </c>
      <c r="X4" s="45" t="s">
        <v>186</v>
      </c>
      <c r="Y4" s="45" t="s">
        <v>187</v>
      </c>
      <c r="Z4" s="45" t="s">
        <v>185</v>
      </c>
      <c r="AA4" s="45" t="s">
        <v>174</v>
      </c>
      <c r="AB4" s="45" t="s">
        <v>187</v>
      </c>
      <c r="AC4" s="49">
        <v>44256.380613425928</v>
      </c>
      <c r="AD4" s="45" t="str">
        <f t="shared" si="0"/>
        <v>HPT0306231</v>
      </c>
      <c r="AE4" s="45" t="s">
        <v>177</v>
      </c>
      <c r="AF4" s="45">
        <v>1762142</v>
      </c>
    </row>
    <row r="5" spans="1:32" x14ac:dyDescent="0.25">
      <c r="A5" s="45" t="s">
        <v>212</v>
      </c>
      <c r="B5" s="45" t="s">
        <v>178</v>
      </c>
      <c r="C5" s="45" t="s">
        <v>171</v>
      </c>
      <c r="D5" s="45" t="s">
        <v>181</v>
      </c>
      <c r="E5" s="45" t="s">
        <v>7</v>
      </c>
      <c r="F5" s="45" t="s">
        <v>182</v>
      </c>
      <c r="G5" s="45">
        <v>3506258</v>
      </c>
      <c r="H5" s="45" t="s">
        <v>192</v>
      </c>
      <c r="I5" s="49">
        <v>44263.342835648145</v>
      </c>
      <c r="J5" s="50">
        <v>44263.802430555559</v>
      </c>
      <c r="K5" s="45">
        <v>125294</v>
      </c>
      <c r="L5" s="45">
        <v>28470</v>
      </c>
      <c r="M5" s="45">
        <v>96824</v>
      </c>
      <c r="N5" s="45" t="s">
        <v>193</v>
      </c>
      <c r="O5" s="49">
        <v>44263.703055555554</v>
      </c>
      <c r="P5" s="45">
        <v>112594</v>
      </c>
      <c r="Q5" s="45">
        <v>10</v>
      </c>
      <c r="R5" s="49">
        <v>44250.711562500001</v>
      </c>
      <c r="S5" s="45" t="s">
        <v>194</v>
      </c>
      <c r="T5" s="45">
        <v>37540</v>
      </c>
      <c r="U5" s="45">
        <v>37540</v>
      </c>
      <c r="V5" s="45">
        <v>37540</v>
      </c>
      <c r="W5" s="45" t="s">
        <v>195</v>
      </c>
      <c r="X5" s="45" t="s">
        <v>171</v>
      </c>
      <c r="Y5" s="45" t="s">
        <v>196</v>
      </c>
      <c r="Z5" s="45" t="s">
        <v>195</v>
      </c>
      <c r="AA5" s="45" t="s">
        <v>171</v>
      </c>
      <c r="AB5" s="45" t="s">
        <v>196</v>
      </c>
      <c r="AC5" s="49">
        <v>44263.703055555554</v>
      </c>
      <c r="AD5" s="45" t="str">
        <f t="shared" si="0"/>
        <v>HTT3506258</v>
      </c>
      <c r="AE5" s="45" t="s">
        <v>178</v>
      </c>
      <c r="AF5" s="45">
        <v>1762623</v>
      </c>
    </row>
    <row r="6" spans="1:32" x14ac:dyDescent="0.25">
      <c r="A6" s="45" t="s">
        <v>212</v>
      </c>
      <c r="B6" s="45" t="s">
        <v>178</v>
      </c>
      <c r="C6" s="45" t="s">
        <v>171</v>
      </c>
      <c r="D6" s="45" t="s">
        <v>181</v>
      </c>
      <c r="E6" s="45" t="s">
        <v>7</v>
      </c>
      <c r="F6" s="45" t="s">
        <v>182</v>
      </c>
      <c r="G6" s="45">
        <v>3506258</v>
      </c>
      <c r="H6" s="45" t="s">
        <v>192</v>
      </c>
      <c r="I6" s="49">
        <v>44263.342835648145</v>
      </c>
      <c r="J6" s="50">
        <v>44263.802430555559</v>
      </c>
      <c r="K6" s="45">
        <v>125294</v>
      </c>
      <c r="L6" s="45">
        <v>28470</v>
      </c>
      <c r="M6" s="45">
        <v>96824</v>
      </c>
      <c r="N6" s="45" t="s">
        <v>193</v>
      </c>
      <c r="O6" s="49">
        <v>44263.703055555554</v>
      </c>
      <c r="P6" s="45">
        <v>112600</v>
      </c>
      <c r="Q6" s="45">
        <v>10</v>
      </c>
      <c r="R6" s="49">
        <v>44250.723726851851</v>
      </c>
      <c r="S6" s="45" t="s">
        <v>197</v>
      </c>
      <c r="T6" s="45">
        <v>40000</v>
      </c>
      <c r="U6" s="45">
        <v>40000</v>
      </c>
      <c r="V6" s="45">
        <v>37472</v>
      </c>
      <c r="W6" s="45" t="s">
        <v>195</v>
      </c>
      <c r="X6" s="45" t="s">
        <v>171</v>
      </c>
      <c r="Y6" s="45" t="s">
        <v>196</v>
      </c>
      <c r="Z6" s="45" t="s">
        <v>195</v>
      </c>
      <c r="AA6" s="45" t="s">
        <v>171</v>
      </c>
      <c r="AB6" s="45" t="s">
        <v>196</v>
      </c>
      <c r="AC6" s="49">
        <v>44263.703055555554</v>
      </c>
      <c r="AD6" s="45" t="str">
        <f t="shared" si="0"/>
        <v>HTT3506258</v>
      </c>
      <c r="AE6" s="45" t="s">
        <v>178</v>
      </c>
      <c r="AF6" s="45">
        <v>1762623</v>
      </c>
    </row>
    <row r="7" spans="1:32" x14ac:dyDescent="0.25">
      <c r="A7" s="45" t="s">
        <v>212</v>
      </c>
      <c r="B7" s="45" t="s">
        <v>178</v>
      </c>
      <c r="C7" s="45" t="s">
        <v>171</v>
      </c>
      <c r="D7" s="45" t="s">
        <v>181</v>
      </c>
      <c r="E7" s="45" t="s">
        <v>7</v>
      </c>
      <c r="F7" s="45" t="s">
        <v>182</v>
      </c>
      <c r="G7" s="45">
        <v>3506258</v>
      </c>
      <c r="H7" s="45" t="s">
        <v>192</v>
      </c>
      <c r="I7" s="49">
        <v>44263.342835648145</v>
      </c>
      <c r="J7" s="50">
        <v>44263.802430555559</v>
      </c>
      <c r="K7" s="45">
        <v>125294</v>
      </c>
      <c r="L7" s="45">
        <v>28470</v>
      </c>
      <c r="M7" s="45">
        <v>96824</v>
      </c>
      <c r="N7" s="45" t="s">
        <v>193</v>
      </c>
      <c r="O7" s="49">
        <v>44263.703055555554</v>
      </c>
      <c r="P7" s="45">
        <v>112561</v>
      </c>
      <c r="Q7" s="45">
        <v>10</v>
      </c>
      <c r="R7" s="49">
        <v>44250.621655092589</v>
      </c>
      <c r="S7" s="45" t="s">
        <v>198</v>
      </c>
      <c r="T7" s="45">
        <v>37960</v>
      </c>
      <c r="U7" s="45">
        <v>37960</v>
      </c>
      <c r="V7" s="45">
        <v>21812</v>
      </c>
      <c r="W7" s="45" t="s">
        <v>195</v>
      </c>
      <c r="X7" s="45" t="s">
        <v>171</v>
      </c>
      <c r="Y7" s="45" t="s">
        <v>196</v>
      </c>
      <c r="Z7" s="45" t="s">
        <v>195</v>
      </c>
      <c r="AA7" s="45" t="s">
        <v>171</v>
      </c>
      <c r="AB7" s="45" t="s">
        <v>196</v>
      </c>
      <c r="AC7" s="49">
        <v>44263.703055555554</v>
      </c>
      <c r="AD7" s="45" t="str">
        <f t="shared" si="0"/>
        <v>HTT3506258</v>
      </c>
      <c r="AE7" s="45" t="s">
        <v>178</v>
      </c>
      <c r="AF7" s="45">
        <v>1762623</v>
      </c>
    </row>
    <row r="8" spans="1:32" x14ac:dyDescent="0.25">
      <c r="A8" s="45" t="s">
        <v>212</v>
      </c>
      <c r="B8" s="45" t="s">
        <v>178</v>
      </c>
      <c r="C8" s="45" t="s">
        <v>171</v>
      </c>
      <c r="D8" s="45" t="s">
        <v>181</v>
      </c>
      <c r="E8" s="45" t="s">
        <v>7</v>
      </c>
      <c r="F8" s="45" t="s">
        <v>182</v>
      </c>
      <c r="G8" s="45">
        <v>308269</v>
      </c>
      <c r="H8" s="45" t="s">
        <v>172</v>
      </c>
      <c r="I8" s="49">
        <v>44263.398402777777</v>
      </c>
      <c r="J8" s="50">
        <v>44263.802384259259</v>
      </c>
      <c r="K8" s="45">
        <v>124640</v>
      </c>
      <c r="L8" s="45">
        <v>29500</v>
      </c>
      <c r="M8" s="45">
        <v>95140</v>
      </c>
      <c r="N8" s="45" t="s">
        <v>193</v>
      </c>
      <c r="O8" s="49">
        <v>44263.703055555554</v>
      </c>
      <c r="P8" s="45">
        <v>113563</v>
      </c>
      <c r="Q8" s="45">
        <v>10</v>
      </c>
      <c r="R8" s="49">
        <v>44258.69767361111</v>
      </c>
      <c r="S8" s="45" t="s">
        <v>199</v>
      </c>
      <c r="T8" s="45">
        <v>50720</v>
      </c>
      <c r="U8" s="45">
        <v>50720</v>
      </c>
      <c r="V8" s="45">
        <v>23060</v>
      </c>
      <c r="W8" s="45" t="s">
        <v>195</v>
      </c>
      <c r="X8" s="45" t="s">
        <v>171</v>
      </c>
      <c r="Y8" s="45" t="s">
        <v>196</v>
      </c>
      <c r="Z8" s="45" t="s">
        <v>195</v>
      </c>
      <c r="AA8" s="45" t="s">
        <v>171</v>
      </c>
      <c r="AB8" s="45" t="s">
        <v>196</v>
      </c>
      <c r="AC8" s="49">
        <v>44263.703055555554</v>
      </c>
      <c r="AD8" s="45" t="str">
        <f t="shared" si="0"/>
        <v>HPT0308269</v>
      </c>
      <c r="AE8" s="45" t="s">
        <v>178</v>
      </c>
      <c r="AF8" s="45">
        <v>1762623</v>
      </c>
    </row>
    <row r="9" spans="1:32" x14ac:dyDescent="0.25">
      <c r="A9" s="45" t="s">
        <v>212</v>
      </c>
      <c r="B9" s="45" t="s">
        <v>178</v>
      </c>
      <c r="C9" s="45" t="s">
        <v>171</v>
      </c>
      <c r="D9" s="45" t="s">
        <v>181</v>
      </c>
      <c r="E9" s="45" t="s">
        <v>7</v>
      </c>
      <c r="F9" s="45" t="s">
        <v>182</v>
      </c>
      <c r="G9" s="45">
        <v>308269</v>
      </c>
      <c r="H9" s="45" t="s">
        <v>172</v>
      </c>
      <c r="I9" s="49">
        <v>44263.398402777777</v>
      </c>
      <c r="J9" s="50">
        <v>44263.802384259259</v>
      </c>
      <c r="K9" s="45">
        <v>124640</v>
      </c>
      <c r="L9" s="45">
        <v>29500</v>
      </c>
      <c r="M9" s="45">
        <v>95140</v>
      </c>
      <c r="N9" s="45" t="s">
        <v>193</v>
      </c>
      <c r="O9" s="49">
        <v>44263.703055555554</v>
      </c>
      <c r="P9" s="45">
        <v>113476</v>
      </c>
      <c r="Q9" s="45">
        <v>10</v>
      </c>
      <c r="R9" s="49">
        <v>44257.804236111115</v>
      </c>
      <c r="S9" s="45" t="s">
        <v>200</v>
      </c>
      <c r="T9" s="45">
        <v>37620</v>
      </c>
      <c r="U9" s="45">
        <v>37620</v>
      </c>
      <c r="V9" s="45">
        <v>21800</v>
      </c>
      <c r="W9" s="45" t="s">
        <v>195</v>
      </c>
      <c r="X9" s="45" t="s">
        <v>171</v>
      </c>
      <c r="Y9" s="45" t="s">
        <v>196</v>
      </c>
      <c r="Z9" s="45" t="s">
        <v>195</v>
      </c>
      <c r="AA9" s="45" t="s">
        <v>171</v>
      </c>
      <c r="AB9" s="45" t="s">
        <v>196</v>
      </c>
      <c r="AC9" s="49">
        <v>44263.703055555554</v>
      </c>
      <c r="AD9" s="45" t="str">
        <f t="shared" si="0"/>
        <v>HPT0308269</v>
      </c>
      <c r="AE9" s="45" t="s">
        <v>178</v>
      </c>
      <c r="AF9" s="45">
        <v>1762623</v>
      </c>
    </row>
    <row r="10" spans="1:32" x14ac:dyDescent="0.25">
      <c r="A10" s="45" t="s">
        <v>212</v>
      </c>
      <c r="B10" s="45" t="s">
        <v>178</v>
      </c>
      <c r="C10" s="45" t="s">
        <v>171</v>
      </c>
      <c r="D10" s="45" t="s">
        <v>181</v>
      </c>
      <c r="E10" s="45" t="s">
        <v>7</v>
      </c>
      <c r="F10" s="45" t="s">
        <v>182</v>
      </c>
      <c r="G10" s="45">
        <v>308269</v>
      </c>
      <c r="H10" s="45" t="s">
        <v>172</v>
      </c>
      <c r="I10" s="49">
        <v>44263.398402777777</v>
      </c>
      <c r="J10" s="50">
        <v>44263.802384259259</v>
      </c>
      <c r="K10" s="45">
        <v>124640</v>
      </c>
      <c r="L10" s="45">
        <v>29500</v>
      </c>
      <c r="M10" s="45">
        <v>95140</v>
      </c>
      <c r="N10" s="45" t="s">
        <v>193</v>
      </c>
      <c r="O10" s="49">
        <v>44263.703055555554</v>
      </c>
      <c r="P10" s="45">
        <v>113520</v>
      </c>
      <c r="Q10" s="45">
        <v>10</v>
      </c>
      <c r="R10" s="49">
        <v>44258.489293981482</v>
      </c>
      <c r="S10" s="45" t="s">
        <v>201</v>
      </c>
      <c r="T10" s="45">
        <v>50280</v>
      </c>
      <c r="U10" s="45">
        <v>50280</v>
      </c>
      <c r="V10" s="45">
        <v>50280</v>
      </c>
      <c r="W10" s="45" t="s">
        <v>195</v>
      </c>
      <c r="X10" s="45" t="s">
        <v>171</v>
      </c>
      <c r="Y10" s="45" t="s">
        <v>196</v>
      </c>
      <c r="Z10" s="45" t="s">
        <v>195</v>
      </c>
      <c r="AA10" s="45" t="s">
        <v>171</v>
      </c>
      <c r="AB10" s="45" t="s">
        <v>196</v>
      </c>
      <c r="AC10" s="49">
        <v>44263.703055555554</v>
      </c>
      <c r="AD10" s="45" t="str">
        <f t="shared" si="0"/>
        <v>HPT0308269</v>
      </c>
      <c r="AE10" s="45" t="s">
        <v>178</v>
      </c>
      <c r="AF10" s="45">
        <v>1762623</v>
      </c>
    </row>
    <row r="11" spans="1:32" x14ac:dyDescent="0.25">
      <c r="A11" s="45" t="s">
        <v>212</v>
      </c>
      <c r="B11" s="45" t="s">
        <v>178</v>
      </c>
      <c r="C11" s="45" t="s">
        <v>171</v>
      </c>
      <c r="D11" s="45" t="s">
        <v>181</v>
      </c>
      <c r="E11" s="45" t="s">
        <v>7</v>
      </c>
      <c r="F11" s="45" t="s">
        <v>182</v>
      </c>
      <c r="G11" s="45">
        <v>8447144</v>
      </c>
      <c r="H11" s="45" t="s">
        <v>172</v>
      </c>
      <c r="I11" s="49">
        <v>44263.342835648145</v>
      </c>
      <c r="J11" s="50">
        <v>44263.802384259259</v>
      </c>
      <c r="K11" s="45">
        <v>124392</v>
      </c>
      <c r="L11" s="45">
        <v>28720</v>
      </c>
      <c r="M11" s="45">
        <v>95672</v>
      </c>
      <c r="N11" s="45" t="s">
        <v>193</v>
      </c>
      <c r="O11" s="49">
        <v>44263.703055555554</v>
      </c>
      <c r="P11" s="45">
        <v>112600</v>
      </c>
      <c r="Q11" s="45">
        <v>10</v>
      </c>
      <c r="R11" s="49">
        <v>44250.723726851851</v>
      </c>
      <c r="S11" s="45" t="s">
        <v>197</v>
      </c>
      <c r="T11" s="45">
        <v>40000</v>
      </c>
      <c r="U11" s="45">
        <v>40000</v>
      </c>
      <c r="V11" s="45">
        <v>2528</v>
      </c>
      <c r="W11" s="45" t="s">
        <v>195</v>
      </c>
      <c r="X11" s="45" t="s">
        <v>171</v>
      </c>
      <c r="Y11" s="45" t="s">
        <v>196</v>
      </c>
      <c r="Z11" s="45" t="s">
        <v>195</v>
      </c>
      <c r="AA11" s="45" t="s">
        <v>171</v>
      </c>
      <c r="AB11" s="45" t="s">
        <v>196</v>
      </c>
      <c r="AC11" s="49">
        <v>44263.703055555554</v>
      </c>
      <c r="AD11" s="45" t="str">
        <f t="shared" si="0"/>
        <v>HPT8447144</v>
      </c>
      <c r="AE11" s="45" t="s">
        <v>178</v>
      </c>
      <c r="AF11" s="45">
        <v>1762623</v>
      </c>
    </row>
    <row r="12" spans="1:32" x14ac:dyDescent="0.25">
      <c r="A12" s="45" t="s">
        <v>212</v>
      </c>
      <c r="B12" s="45" t="s">
        <v>178</v>
      </c>
      <c r="C12" s="45" t="s">
        <v>171</v>
      </c>
      <c r="D12" s="45" t="s">
        <v>181</v>
      </c>
      <c r="E12" s="45" t="s">
        <v>7</v>
      </c>
      <c r="F12" s="45" t="s">
        <v>182</v>
      </c>
      <c r="G12" s="45">
        <v>8447144</v>
      </c>
      <c r="H12" s="45" t="s">
        <v>172</v>
      </c>
      <c r="I12" s="49">
        <v>44263.342835648145</v>
      </c>
      <c r="J12" s="50">
        <v>44263.802384259259</v>
      </c>
      <c r="K12" s="45">
        <v>124392</v>
      </c>
      <c r="L12" s="45">
        <v>28720</v>
      </c>
      <c r="M12" s="45">
        <v>95672</v>
      </c>
      <c r="N12" s="45" t="s">
        <v>193</v>
      </c>
      <c r="O12" s="49">
        <v>44263.703055555554</v>
      </c>
      <c r="P12" s="45">
        <v>112831</v>
      </c>
      <c r="Q12" s="45">
        <v>10</v>
      </c>
      <c r="R12" s="49">
        <v>44252.486643518518</v>
      </c>
      <c r="S12" s="45" t="s">
        <v>202</v>
      </c>
      <c r="T12" s="45">
        <v>38160</v>
      </c>
      <c r="U12" s="45">
        <v>38160</v>
      </c>
      <c r="V12" s="45">
        <v>10364</v>
      </c>
      <c r="W12" s="45" t="s">
        <v>195</v>
      </c>
      <c r="X12" s="45" t="s">
        <v>171</v>
      </c>
      <c r="Y12" s="45" t="s">
        <v>196</v>
      </c>
      <c r="Z12" s="45" t="s">
        <v>195</v>
      </c>
      <c r="AA12" s="45" t="s">
        <v>171</v>
      </c>
      <c r="AB12" s="45" t="s">
        <v>196</v>
      </c>
      <c r="AC12" s="49">
        <v>44263.703055555554</v>
      </c>
      <c r="AD12" s="45" t="str">
        <f t="shared" si="0"/>
        <v>HPT8447144</v>
      </c>
      <c r="AE12" s="45" t="s">
        <v>178</v>
      </c>
      <c r="AF12" s="45">
        <v>1762623</v>
      </c>
    </row>
    <row r="13" spans="1:32" x14ac:dyDescent="0.25">
      <c r="A13" s="45" t="s">
        <v>213</v>
      </c>
      <c r="B13" s="45" t="s">
        <v>167</v>
      </c>
      <c r="C13" s="45" t="s">
        <v>173</v>
      </c>
      <c r="D13" s="45" t="s">
        <v>181</v>
      </c>
      <c r="E13" s="45" t="s">
        <v>7</v>
      </c>
      <c r="F13" s="45" t="s">
        <v>182</v>
      </c>
      <c r="G13" s="45">
        <v>8424047</v>
      </c>
      <c r="H13" s="45" t="s">
        <v>168</v>
      </c>
      <c r="I13" s="49">
        <v>44257.91306712963</v>
      </c>
      <c r="J13" s="50">
        <v>44262.611041666663</v>
      </c>
      <c r="K13" s="45">
        <v>118520</v>
      </c>
      <c r="L13" s="45">
        <v>30120</v>
      </c>
      <c r="M13" s="45">
        <v>88400</v>
      </c>
      <c r="N13" s="45" t="s">
        <v>203</v>
      </c>
      <c r="O13" s="49">
        <v>44257.715324074074</v>
      </c>
      <c r="P13" s="45">
        <v>5926</v>
      </c>
      <c r="Q13" s="45">
        <v>1</v>
      </c>
      <c r="R13" s="49">
        <v>44256.589884259258</v>
      </c>
      <c r="S13" s="45" t="s">
        <v>204</v>
      </c>
      <c r="T13" s="45">
        <v>48820</v>
      </c>
      <c r="U13" s="45">
        <v>48820</v>
      </c>
      <c r="V13" s="45">
        <v>17476</v>
      </c>
      <c r="W13" s="45" t="s">
        <v>175</v>
      </c>
      <c r="X13" s="45" t="s">
        <v>173</v>
      </c>
      <c r="Y13" s="45" t="s">
        <v>176</v>
      </c>
      <c r="Z13" s="45" t="s">
        <v>175</v>
      </c>
      <c r="AA13" s="45" t="s">
        <v>174</v>
      </c>
      <c r="AB13" s="45" t="s">
        <v>176</v>
      </c>
      <c r="AC13" s="49">
        <v>44257.715324074074</v>
      </c>
      <c r="AD13" s="45" t="str">
        <f t="shared" si="0"/>
        <v>HFT8424047</v>
      </c>
      <c r="AE13" s="45" t="s">
        <v>167</v>
      </c>
      <c r="AF13" s="45">
        <v>1761553</v>
      </c>
    </row>
    <row r="14" spans="1:32" x14ac:dyDescent="0.25">
      <c r="A14" s="45" t="s">
        <v>213</v>
      </c>
      <c r="B14" s="45" t="s">
        <v>167</v>
      </c>
      <c r="C14" s="45" t="s">
        <v>173</v>
      </c>
      <c r="D14" s="45" t="s">
        <v>181</v>
      </c>
      <c r="E14" s="45" t="s">
        <v>7</v>
      </c>
      <c r="F14" s="45" t="s">
        <v>182</v>
      </c>
      <c r="G14" s="45">
        <v>8424047</v>
      </c>
      <c r="H14" s="45" t="s">
        <v>168</v>
      </c>
      <c r="I14" s="49">
        <v>44257.91306712963</v>
      </c>
      <c r="J14" s="50">
        <v>44262.611041666663</v>
      </c>
      <c r="K14" s="45">
        <v>118520</v>
      </c>
      <c r="L14" s="45">
        <v>30120</v>
      </c>
      <c r="M14" s="45">
        <v>88400</v>
      </c>
      <c r="N14" s="45" t="s">
        <v>203</v>
      </c>
      <c r="O14" s="49">
        <v>44257.718553240738</v>
      </c>
      <c r="P14" s="45">
        <v>5924</v>
      </c>
      <c r="Q14" s="45">
        <v>1</v>
      </c>
      <c r="R14" s="49">
        <v>44256.528182870374</v>
      </c>
      <c r="S14" s="45" t="s">
        <v>205</v>
      </c>
      <c r="T14" s="45">
        <v>48880</v>
      </c>
      <c r="U14" s="45">
        <v>48880</v>
      </c>
      <c r="V14" s="45">
        <v>48700</v>
      </c>
      <c r="W14" s="45" t="s">
        <v>175</v>
      </c>
      <c r="X14" s="45" t="s">
        <v>173</v>
      </c>
      <c r="Y14" s="45" t="s">
        <v>176</v>
      </c>
      <c r="Z14" s="45" t="s">
        <v>175</v>
      </c>
      <c r="AA14" s="45" t="s">
        <v>174</v>
      </c>
      <c r="AB14" s="45" t="s">
        <v>176</v>
      </c>
      <c r="AC14" s="49">
        <v>44257.718553240738</v>
      </c>
      <c r="AD14" s="45" t="str">
        <f t="shared" si="0"/>
        <v>HFT8424047</v>
      </c>
      <c r="AE14" s="45" t="s">
        <v>167</v>
      </c>
      <c r="AF14" s="45">
        <v>1761553</v>
      </c>
    </row>
    <row r="15" spans="1:32" x14ac:dyDescent="0.25">
      <c r="A15" s="45" t="s">
        <v>213</v>
      </c>
      <c r="B15" s="45" t="s">
        <v>167</v>
      </c>
      <c r="C15" s="45" t="s">
        <v>173</v>
      </c>
      <c r="D15" s="45" t="s">
        <v>181</v>
      </c>
      <c r="E15" s="45" t="s">
        <v>7</v>
      </c>
      <c r="F15" s="45" t="s">
        <v>182</v>
      </c>
      <c r="G15" s="45">
        <v>8424047</v>
      </c>
      <c r="H15" s="45" t="s">
        <v>168</v>
      </c>
      <c r="I15" s="49">
        <v>44257.91306712963</v>
      </c>
      <c r="J15" s="50">
        <v>44262.611041666663</v>
      </c>
      <c r="K15" s="45">
        <v>118520</v>
      </c>
      <c r="L15" s="45">
        <v>30120</v>
      </c>
      <c r="M15" s="45">
        <v>88400</v>
      </c>
      <c r="N15" s="45" t="s">
        <v>203</v>
      </c>
      <c r="O15" s="49">
        <v>44257.761111111111</v>
      </c>
      <c r="P15" s="45">
        <v>5935</v>
      </c>
      <c r="Q15" s="45">
        <v>1</v>
      </c>
      <c r="R15" s="49">
        <v>44256.682662037034</v>
      </c>
      <c r="S15" s="45" t="s">
        <v>206</v>
      </c>
      <c r="T15" s="45">
        <v>35820</v>
      </c>
      <c r="U15" s="45">
        <v>35820</v>
      </c>
      <c r="V15" s="45">
        <v>22224</v>
      </c>
      <c r="W15" s="45" t="s">
        <v>175</v>
      </c>
      <c r="X15" s="45" t="s">
        <v>173</v>
      </c>
      <c r="Y15" s="45" t="s">
        <v>176</v>
      </c>
      <c r="Z15" s="45" t="s">
        <v>175</v>
      </c>
      <c r="AA15" s="45" t="s">
        <v>174</v>
      </c>
      <c r="AB15" s="45" t="s">
        <v>176</v>
      </c>
      <c r="AC15" s="49">
        <v>44257.761111111111</v>
      </c>
      <c r="AD15" s="45" t="str">
        <f t="shared" si="0"/>
        <v>HFT8424047</v>
      </c>
      <c r="AE15" s="45" t="s">
        <v>167</v>
      </c>
      <c r="AF15" s="45">
        <v>1761553</v>
      </c>
    </row>
    <row r="16" spans="1:32" x14ac:dyDescent="0.25">
      <c r="A16" s="45" t="s">
        <v>213</v>
      </c>
      <c r="B16" s="45" t="s">
        <v>167</v>
      </c>
      <c r="C16" s="45" t="s">
        <v>173</v>
      </c>
      <c r="D16" s="45" t="s">
        <v>181</v>
      </c>
      <c r="E16" s="45" t="s">
        <v>7</v>
      </c>
      <c r="F16" s="45" t="s">
        <v>182</v>
      </c>
      <c r="G16" s="45">
        <v>8448949</v>
      </c>
      <c r="H16" s="45" t="s">
        <v>172</v>
      </c>
      <c r="I16" s="49">
        <v>44257.894999999997</v>
      </c>
      <c r="J16" s="50">
        <v>44262.611041666663</v>
      </c>
      <c r="K16" s="45">
        <v>121192</v>
      </c>
      <c r="L16" s="45">
        <v>28790</v>
      </c>
      <c r="M16" s="45">
        <v>92402</v>
      </c>
      <c r="N16" s="45" t="s">
        <v>203</v>
      </c>
      <c r="O16" s="49">
        <v>44255.162928240738</v>
      </c>
      <c r="P16" s="45">
        <v>5884</v>
      </c>
      <c r="Q16" s="45">
        <v>1</v>
      </c>
      <c r="R16" s="49">
        <v>44253.654942129629</v>
      </c>
      <c r="S16" s="45" t="s">
        <v>207</v>
      </c>
      <c r="T16" s="45">
        <v>50500</v>
      </c>
      <c r="U16" s="45">
        <v>50500</v>
      </c>
      <c r="V16" s="45">
        <v>18066</v>
      </c>
      <c r="W16" s="45" t="s">
        <v>175</v>
      </c>
      <c r="X16" s="45" t="s">
        <v>173</v>
      </c>
      <c r="Y16" s="45" t="s">
        <v>176</v>
      </c>
      <c r="Z16" s="45" t="s">
        <v>175</v>
      </c>
      <c r="AA16" s="45" t="s">
        <v>174</v>
      </c>
      <c r="AB16" s="45" t="s">
        <v>176</v>
      </c>
      <c r="AC16" s="49">
        <v>44255.162928240738</v>
      </c>
      <c r="AD16" s="45" t="str">
        <f t="shared" si="0"/>
        <v>HPT8448949</v>
      </c>
      <c r="AE16" s="45" t="s">
        <v>167</v>
      </c>
      <c r="AF16" s="45">
        <v>1761553</v>
      </c>
    </row>
    <row r="17" spans="1:32" x14ac:dyDescent="0.25">
      <c r="A17" s="45" t="s">
        <v>213</v>
      </c>
      <c r="B17" s="45" t="s">
        <v>167</v>
      </c>
      <c r="C17" s="45" t="s">
        <v>173</v>
      </c>
      <c r="D17" s="45" t="s">
        <v>181</v>
      </c>
      <c r="E17" s="45" t="s">
        <v>7</v>
      </c>
      <c r="F17" s="45" t="s">
        <v>182</v>
      </c>
      <c r="G17" s="45">
        <v>8448949</v>
      </c>
      <c r="H17" s="45" t="s">
        <v>172</v>
      </c>
      <c r="I17" s="49">
        <v>44257.894999999997</v>
      </c>
      <c r="J17" s="50">
        <v>44262.611041666663</v>
      </c>
      <c r="K17" s="45">
        <v>121192</v>
      </c>
      <c r="L17" s="45">
        <v>28790</v>
      </c>
      <c r="M17" s="45">
        <v>92402</v>
      </c>
      <c r="N17" s="45" t="s">
        <v>203</v>
      </c>
      <c r="O17" s="49">
        <v>44256.648657407408</v>
      </c>
      <c r="P17" s="45">
        <v>5917</v>
      </c>
      <c r="Q17" s="45">
        <v>1</v>
      </c>
      <c r="R17" s="49">
        <v>44255.835868055554</v>
      </c>
      <c r="S17" s="45" t="s">
        <v>208</v>
      </c>
      <c r="T17" s="45">
        <v>50840</v>
      </c>
      <c r="U17" s="45">
        <v>50840</v>
      </c>
      <c r="V17" s="45">
        <v>36546</v>
      </c>
      <c r="W17" s="45" t="s">
        <v>175</v>
      </c>
      <c r="X17" s="45" t="s">
        <v>173</v>
      </c>
      <c r="Y17" s="45" t="s">
        <v>176</v>
      </c>
      <c r="Z17" s="45" t="s">
        <v>175</v>
      </c>
      <c r="AA17" s="45" t="s">
        <v>174</v>
      </c>
      <c r="AB17" s="45" t="s">
        <v>176</v>
      </c>
      <c r="AC17" s="49">
        <v>44256.648657407408</v>
      </c>
      <c r="AD17" s="45" t="str">
        <f t="shared" si="0"/>
        <v>HPT8448949</v>
      </c>
      <c r="AE17" s="45" t="s">
        <v>167</v>
      </c>
      <c r="AF17" s="45">
        <v>1761553</v>
      </c>
    </row>
    <row r="18" spans="1:32" x14ac:dyDescent="0.25">
      <c r="A18" s="45" t="s">
        <v>213</v>
      </c>
      <c r="B18" s="45" t="s">
        <v>167</v>
      </c>
      <c r="C18" s="45" t="s">
        <v>173</v>
      </c>
      <c r="D18" s="45" t="s">
        <v>181</v>
      </c>
      <c r="E18" s="45" t="s">
        <v>7</v>
      </c>
      <c r="F18" s="45" t="s">
        <v>182</v>
      </c>
      <c r="G18" s="45">
        <v>8448949</v>
      </c>
      <c r="H18" s="45" t="s">
        <v>172</v>
      </c>
      <c r="I18" s="49">
        <v>44257.894999999997</v>
      </c>
      <c r="J18" s="50">
        <v>44262.611041666663</v>
      </c>
      <c r="K18" s="45">
        <v>121192</v>
      </c>
      <c r="L18" s="45">
        <v>28790</v>
      </c>
      <c r="M18" s="45">
        <v>92402</v>
      </c>
      <c r="N18" s="45" t="s">
        <v>203</v>
      </c>
      <c r="O18" s="49">
        <v>44255.192175925928</v>
      </c>
      <c r="P18" s="45">
        <v>5880</v>
      </c>
      <c r="Q18" s="45">
        <v>1</v>
      </c>
      <c r="R18" s="49">
        <v>44253.567708333336</v>
      </c>
      <c r="S18" s="45" t="s">
        <v>209</v>
      </c>
      <c r="T18" s="45">
        <v>37940</v>
      </c>
      <c r="U18" s="45">
        <v>37940</v>
      </c>
      <c r="V18" s="45">
        <v>37790</v>
      </c>
      <c r="W18" s="45" t="s">
        <v>175</v>
      </c>
      <c r="X18" s="45" t="s">
        <v>173</v>
      </c>
      <c r="Y18" s="45" t="s">
        <v>176</v>
      </c>
      <c r="Z18" s="45" t="s">
        <v>175</v>
      </c>
      <c r="AA18" s="45" t="s">
        <v>174</v>
      </c>
      <c r="AB18" s="45" t="s">
        <v>176</v>
      </c>
      <c r="AC18" s="49">
        <v>44255.192175925928</v>
      </c>
      <c r="AD18" s="45" t="str">
        <f t="shared" si="0"/>
        <v>HPT8448949</v>
      </c>
      <c r="AE18" s="45" t="s">
        <v>167</v>
      </c>
      <c r="AF18" s="45">
        <v>1761553</v>
      </c>
    </row>
    <row r="19" spans="1:32" x14ac:dyDescent="0.25">
      <c r="A19" s="45" t="s">
        <v>213</v>
      </c>
      <c r="B19" s="45" t="s">
        <v>167</v>
      </c>
      <c r="C19" s="45" t="s">
        <v>173</v>
      </c>
      <c r="D19" s="45" t="s">
        <v>181</v>
      </c>
      <c r="E19" s="45" t="s">
        <v>7</v>
      </c>
      <c r="F19" s="45" t="s">
        <v>182</v>
      </c>
      <c r="G19" s="45">
        <v>8423008</v>
      </c>
      <c r="H19" s="45" t="s">
        <v>168</v>
      </c>
      <c r="I19" s="49">
        <v>44257.881493055553</v>
      </c>
      <c r="J19" s="50">
        <v>44262.611030092594</v>
      </c>
      <c r="K19" s="45">
        <v>119259</v>
      </c>
      <c r="L19" s="45">
        <v>30520</v>
      </c>
      <c r="M19" s="45">
        <v>88739</v>
      </c>
      <c r="N19" s="45" t="s">
        <v>203</v>
      </c>
      <c r="O19" s="49">
        <v>44254.359317129631</v>
      </c>
      <c r="P19" s="45">
        <v>5862</v>
      </c>
      <c r="Q19" s="45">
        <v>1</v>
      </c>
      <c r="R19" s="49">
        <v>44252.703217592592</v>
      </c>
      <c r="S19" s="45" t="s">
        <v>210</v>
      </c>
      <c r="T19" s="45">
        <v>38010</v>
      </c>
      <c r="U19" s="45">
        <v>38010</v>
      </c>
      <c r="V19" s="45">
        <v>25583</v>
      </c>
      <c r="W19" s="45" t="s">
        <v>175</v>
      </c>
      <c r="X19" s="45" t="s">
        <v>173</v>
      </c>
      <c r="Y19" s="45" t="s">
        <v>176</v>
      </c>
      <c r="Z19" s="45" t="s">
        <v>175</v>
      </c>
      <c r="AA19" s="45" t="s">
        <v>174</v>
      </c>
      <c r="AB19" s="45" t="s">
        <v>176</v>
      </c>
      <c r="AC19" s="49">
        <v>44254.359317129631</v>
      </c>
      <c r="AD19" s="45" t="str">
        <f t="shared" si="0"/>
        <v>HFT8423008</v>
      </c>
      <c r="AE19" s="45" t="s">
        <v>167</v>
      </c>
      <c r="AF19" s="45">
        <v>1761553</v>
      </c>
    </row>
    <row r="20" spans="1:32" x14ac:dyDescent="0.25">
      <c r="I20" s="42"/>
      <c r="J20" s="42"/>
      <c r="O20" s="42"/>
      <c r="R20" s="42"/>
      <c r="AC20" s="42"/>
    </row>
    <row r="21" spans="1:32" x14ac:dyDescent="0.25">
      <c r="I21" s="42"/>
      <c r="J21" s="42"/>
      <c r="O21" s="42"/>
      <c r="R21" s="42"/>
      <c r="AC21" s="42"/>
    </row>
    <row r="22" spans="1:32" x14ac:dyDescent="0.25">
      <c r="I22" s="42"/>
      <c r="J22" s="42"/>
      <c r="O22" s="42"/>
      <c r="R22" s="42"/>
      <c r="AC22" s="42"/>
    </row>
    <row r="23" spans="1:32" x14ac:dyDescent="0.25">
      <c r="I23" s="42"/>
      <c r="J23" s="42"/>
      <c r="O23" s="42"/>
      <c r="R23" s="42"/>
      <c r="AC23" s="42"/>
    </row>
    <row r="24" spans="1:32" x14ac:dyDescent="0.25">
      <c r="I24" s="42"/>
      <c r="J24" s="42"/>
      <c r="O24" s="42"/>
      <c r="R24" s="42"/>
      <c r="AC24" s="42"/>
    </row>
    <row r="25" spans="1:32" x14ac:dyDescent="0.25">
      <c r="I25" s="42"/>
      <c r="J25" s="42"/>
      <c r="O25" s="42"/>
      <c r="R25" s="42"/>
      <c r="AC25" s="42"/>
    </row>
    <row r="26" spans="1:32" x14ac:dyDescent="0.25">
      <c r="I26" s="42"/>
      <c r="J26" s="42"/>
      <c r="O26" s="42"/>
      <c r="R26" s="42"/>
      <c r="AC26" s="42"/>
    </row>
    <row r="27" spans="1:32" x14ac:dyDescent="0.25">
      <c r="I27" s="42"/>
      <c r="J27" s="42"/>
      <c r="O27" s="42"/>
      <c r="R27" s="42"/>
      <c r="AC27" s="42"/>
    </row>
    <row r="28" spans="1:32" x14ac:dyDescent="0.25">
      <c r="I28" s="42"/>
      <c r="J28" s="42"/>
      <c r="O28" s="42"/>
      <c r="R28" s="42"/>
      <c r="AC28" s="42"/>
    </row>
    <row r="29" spans="1:32" x14ac:dyDescent="0.25">
      <c r="I29" s="42"/>
      <c r="J29" s="42"/>
      <c r="O29" s="42"/>
      <c r="R29" s="42"/>
      <c r="AC29" s="42"/>
    </row>
    <row r="30" spans="1:32" x14ac:dyDescent="0.25">
      <c r="I30" s="42"/>
      <c r="J30" s="42"/>
      <c r="O30" s="42"/>
      <c r="R30" s="42"/>
      <c r="AC30" s="42"/>
    </row>
    <row r="31" spans="1:32" x14ac:dyDescent="0.25">
      <c r="I31" s="42"/>
      <c r="J31" s="42"/>
      <c r="O31" s="42"/>
      <c r="R31" s="42"/>
      <c r="AC31" s="42"/>
    </row>
    <row r="32" spans="1:32" x14ac:dyDescent="0.25">
      <c r="I32" s="42"/>
      <c r="J32" s="42"/>
      <c r="O32" s="42"/>
      <c r="R32" s="42"/>
      <c r="AC32" s="42"/>
    </row>
    <row r="33" spans="9:29" x14ac:dyDescent="0.25">
      <c r="I33" s="42"/>
      <c r="J33" s="42"/>
      <c r="O33" s="42"/>
      <c r="R33" s="42"/>
      <c r="AC33" s="42"/>
    </row>
    <row r="34" spans="9:29" x14ac:dyDescent="0.25">
      <c r="I34" s="42"/>
      <c r="J34" s="42"/>
      <c r="O34" s="42"/>
      <c r="R34" s="42"/>
      <c r="AC34" s="42"/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20"/>
  <sheetViews>
    <sheetView workbookViewId="0">
      <selection activeCell="A2" sqref="A2:AD20"/>
    </sheetView>
  </sheetViews>
  <sheetFormatPr defaultRowHeight="15" x14ac:dyDescent="0.25"/>
  <cols>
    <col min="1" max="1" width="29.7109375" customWidth="1"/>
    <col min="2" max="2" width="8" style="11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9" width="6" bestFit="1" customWidth="1"/>
    <col min="10" max="10" width="4.28515625" bestFit="1" customWidth="1"/>
    <col min="11" max="11" width="10" bestFit="1" customWidth="1"/>
    <col min="12" max="12" width="18.5703125" style="29" bestFit="1" customWidth="1"/>
    <col min="13" max="13" width="46.28515625" bestFit="1" customWidth="1"/>
    <col min="14" max="14" width="4.28515625" bestFit="1" customWidth="1"/>
    <col min="15" max="15" width="18.5703125" bestFit="1" customWidth="1"/>
    <col min="16" max="16" width="7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4.140625" bestFit="1" customWidth="1"/>
  </cols>
  <sheetData>
    <row r="1" spans="1:30" x14ac:dyDescent="0.25">
      <c r="A1" s="14" t="s">
        <v>19</v>
      </c>
      <c r="B1" s="17" t="s">
        <v>20</v>
      </c>
      <c r="C1" s="12" t="s">
        <v>21</v>
      </c>
      <c r="D1" s="12" t="s">
        <v>22</v>
      </c>
      <c r="E1" s="13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2" t="s">
        <v>28</v>
      </c>
      <c r="K1" s="14" t="s">
        <v>29</v>
      </c>
      <c r="L1" s="30" t="s">
        <v>30</v>
      </c>
      <c r="M1" s="14" t="s">
        <v>31</v>
      </c>
      <c r="N1" s="14" t="s">
        <v>32</v>
      </c>
      <c r="O1" s="14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 hidden="1" x14ac:dyDescent="0.25">
      <c r="A2" s="45" t="s">
        <v>211</v>
      </c>
      <c r="B2" s="46" t="s">
        <v>177</v>
      </c>
      <c r="C2" s="45" t="s">
        <v>173</v>
      </c>
      <c r="D2" s="45" t="s">
        <v>181</v>
      </c>
      <c r="E2" s="45" t="s">
        <v>7</v>
      </c>
      <c r="F2" s="45" t="s">
        <v>182</v>
      </c>
      <c r="G2" s="45">
        <v>7153112</v>
      </c>
      <c r="H2" s="45" t="s">
        <v>168</v>
      </c>
      <c r="I2" s="49">
        <v>44260.429756944446</v>
      </c>
      <c r="J2" s="50">
        <v>44264.982187499998</v>
      </c>
      <c r="K2" s="45">
        <v>98260</v>
      </c>
      <c r="L2" s="45">
        <v>24675</v>
      </c>
      <c r="M2" s="45">
        <v>73585</v>
      </c>
      <c r="N2" s="45" t="s">
        <v>183</v>
      </c>
      <c r="O2" s="49">
        <v>44260.851030092592</v>
      </c>
      <c r="P2" s="47">
        <v>29954</v>
      </c>
      <c r="Q2" s="45">
        <v>1</v>
      </c>
      <c r="R2" s="49">
        <v>44259.289988425924</v>
      </c>
      <c r="S2" s="45" t="s">
        <v>184</v>
      </c>
      <c r="T2" s="45">
        <v>50450</v>
      </c>
      <c r="U2" s="45">
        <v>50450</v>
      </c>
      <c r="V2" s="45">
        <v>10553</v>
      </c>
      <c r="W2" s="45" t="s">
        <v>185</v>
      </c>
      <c r="X2" s="45" t="s">
        <v>186</v>
      </c>
      <c r="Y2" s="45" t="s">
        <v>187</v>
      </c>
      <c r="Z2" s="45" t="s">
        <v>185</v>
      </c>
      <c r="AA2" s="45" t="s">
        <v>174</v>
      </c>
      <c r="AB2" s="45" t="s">
        <v>187</v>
      </c>
      <c r="AC2" s="49">
        <v>44260.851030092592</v>
      </c>
      <c r="AD2" s="45" t="s">
        <v>214</v>
      </c>
    </row>
    <row r="3" spans="1:30" hidden="1" x14ac:dyDescent="0.25">
      <c r="A3" s="45" t="s">
        <v>211</v>
      </c>
      <c r="B3" s="46" t="s">
        <v>177</v>
      </c>
      <c r="C3" s="45" t="s">
        <v>173</v>
      </c>
      <c r="D3" s="45" t="s">
        <v>181</v>
      </c>
      <c r="E3" s="45" t="s">
        <v>7</v>
      </c>
      <c r="F3" s="45" t="s">
        <v>182</v>
      </c>
      <c r="G3" s="45">
        <v>7153112</v>
      </c>
      <c r="H3" s="45" t="s">
        <v>168</v>
      </c>
      <c r="I3" s="49">
        <v>44260.429756944446</v>
      </c>
      <c r="J3" s="50">
        <v>44264.982187499998</v>
      </c>
      <c r="K3" s="45">
        <v>98260</v>
      </c>
      <c r="L3" s="45">
        <v>24675</v>
      </c>
      <c r="M3" s="45">
        <v>73585</v>
      </c>
      <c r="N3" s="45" t="s">
        <v>183</v>
      </c>
      <c r="O3" s="49">
        <v>44260.177928240744</v>
      </c>
      <c r="P3" s="47">
        <v>29900</v>
      </c>
      <c r="Q3" s="45">
        <v>1</v>
      </c>
      <c r="R3" s="49">
        <v>44257.369791666664</v>
      </c>
      <c r="S3" s="45" t="s">
        <v>188</v>
      </c>
      <c r="T3" s="45">
        <v>49820</v>
      </c>
      <c r="U3" s="45">
        <v>49820</v>
      </c>
      <c r="V3" s="45">
        <v>13722</v>
      </c>
      <c r="W3" s="45" t="s">
        <v>185</v>
      </c>
      <c r="X3" s="45" t="s">
        <v>186</v>
      </c>
      <c r="Y3" s="45" t="s">
        <v>187</v>
      </c>
      <c r="Z3" s="45" t="s">
        <v>185</v>
      </c>
      <c r="AA3" s="45" t="s">
        <v>174</v>
      </c>
      <c r="AB3" s="45" t="s">
        <v>187</v>
      </c>
      <c r="AC3" s="49">
        <v>44260.177928240744</v>
      </c>
      <c r="AD3" s="45" t="s">
        <v>214</v>
      </c>
    </row>
    <row r="4" spans="1:30" hidden="1" x14ac:dyDescent="0.25">
      <c r="A4" s="45" t="s">
        <v>211</v>
      </c>
      <c r="B4" s="46" t="s">
        <v>177</v>
      </c>
      <c r="C4" s="45" t="s">
        <v>173</v>
      </c>
      <c r="D4" s="45" t="s">
        <v>181</v>
      </c>
      <c r="E4" s="45" t="s">
        <v>7</v>
      </c>
      <c r="F4" s="45" t="s">
        <v>182</v>
      </c>
      <c r="G4" s="45">
        <v>7153112</v>
      </c>
      <c r="H4" s="45" t="s">
        <v>168</v>
      </c>
      <c r="I4" s="49">
        <v>44260.429756944446</v>
      </c>
      <c r="J4" s="50">
        <v>44264.982187499998</v>
      </c>
      <c r="K4" s="45">
        <v>98260</v>
      </c>
      <c r="L4" s="45">
        <v>24675</v>
      </c>
      <c r="M4" s="45">
        <v>73585</v>
      </c>
      <c r="N4" s="45" t="s">
        <v>183</v>
      </c>
      <c r="O4" s="49">
        <v>44260.510567129626</v>
      </c>
      <c r="P4" s="47">
        <v>29930</v>
      </c>
      <c r="Q4" s="45">
        <v>1</v>
      </c>
      <c r="R4" s="49">
        <v>44257.821967592594</v>
      </c>
      <c r="S4" s="45" t="s">
        <v>189</v>
      </c>
      <c r="T4" s="45">
        <v>49310</v>
      </c>
      <c r="U4" s="45">
        <v>49310</v>
      </c>
      <c r="V4" s="45">
        <v>49310</v>
      </c>
      <c r="W4" s="45" t="s">
        <v>185</v>
      </c>
      <c r="X4" s="45" t="s">
        <v>186</v>
      </c>
      <c r="Y4" s="45" t="s">
        <v>187</v>
      </c>
      <c r="Z4" s="45" t="s">
        <v>185</v>
      </c>
      <c r="AA4" s="45" t="s">
        <v>174</v>
      </c>
      <c r="AB4" s="45" t="s">
        <v>187</v>
      </c>
      <c r="AC4" s="49">
        <v>44260.510567129626</v>
      </c>
      <c r="AD4" s="45" t="s">
        <v>214</v>
      </c>
    </row>
    <row r="5" spans="1:30" hidden="1" x14ac:dyDescent="0.25">
      <c r="A5" s="45" t="s">
        <v>211</v>
      </c>
      <c r="B5" s="46" t="s">
        <v>177</v>
      </c>
      <c r="C5" s="45" t="s">
        <v>173</v>
      </c>
      <c r="D5" s="45" t="s">
        <v>181</v>
      </c>
      <c r="E5" s="45" t="s">
        <v>7</v>
      </c>
      <c r="F5" s="45" t="s">
        <v>182</v>
      </c>
      <c r="G5" s="45">
        <v>306231</v>
      </c>
      <c r="H5" s="45" t="s">
        <v>172</v>
      </c>
      <c r="I5" s="49">
        <v>44260.47152777778</v>
      </c>
      <c r="J5" s="50">
        <v>44264.873668981483</v>
      </c>
      <c r="K5" s="45">
        <v>120640</v>
      </c>
      <c r="L5" s="45">
        <v>28330</v>
      </c>
      <c r="M5" s="45">
        <v>92310</v>
      </c>
      <c r="N5" s="45" t="s">
        <v>190</v>
      </c>
      <c r="O5" s="49">
        <v>44256.380613425928</v>
      </c>
      <c r="P5" s="47">
        <v>29764</v>
      </c>
      <c r="Q5" s="45">
        <v>1</v>
      </c>
      <c r="R5" s="49">
        <v>44254.538564814815</v>
      </c>
      <c r="S5" s="45" t="s">
        <v>191</v>
      </c>
      <c r="T5" s="45">
        <v>49760</v>
      </c>
      <c r="U5" s="45">
        <v>49760</v>
      </c>
      <c r="V5" s="45">
        <v>23322</v>
      </c>
      <c r="W5" s="45" t="s">
        <v>185</v>
      </c>
      <c r="X5" s="45" t="s">
        <v>186</v>
      </c>
      <c r="Y5" s="45" t="s">
        <v>187</v>
      </c>
      <c r="Z5" s="45" t="s">
        <v>185</v>
      </c>
      <c r="AA5" s="45" t="s">
        <v>174</v>
      </c>
      <c r="AB5" s="45" t="s">
        <v>187</v>
      </c>
      <c r="AC5" s="49">
        <v>44256.380613425928</v>
      </c>
      <c r="AD5" s="45" t="s">
        <v>215</v>
      </c>
    </row>
    <row r="6" spans="1:30" x14ac:dyDescent="0.25">
      <c r="A6" s="45" t="s">
        <v>212</v>
      </c>
      <c r="B6" s="46" t="s">
        <v>178</v>
      </c>
      <c r="C6" s="45" t="s">
        <v>171</v>
      </c>
      <c r="D6" s="45" t="s">
        <v>181</v>
      </c>
      <c r="E6" s="45" t="s">
        <v>7</v>
      </c>
      <c r="F6" s="45" t="s">
        <v>182</v>
      </c>
      <c r="G6" s="45">
        <v>3506258</v>
      </c>
      <c r="H6" s="45" t="s">
        <v>192</v>
      </c>
      <c r="I6" s="49">
        <v>44263.342835648145</v>
      </c>
      <c r="J6" s="50">
        <v>44263.802430555559</v>
      </c>
      <c r="K6" s="45">
        <v>125294</v>
      </c>
      <c r="L6" s="45">
        <v>28470</v>
      </c>
      <c r="M6" s="45">
        <v>96824</v>
      </c>
      <c r="N6" s="45" t="s">
        <v>193</v>
      </c>
      <c r="O6" s="49">
        <v>44263.703055555554</v>
      </c>
      <c r="P6" s="47">
        <v>112594</v>
      </c>
      <c r="Q6" s="45">
        <v>10</v>
      </c>
      <c r="R6" s="49">
        <v>44250.711562500001</v>
      </c>
      <c r="S6" s="45" t="s">
        <v>194</v>
      </c>
      <c r="T6" s="45">
        <v>37540</v>
      </c>
      <c r="U6" s="45">
        <v>37540</v>
      </c>
      <c r="V6" s="45">
        <v>37540</v>
      </c>
      <c r="W6" s="45" t="s">
        <v>195</v>
      </c>
      <c r="X6" s="45" t="s">
        <v>171</v>
      </c>
      <c r="Y6" s="45" t="s">
        <v>196</v>
      </c>
      <c r="Z6" s="45" t="s">
        <v>195</v>
      </c>
      <c r="AA6" s="45" t="s">
        <v>171</v>
      </c>
      <c r="AB6" s="45" t="s">
        <v>196</v>
      </c>
      <c r="AC6" s="49">
        <v>44263.703055555554</v>
      </c>
      <c r="AD6" s="45" t="s">
        <v>216</v>
      </c>
    </row>
    <row r="7" spans="1:30" x14ac:dyDescent="0.25">
      <c r="A7" s="45" t="s">
        <v>212</v>
      </c>
      <c r="B7" s="46" t="s">
        <v>178</v>
      </c>
      <c r="C7" s="45" t="s">
        <v>171</v>
      </c>
      <c r="D7" s="45" t="s">
        <v>181</v>
      </c>
      <c r="E7" s="45" t="s">
        <v>7</v>
      </c>
      <c r="F7" s="45" t="s">
        <v>182</v>
      </c>
      <c r="G7" s="45">
        <v>3506258</v>
      </c>
      <c r="H7" s="45" t="s">
        <v>192</v>
      </c>
      <c r="I7" s="49">
        <v>44263.342835648145</v>
      </c>
      <c r="J7" s="50">
        <v>44263.802430555559</v>
      </c>
      <c r="K7" s="45">
        <v>125294</v>
      </c>
      <c r="L7" s="45">
        <v>28470</v>
      </c>
      <c r="M7" s="45">
        <v>96824</v>
      </c>
      <c r="N7" s="45" t="s">
        <v>193</v>
      </c>
      <c r="O7" s="49">
        <v>44263.703055555554</v>
      </c>
      <c r="P7" s="47">
        <v>112600</v>
      </c>
      <c r="Q7" s="45">
        <v>10</v>
      </c>
      <c r="R7" s="49">
        <v>44250.723726851851</v>
      </c>
      <c r="S7" s="45" t="s">
        <v>197</v>
      </c>
      <c r="T7" s="45">
        <v>40000</v>
      </c>
      <c r="U7" s="45">
        <v>40000</v>
      </c>
      <c r="V7" s="45">
        <v>37472</v>
      </c>
      <c r="W7" s="45" t="s">
        <v>195</v>
      </c>
      <c r="X7" s="45" t="s">
        <v>171</v>
      </c>
      <c r="Y7" s="45" t="s">
        <v>196</v>
      </c>
      <c r="Z7" s="45" t="s">
        <v>195</v>
      </c>
      <c r="AA7" s="45" t="s">
        <v>171</v>
      </c>
      <c r="AB7" s="45" t="s">
        <v>196</v>
      </c>
      <c r="AC7" s="49">
        <v>44263.703055555554</v>
      </c>
      <c r="AD7" s="45" t="s">
        <v>216</v>
      </c>
    </row>
    <row r="8" spans="1:30" x14ac:dyDescent="0.25">
      <c r="A8" s="45" t="s">
        <v>212</v>
      </c>
      <c r="B8" s="46" t="s">
        <v>178</v>
      </c>
      <c r="C8" s="45" t="s">
        <v>171</v>
      </c>
      <c r="D8" s="45" t="s">
        <v>181</v>
      </c>
      <c r="E8" s="45" t="s">
        <v>7</v>
      </c>
      <c r="F8" s="45" t="s">
        <v>182</v>
      </c>
      <c r="G8" s="45">
        <v>3506258</v>
      </c>
      <c r="H8" s="45" t="s">
        <v>192</v>
      </c>
      <c r="I8" s="49">
        <v>44263.342835648145</v>
      </c>
      <c r="J8" s="50">
        <v>44263.802430555559</v>
      </c>
      <c r="K8" s="45">
        <v>125294</v>
      </c>
      <c r="L8" s="45">
        <v>28470</v>
      </c>
      <c r="M8" s="45">
        <v>96824</v>
      </c>
      <c r="N8" s="45" t="s">
        <v>193</v>
      </c>
      <c r="O8" s="49">
        <v>44263.703055555554</v>
      </c>
      <c r="P8" s="47">
        <v>112561</v>
      </c>
      <c r="Q8" s="45">
        <v>10</v>
      </c>
      <c r="R8" s="49">
        <v>44250.621655092589</v>
      </c>
      <c r="S8" s="45" t="s">
        <v>198</v>
      </c>
      <c r="T8" s="45">
        <v>37960</v>
      </c>
      <c r="U8" s="45">
        <v>37960</v>
      </c>
      <c r="V8" s="45">
        <v>21812</v>
      </c>
      <c r="W8" s="45" t="s">
        <v>195</v>
      </c>
      <c r="X8" s="45" t="s">
        <v>171</v>
      </c>
      <c r="Y8" s="45" t="s">
        <v>196</v>
      </c>
      <c r="Z8" s="45" t="s">
        <v>195</v>
      </c>
      <c r="AA8" s="45" t="s">
        <v>171</v>
      </c>
      <c r="AB8" s="45" t="s">
        <v>196</v>
      </c>
      <c r="AC8" s="49">
        <v>44263.703055555554</v>
      </c>
      <c r="AD8" s="45" t="s">
        <v>216</v>
      </c>
    </row>
    <row r="9" spans="1:30" x14ac:dyDescent="0.25">
      <c r="A9" s="45" t="s">
        <v>212</v>
      </c>
      <c r="B9" s="46" t="s">
        <v>178</v>
      </c>
      <c r="C9" s="45" t="s">
        <v>171</v>
      </c>
      <c r="D9" s="45" t="s">
        <v>181</v>
      </c>
      <c r="E9" s="45" t="s">
        <v>7</v>
      </c>
      <c r="F9" s="45" t="s">
        <v>182</v>
      </c>
      <c r="G9" s="45">
        <v>308269</v>
      </c>
      <c r="H9" s="45" t="s">
        <v>172</v>
      </c>
      <c r="I9" s="49">
        <v>44263.398402777777</v>
      </c>
      <c r="J9" s="50">
        <v>44263.802384259259</v>
      </c>
      <c r="K9" s="45">
        <v>124640</v>
      </c>
      <c r="L9" s="45">
        <v>29500</v>
      </c>
      <c r="M9" s="45">
        <v>95140</v>
      </c>
      <c r="N9" s="45" t="s">
        <v>193</v>
      </c>
      <c r="O9" s="49">
        <v>44263.703055555554</v>
      </c>
      <c r="P9" s="47">
        <v>113563</v>
      </c>
      <c r="Q9" s="45">
        <v>10</v>
      </c>
      <c r="R9" s="49">
        <v>44258.69767361111</v>
      </c>
      <c r="S9" s="45" t="s">
        <v>199</v>
      </c>
      <c r="T9" s="45">
        <v>50720</v>
      </c>
      <c r="U9" s="45">
        <v>50720</v>
      </c>
      <c r="V9" s="45">
        <v>23060</v>
      </c>
      <c r="W9" s="45" t="s">
        <v>195</v>
      </c>
      <c r="X9" s="45" t="s">
        <v>171</v>
      </c>
      <c r="Y9" s="45" t="s">
        <v>196</v>
      </c>
      <c r="Z9" s="45" t="s">
        <v>195</v>
      </c>
      <c r="AA9" s="45" t="s">
        <v>171</v>
      </c>
      <c r="AB9" s="45" t="s">
        <v>196</v>
      </c>
      <c r="AC9" s="49">
        <v>44263.703055555554</v>
      </c>
      <c r="AD9" s="45" t="s">
        <v>217</v>
      </c>
    </row>
    <row r="10" spans="1:30" x14ac:dyDescent="0.25">
      <c r="A10" s="45" t="s">
        <v>212</v>
      </c>
      <c r="B10" s="46" t="s">
        <v>178</v>
      </c>
      <c r="C10" s="45" t="s">
        <v>171</v>
      </c>
      <c r="D10" s="45" t="s">
        <v>181</v>
      </c>
      <c r="E10" s="45" t="s">
        <v>7</v>
      </c>
      <c r="F10" s="45" t="s">
        <v>182</v>
      </c>
      <c r="G10" s="45">
        <v>308269</v>
      </c>
      <c r="H10" s="45" t="s">
        <v>172</v>
      </c>
      <c r="I10" s="49">
        <v>44263.398402777777</v>
      </c>
      <c r="J10" s="50">
        <v>44263.802384259259</v>
      </c>
      <c r="K10" s="45">
        <v>124640</v>
      </c>
      <c r="L10" s="45">
        <v>29500</v>
      </c>
      <c r="M10" s="45">
        <v>95140</v>
      </c>
      <c r="N10" s="45" t="s">
        <v>193</v>
      </c>
      <c r="O10" s="49">
        <v>44263.703055555554</v>
      </c>
      <c r="P10" s="47">
        <v>113476</v>
      </c>
      <c r="Q10" s="45">
        <v>10</v>
      </c>
      <c r="R10" s="49">
        <v>44257.804236111115</v>
      </c>
      <c r="S10" s="45" t="s">
        <v>200</v>
      </c>
      <c r="T10" s="45">
        <v>37620</v>
      </c>
      <c r="U10" s="45">
        <v>37620</v>
      </c>
      <c r="V10" s="45">
        <v>21800</v>
      </c>
      <c r="W10" s="45" t="s">
        <v>195</v>
      </c>
      <c r="X10" s="45" t="s">
        <v>171</v>
      </c>
      <c r="Y10" s="45" t="s">
        <v>196</v>
      </c>
      <c r="Z10" s="45" t="s">
        <v>195</v>
      </c>
      <c r="AA10" s="45" t="s">
        <v>171</v>
      </c>
      <c r="AB10" s="45" t="s">
        <v>196</v>
      </c>
      <c r="AC10" s="49">
        <v>44263.703055555554</v>
      </c>
      <c r="AD10" s="45" t="s">
        <v>217</v>
      </c>
    </row>
    <row r="11" spans="1:30" x14ac:dyDescent="0.25">
      <c r="A11" s="45" t="s">
        <v>212</v>
      </c>
      <c r="B11" s="46" t="s">
        <v>178</v>
      </c>
      <c r="C11" s="45" t="s">
        <v>171</v>
      </c>
      <c r="D11" s="45" t="s">
        <v>181</v>
      </c>
      <c r="E11" s="45" t="s">
        <v>7</v>
      </c>
      <c r="F11" s="45" t="s">
        <v>182</v>
      </c>
      <c r="G11" s="45">
        <v>308269</v>
      </c>
      <c r="H11" s="45" t="s">
        <v>172</v>
      </c>
      <c r="I11" s="49">
        <v>44263.398402777777</v>
      </c>
      <c r="J11" s="50">
        <v>44263.802384259259</v>
      </c>
      <c r="K11" s="45">
        <v>124640</v>
      </c>
      <c r="L11" s="45">
        <v>29500</v>
      </c>
      <c r="M11" s="45">
        <v>95140</v>
      </c>
      <c r="N11" s="45" t="s">
        <v>193</v>
      </c>
      <c r="O11" s="49">
        <v>44263.703055555554</v>
      </c>
      <c r="P11" s="47">
        <v>113520</v>
      </c>
      <c r="Q11" s="45">
        <v>10</v>
      </c>
      <c r="R11" s="49">
        <v>44258.489293981482</v>
      </c>
      <c r="S11" s="45" t="s">
        <v>201</v>
      </c>
      <c r="T11" s="45">
        <v>50280</v>
      </c>
      <c r="U11" s="45">
        <v>50280</v>
      </c>
      <c r="V11" s="45">
        <v>50280</v>
      </c>
      <c r="W11" s="45" t="s">
        <v>195</v>
      </c>
      <c r="X11" s="45" t="s">
        <v>171</v>
      </c>
      <c r="Y11" s="45" t="s">
        <v>196</v>
      </c>
      <c r="Z11" s="45" t="s">
        <v>195</v>
      </c>
      <c r="AA11" s="45" t="s">
        <v>171</v>
      </c>
      <c r="AB11" s="45" t="s">
        <v>196</v>
      </c>
      <c r="AC11" s="49">
        <v>44263.703055555554</v>
      </c>
      <c r="AD11" s="45" t="s">
        <v>217</v>
      </c>
    </row>
    <row r="12" spans="1:30" x14ac:dyDescent="0.25">
      <c r="A12" s="45" t="s">
        <v>212</v>
      </c>
      <c r="B12" s="46" t="s">
        <v>178</v>
      </c>
      <c r="C12" s="45" t="s">
        <v>171</v>
      </c>
      <c r="D12" s="45" t="s">
        <v>181</v>
      </c>
      <c r="E12" s="45" t="s">
        <v>7</v>
      </c>
      <c r="F12" s="45" t="s">
        <v>182</v>
      </c>
      <c r="G12" s="45">
        <v>8447144</v>
      </c>
      <c r="H12" s="45" t="s">
        <v>172</v>
      </c>
      <c r="I12" s="49">
        <v>44263.342835648145</v>
      </c>
      <c r="J12" s="50">
        <v>44263.802384259259</v>
      </c>
      <c r="K12" s="45">
        <v>124392</v>
      </c>
      <c r="L12" s="45">
        <v>28720</v>
      </c>
      <c r="M12" s="45">
        <v>95672</v>
      </c>
      <c r="N12" s="45" t="s">
        <v>193</v>
      </c>
      <c r="O12" s="49">
        <v>44263.703055555554</v>
      </c>
      <c r="P12" s="47">
        <v>112600</v>
      </c>
      <c r="Q12" s="45">
        <v>10</v>
      </c>
      <c r="R12" s="49">
        <v>44250.723726851851</v>
      </c>
      <c r="S12" s="45" t="s">
        <v>197</v>
      </c>
      <c r="T12" s="45">
        <v>40000</v>
      </c>
      <c r="U12" s="45">
        <v>40000</v>
      </c>
      <c r="V12" s="45">
        <v>2528</v>
      </c>
      <c r="W12" s="45" t="s">
        <v>195</v>
      </c>
      <c r="X12" s="45" t="s">
        <v>171</v>
      </c>
      <c r="Y12" s="45" t="s">
        <v>196</v>
      </c>
      <c r="Z12" s="45" t="s">
        <v>195</v>
      </c>
      <c r="AA12" s="45" t="s">
        <v>171</v>
      </c>
      <c r="AB12" s="45" t="s">
        <v>196</v>
      </c>
      <c r="AC12" s="49">
        <v>44263.703055555554</v>
      </c>
      <c r="AD12" s="45" t="s">
        <v>218</v>
      </c>
    </row>
    <row r="13" spans="1:30" x14ac:dyDescent="0.25">
      <c r="A13" s="45" t="s">
        <v>212</v>
      </c>
      <c r="B13" s="46" t="s">
        <v>178</v>
      </c>
      <c r="C13" s="45" t="s">
        <v>171</v>
      </c>
      <c r="D13" s="45" t="s">
        <v>181</v>
      </c>
      <c r="E13" s="45" t="s">
        <v>7</v>
      </c>
      <c r="F13" s="45" t="s">
        <v>182</v>
      </c>
      <c r="G13" s="45">
        <v>8447144</v>
      </c>
      <c r="H13" s="45" t="s">
        <v>172</v>
      </c>
      <c r="I13" s="49">
        <v>44263.342835648145</v>
      </c>
      <c r="J13" s="50">
        <v>44263.802384259259</v>
      </c>
      <c r="K13" s="45">
        <v>124392</v>
      </c>
      <c r="L13" s="45">
        <v>28720</v>
      </c>
      <c r="M13" s="45">
        <v>95672</v>
      </c>
      <c r="N13" s="45" t="s">
        <v>193</v>
      </c>
      <c r="O13" s="49">
        <v>44263.703055555554</v>
      </c>
      <c r="P13" s="47">
        <v>112831</v>
      </c>
      <c r="Q13" s="45">
        <v>10</v>
      </c>
      <c r="R13" s="49">
        <v>44252.486643518518</v>
      </c>
      <c r="S13" s="45" t="s">
        <v>202</v>
      </c>
      <c r="T13" s="45">
        <v>38160</v>
      </c>
      <c r="U13" s="45">
        <v>38160</v>
      </c>
      <c r="V13" s="45">
        <v>10364</v>
      </c>
      <c r="W13" s="45" t="s">
        <v>195</v>
      </c>
      <c r="X13" s="45" t="s">
        <v>171</v>
      </c>
      <c r="Y13" s="45" t="s">
        <v>196</v>
      </c>
      <c r="Z13" s="45" t="s">
        <v>195</v>
      </c>
      <c r="AA13" s="45" t="s">
        <v>171</v>
      </c>
      <c r="AB13" s="45" t="s">
        <v>196</v>
      </c>
      <c r="AC13" s="49">
        <v>44263.703055555554</v>
      </c>
      <c r="AD13" s="45" t="s">
        <v>218</v>
      </c>
    </row>
    <row r="14" spans="1:30" hidden="1" x14ac:dyDescent="0.25">
      <c r="A14" s="45" t="s">
        <v>213</v>
      </c>
      <c r="B14" s="46" t="s">
        <v>167</v>
      </c>
      <c r="C14" s="45" t="s">
        <v>173</v>
      </c>
      <c r="D14" s="45" t="s">
        <v>181</v>
      </c>
      <c r="E14" s="45" t="s">
        <v>7</v>
      </c>
      <c r="F14" s="45" t="s">
        <v>182</v>
      </c>
      <c r="G14" s="45">
        <v>8424047</v>
      </c>
      <c r="H14" s="45" t="s">
        <v>168</v>
      </c>
      <c r="I14" s="49">
        <v>44257.91306712963</v>
      </c>
      <c r="J14" s="50">
        <v>44262.611041666663</v>
      </c>
      <c r="K14" s="45">
        <v>118520</v>
      </c>
      <c r="L14" s="45">
        <v>30120</v>
      </c>
      <c r="M14" s="45">
        <v>88400</v>
      </c>
      <c r="N14" s="45" t="s">
        <v>203</v>
      </c>
      <c r="O14" s="49">
        <v>44257.715324074074</v>
      </c>
      <c r="P14" s="47">
        <v>5926</v>
      </c>
      <c r="Q14" s="45">
        <v>1</v>
      </c>
      <c r="R14" s="49">
        <v>44256.589884259258</v>
      </c>
      <c r="S14" s="45" t="s">
        <v>204</v>
      </c>
      <c r="T14" s="45">
        <v>48820</v>
      </c>
      <c r="U14" s="45">
        <v>48820</v>
      </c>
      <c r="V14" s="45">
        <v>17476</v>
      </c>
      <c r="W14" s="45" t="s">
        <v>175</v>
      </c>
      <c r="X14" s="45" t="s">
        <v>173</v>
      </c>
      <c r="Y14" s="45" t="s">
        <v>176</v>
      </c>
      <c r="Z14" s="45" t="s">
        <v>175</v>
      </c>
      <c r="AA14" s="45" t="s">
        <v>174</v>
      </c>
      <c r="AB14" s="45" t="s">
        <v>176</v>
      </c>
      <c r="AC14" s="49">
        <v>44257.715324074074</v>
      </c>
      <c r="AD14" s="45" t="s">
        <v>219</v>
      </c>
    </row>
    <row r="15" spans="1:30" hidden="1" x14ac:dyDescent="0.25">
      <c r="A15" s="45" t="s">
        <v>213</v>
      </c>
      <c r="B15" s="46" t="s">
        <v>167</v>
      </c>
      <c r="C15" s="45" t="s">
        <v>173</v>
      </c>
      <c r="D15" s="45" t="s">
        <v>181</v>
      </c>
      <c r="E15" s="45" t="s">
        <v>7</v>
      </c>
      <c r="F15" s="45" t="s">
        <v>182</v>
      </c>
      <c r="G15" s="45">
        <v>8424047</v>
      </c>
      <c r="H15" s="45" t="s">
        <v>168</v>
      </c>
      <c r="I15" s="49">
        <v>44257.91306712963</v>
      </c>
      <c r="J15" s="50">
        <v>44262.611041666663</v>
      </c>
      <c r="K15" s="45">
        <v>118520</v>
      </c>
      <c r="L15" s="45">
        <v>30120</v>
      </c>
      <c r="M15" s="45">
        <v>88400</v>
      </c>
      <c r="N15" s="45" t="s">
        <v>203</v>
      </c>
      <c r="O15" s="49">
        <v>44257.718553240738</v>
      </c>
      <c r="P15" s="47">
        <v>5924</v>
      </c>
      <c r="Q15" s="45">
        <v>1</v>
      </c>
      <c r="R15" s="49">
        <v>44256.528182870374</v>
      </c>
      <c r="S15" s="45" t="s">
        <v>205</v>
      </c>
      <c r="T15" s="45">
        <v>48880</v>
      </c>
      <c r="U15" s="45">
        <v>48880</v>
      </c>
      <c r="V15" s="45">
        <v>48700</v>
      </c>
      <c r="W15" s="45" t="s">
        <v>175</v>
      </c>
      <c r="X15" s="45" t="s">
        <v>173</v>
      </c>
      <c r="Y15" s="45" t="s">
        <v>176</v>
      </c>
      <c r="Z15" s="45" t="s">
        <v>175</v>
      </c>
      <c r="AA15" s="45" t="s">
        <v>174</v>
      </c>
      <c r="AB15" s="45" t="s">
        <v>176</v>
      </c>
      <c r="AC15" s="49">
        <v>44257.718553240738</v>
      </c>
      <c r="AD15" s="45" t="s">
        <v>219</v>
      </c>
    </row>
    <row r="16" spans="1:30" hidden="1" x14ac:dyDescent="0.25">
      <c r="A16" s="45" t="s">
        <v>213</v>
      </c>
      <c r="B16" s="46" t="s">
        <v>167</v>
      </c>
      <c r="C16" s="45" t="s">
        <v>173</v>
      </c>
      <c r="D16" s="45" t="s">
        <v>181</v>
      </c>
      <c r="E16" s="45" t="s">
        <v>7</v>
      </c>
      <c r="F16" s="45" t="s">
        <v>182</v>
      </c>
      <c r="G16" s="45">
        <v>8424047</v>
      </c>
      <c r="H16" s="45" t="s">
        <v>168</v>
      </c>
      <c r="I16" s="49">
        <v>44257.91306712963</v>
      </c>
      <c r="J16" s="50">
        <v>44262.611041666663</v>
      </c>
      <c r="K16" s="45">
        <v>118520</v>
      </c>
      <c r="L16" s="45">
        <v>30120</v>
      </c>
      <c r="M16" s="45">
        <v>88400</v>
      </c>
      <c r="N16" s="45" t="s">
        <v>203</v>
      </c>
      <c r="O16" s="49">
        <v>44257.761111111111</v>
      </c>
      <c r="P16" s="47">
        <v>5935</v>
      </c>
      <c r="Q16" s="45">
        <v>1</v>
      </c>
      <c r="R16" s="49">
        <v>44256.682662037034</v>
      </c>
      <c r="S16" s="45" t="s">
        <v>206</v>
      </c>
      <c r="T16" s="45">
        <v>35820</v>
      </c>
      <c r="U16" s="45">
        <v>35820</v>
      </c>
      <c r="V16" s="45">
        <v>22224</v>
      </c>
      <c r="W16" s="45" t="s">
        <v>175</v>
      </c>
      <c r="X16" s="45" t="s">
        <v>173</v>
      </c>
      <c r="Y16" s="45" t="s">
        <v>176</v>
      </c>
      <c r="Z16" s="45" t="s">
        <v>175</v>
      </c>
      <c r="AA16" s="45" t="s">
        <v>174</v>
      </c>
      <c r="AB16" s="45" t="s">
        <v>176</v>
      </c>
      <c r="AC16" s="49">
        <v>44257.761111111111</v>
      </c>
      <c r="AD16" s="45" t="s">
        <v>219</v>
      </c>
    </row>
    <row r="17" spans="1:30" hidden="1" x14ac:dyDescent="0.25">
      <c r="A17" s="45" t="s">
        <v>213</v>
      </c>
      <c r="B17" s="46" t="s">
        <v>167</v>
      </c>
      <c r="C17" s="45" t="s">
        <v>173</v>
      </c>
      <c r="D17" s="45" t="s">
        <v>181</v>
      </c>
      <c r="E17" s="45" t="s">
        <v>7</v>
      </c>
      <c r="F17" s="45" t="s">
        <v>182</v>
      </c>
      <c r="G17" s="45">
        <v>8448949</v>
      </c>
      <c r="H17" s="45" t="s">
        <v>172</v>
      </c>
      <c r="I17" s="49">
        <v>44257.894999999997</v>
      </c>
      <c r="J17" s="50">
        <v>44262.611041666663</v>
      </c>
      <c r="K17" s="45">
        <v>121192</v>
      </c>
      <c r="L17" s="45">
        <v>28790</v>
      </c>
      <c r="M17" s="45">
        <v>92402</v>
      </c>
      <c r="N17" s="45" t="s">
        <v>203</v>
      </c>
      <c r="O17" s="49">
        <v>44255.162928240738</v>
      </c>
      <c r="P17" s="47">
        <v>5884</v>
      </c>
      <c r="Q17" s="45">
        <v>1</v>
      </c>
      <c r="R17" s="49">
        <v>44253.654942129629</v>
      </c>
      <c r="S17" s="45" t="s">
        <v>207</v>
      </c>
      <c r="T17" s="45">
        <v>50500</v>
      </c>
      <c r="U17" s="45">
        <v>50500</v>
      </c>
      <c r="V17" s="45">
        <v>18066</v>
      </c>
      <c r="W17" s="45" t="s">
        <v>175</v>
      </c>
      <c r="X17" s="45" t="s">
        <v>173</v>
      </c>
      <c r="Y17" s="45" t="s">
        <v>176</v>
      </c>
      <c r="Z17" s="45" t="s">
        <v>175</v>
      </c>
      <c r="AA17" s="45" t="s">
        <v>174</v>
      </c>
      <c r="AB17" s="45" t="s">
        <v>176</v>
      </c>
      <c r="AC17" s="49">
        <v>44255.162928240738</v>
      </c>
      <c r="AD17" s="45" t="s">
        <v>220</v>
      </c>
    </row>
    <row r="18" spans="1:30" hidden="1" x14ac:dyDescent="0.25">
      <c r="A18" s="45" t="s">
        <v>213</v>
      </c>
      <c r="B18" s="46" t="s">
        <v>167</v>
      </c>
      <c r="C18" s="45" t="s">
        <v>173</v>
      </c>
      <c r="D18" s="45" t="s">
        <v>181</v>
      </c>
      <c r="E18" s="45" t="s">
        <v>7</v>
      </c>
      <c r="F18" s="45" t="s">
        <v>182</v>
      </c>
      <c r="G18" s="45">
        <v>8448949</v>
      </c>
      <c r="H18" s="45" t="s">
        <v>172</v>
      </c>
      <c r="I18" s="49">
        <v>44257.894999999997</v>
      </c>
      <c r="J18" s="50">
        <v>44262.611041666663</v>
      </c>
      <c r="K18" s="45">
        <v>121192</v>
      </c>
      <c r="L18" s="45">
        <v>28790</v>
      </c>
      <c r="M18" s="45">
        <v>92402</v>
      </c>
      <c r="N18" s="45" t="s">
        <v>203</v>
      </c>
      <c r="O18" s="49">
        <v>44256.648657407408</v>
      </c>
      <c r="P18" s="47">
        <v>5917</v>
      </c>
      <c r="Q18" s="45">
        <v>1</v>
      </c>
      <c r="R18" s="49">
        <v>44255.835868055554</v>
      </c>
      <c r="S18" s="45" t="s">
        <v>208</v>
      </c>
      <c r="T18" s="45">
        <v>50840</v>
      </c>
      <c r="U18" s="45">
        <v>50840</v>
      </c>
      <c r="V18" s="45">
        <v>36546</v>
      </c>
      <c r="W18" s="45" t="s">
        <v>175</v>
      </c>
      <c r="X18" s="45" t="s">
        <v>173</v>
      </c>
      <c r="Y18" s="45" t="s">
        <v>176</v>
      </c>
      <c r="Z18" s="45" t="s">
        <v>175</v>
      </c>
      <c r="AA18" s="45" t="s">
        <v>174</v>
      </c>
      <c r="AB18" s="45" t="s">
        <v>176</v>
      </c>
      <c r="AC18" s="49">
        <v>44256.648657407408</v>
      </c>
      <c r="AD18" s="45" t="s">
        <v>220</v>
      </c>
    </row>
    <row r="19" spans="1:30" hidden="1" x14ac:dyDescent="0.25">
      <c r="A19" s="45" t="s">
        <v>213</v>
      </c>
      <c r="B19" s="46" t="s">
        <v>167</v>
      </c>
      <c r="C19" s="45" t="s">
        <v>173</v>
      </c>
      <c r="D19" s="45" t="s">
        <v>181</v>
      </c>
      <c r="E19" s="45" t="s">
        <v>7</v>
      </c>
      <c r="F19" s="45" t="s">
        <v>182</v>
      </c>
      <c r="G19" s="45">
        <v>8448949</v>
      </c>
      <c r="H19" s="45" t="s">
        <v>172</v>
      </c>
      <c r="I19" s="49">
        <v>44257.894999999997</v>
      </c>
      <c r="J19" s="50">
        <v>44262.611041666663</v>
      </c>
      <c r="K19" s="45">
        <v>121192</v>
      </c>
      <c r="L19" s="45">
        <v>28790</v>
      </c>
      <c r="M19" s="45">
        <v>92402</v>
      </c>
      <c r="N19" s="45" t="s">
        <v>203</v>
      </c>
      <c r="O19" s="49">
        <v>44255.192175925928</v>
      </c>
      <c r="P19" s="47">
        <v>5880</v>
      </c>
      <c r="Q19" s="45">
        <v>1</v>
      </c>
      <c r="R19" s="49">
        <v>44253.567708333336</v>
      </c>
      <c r="S19" s="45" t="s">
        <v>209</v>
      </c>
      <c r="T19" s="45">
        <v>37940</v>
      </c>
      <c r="U19" s="45">
        <v>37940</v>
      </c>
      <c r="V19" s="45">
        <v>37790</v>
      </c>
      <c r="W19" s="45" t="s">
        <v>175</v>
      </c>
      <c r="X19" s="45" t="s">
        <v>173</v>
      </c>
      <c r="Y19" s="45" t="s">
        <v>176</v>
      </c>
      <c r="Z19" s="45" t="s">
        <v>175</v>
      </c>
      <c r="AA19" s="45" t="s">
        <v>174</v>
      </c>
      <c r="AB19" s="45" t="s">
        <v>176</v>
      </c>
      <c r="AC19" s="49">
        <v>44255.192175925928</v>
      </c>
      <c r="AD19" s="45" t="s">
        <v>220</v>
      </c>
    </row>
    <row r="20" spans="1:30" hidden="1" x14ac:dyDescent="0.25">
      <c r="A20" s="45" t="s">
        <v>213</v>
      </c>
      <c r="B20" s="46" t="s">
        <v>167</v>
      </c>
      <c r="C20" s="45" t="s">
        <v>173</v>
      </c>
      <c r="D20" s="45" t="s">
        <v>181</v>
      </c>
      <c r="E20" s="45" t="s">
        <v>7</v>
      </c>
      <c r="F20" s="45" t="s">
        <v>182</v>
      </c>
      <c r="G20" s="45">
        <v>8423008</v>
      </c>
      <c r="H20" s="45" t="s">
        <v>168</v>
      </c>
      <c r="I20" s="49">
        <v>44257.881493055553</v>
      </c>
      <c r="J20" s="50">
        <v>44262.611030092594</v>
      </c>
      <c r="K20" s="45">
        <v>119259</v>
      </c>
      <c r="L20" s="45">
        <v>30520</v>
      </c>
      <c r="M20" s="45">
        <v>88739</v>
      </c>
      <c r="N20" s="45" t="s">
        <v>203</v>
      </c>
      <c r="O20" s="49">
        <v>44254.359317129631</v>
      </c>
      <c r="P20" s="47">
        <v>5862</v>
      </c>
      <c r="Q20" s="45">
        <v>1</v>
      </c>
      <c r="R20" s="49">
        <v>44252.703217592592</v>
      </c>
      <c r="S20" s="45" t="s">
        <v>210</v>
      </c>
      <c r="T20" s="45">
        <v>38010</v>
      </c>
      <c r="U20" s="45">
        <v>38010</v>
      </c>
      <c r="V20" s="45">
        <v>25583</v>
      </c>
      <c r="W20" s="45" t="s">
        <v>175</v>
      </c>
      <c r="X20" s="45" t="s">
        <v>173</v>
      </c>
      <c r="Y20" s="45" t="s">
        <v>176</v>
      </c>
      <c r="Z20" s="45" t="s">
        <v>175</v>
      </c>
      <c r="AA20" s="45" t="s">
        <v>174</v>
      </c>
      <c r="AB20" s="45" t="s">
        <v>176</v>
      </c>
      <c r="AC20" s="49">
        <v>44254.359317129631</v>
      </c>
      <c r="AD20" s="45" t="s">
        <v>221</v>
      </c>
    </row>
  </sheetData>
  <autoFilter ref="A1:AD20" xr:uid="{5DFFBC91-AA27-4155-8175-7F959FFD2269}">
    <filterColumn colId="0">
      <filters>
        <filter val="2021 COFCO/SOJA/TCS X T12ATCS - CHAPADÃO DO SUL"/>
      </filters>
    </filterColumn>
    <filterColumn colId="22">
      <filters>
        <filter val="29.332.398/0002-26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58"/>
  <sheetViews>
    <sheetView workbookViewId="0">
      <selection activeCell="H10" sqref="H10"/>
    </sheetView>
  </sheetViews>
  <sheetFormatPr defaultColWidth="8.85546875" defaultRowHeight="15" x14ac:dyDescent="0.25"/>
  <cols>
    <col min="1" max="1" width="17.7109375" style="1" bestFit="1" customWidth="1"/>
    <col min="2" max="2" width="31" style="1" bestFit="1" customWidth="1"/>
    <col min="3" max="3" width="16.5703125" style="34" bestFit="1" customWidth="1"/>
    <col min="4" max="4" width="42.85546875" style="1" customWidth="1"/>
    <col min="5" max="5" width="25.5703125" style="33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63.140625" style="1" bestFit="1" customWidth="1"/>
    <col min="13" max="13" width="23" style="1" bestFit="1" customWidth="1"/>
    <col min="14" max="14" width="15.140625" style="1" bestFit="1" customWidth="1"/>
    <col min="15" max="16384" width="8.85546875" style="1"/>
  </cols>
  <sheetData>
    <row r="1" spans="1:19" x14ac:dyDescent="0.25">
      <c r="A1" s="1" t="s">
        <v>1</v>
      </c>
      <c r="B1" s="1" t="s">
        <v>2</v>
      </c>
      <c r="C1" s="32"/>
      <c r="D1" s="32" t="s">
        <v>3</v>
      </c>
      <c r="E1" s="32" t="s">
        <v>1</v>
      </c>
      <c r="G1" s="1" t="s">
        <v>4</v>
      </c>
      <c r="K1"/>
      <c r="L1"/>
      <c r="M1" s="1">
        <v>1</v>
      </c>
      <c r="N1" s="43" t="s">
        <v>76</v>
      </c>
      <c r="O1" s="1" t="s">
        <v>212</v>
      </c>
      <c r="P1" s="1" t="s">
        <v>178</v>
      </c>
    </row>
    <row r="2" spans="1:19" x14ac:dyDescent="0.25">
      <c r="A2" s="15" t="s">
        <v>63</v>
      </c>
      <c r="B2" s="23" t="s">
        <v>80</v>
      </c>
      <c r="C2" s="35" t="str">
        <f>SUBSTITUTE(SUBSTITUTE(SUBSTITUTE(E2,".",""),"/",""),"-","")</f>
        <v>02003402000760</v>
      </c>
      <c r="D2" s="36" t="s">
        <v>5</v>
      </c>
      <c r="E2" s="37" t="s">
        <v>6</v>
      </c>
      <c r="G2" s="25" t="s">
        <v>8</v>
      </c>
      <c r="H2" s="26" t="s">
        <v>108</v>
      </c>
      <c r="K2"/>
      <c r="L2"/>
      <c r="M2"/>
      <c r="N2" s="14"/>
      <c r="O2"/>
      <c r="P2"/>
      <c r="Q2"/>
    </row>
    <row r="3" spans="1:19" x14ac:dyDescent="0.25">
      <c r="A3" s="15" t="s">
        <v>64</v>
      </c>
      <c r="B3" s="23" t="s">
        <v>81</v>
      </c>
      <c r="C3" s="35" t="str">
        <f t="shared" ref="C3:C10" si="0">SUBSTITUTE(SUBSTITUTE(SUBSTITUTE(E3,".",""),"/",""),"-","")</f>
        <v>56216872000146</v>
      </c>
      <c r="D3" s="36" t="s">
        <v>157</v>
      </c>
      <c r="E3" s="37" t="s">
        <v>7</v>
      </c>
      <c r="G3" s="25" t="s">
        <v>109</v>
      </c>
      <c r="H3" s="27" t="s">
        <v>110</v>
      </c>
      <c r="I3" s="1" t="s">
        <v>9</v>
      </c>
      <c r="K3"/>
      <c r="L3"/>
      <c r="M3"/>
    </row>
    <row r="4" spans="1:19" x14ac:dyDescent="0.25">
      <c r="A4" s="15" t="s">
        <v>65</v>
      </c>
      <c r="B4" s="23" t="s">
        <v>82</v>
      </c>
      <c r="C4" s="35" t="str">
        <f t="shared" si="0"/>
        <v>04244527000112</v>
      </c>
      <c r="D4" s="36" t="s">
        <v>10</v>
      </c>
      <c r="E4" s="37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  <c r="S4"/>
    </row>
    <row r="5" spans="1:19" x14ac:dyDescent="0.25">
      <c r="A5" s="16" t="s">
        <v>66</v>
      </c>
      <c r="B5" s="24" t="s">
        <v>83</v>
      </c>
      <c r="C5" s="35" t="str">
        <f t="shared" si="0"/>
        <v>05527694000133</v>
      </c>
      <c r="D5" s="36" t="s">
        <v>13</v>
      </c>
      <c r="E5" s="37" t="s">
        <v>14</v>
      </c>
      <c r="G5" s="9"/>
      <c r="H5" s="7"/>
      <c r="K5" s="31" t="s">
        <v>42</v>
      </c>
      <c r="L5" s="31" t="s">
        <v>19</v>
      </c>
      <c r="M5" s="31" t="s">
        <v>20</v>
      </c>
      <c r="N5"/>
      <c r="O5"/>
      <c r="P5"/>
      <c r="Q5"/>
      <c r="R5"/>
      <c r="S5"/>
    </row>
    <row r="6" spans="1:19" x14ac:dyDescent="0.25">
      <c r="A6" s="15" t="s">
        <v>67</v>
      </c>
      <c r="B6" s="23" t="s">
        <v>84</v>
      </c>
      <c r="C6" s="35" t="str">
        <f t="shared" si="0"/>
        <v>09079434000101</v>
      </c>
      <c r="D6" s="36" t="s">
        <v>15</v>
      </c>
      <c r="E6" s="37" t="s">
        <v>16</v>
      </c>
      <c r="G6" s="9"/>
      <c r="H6" s="10"/>
      <c r="J6" s="1">
        <f t="shared" ref="J6:J37" si="1">IF(K6&lt;&gt;"",IF(K6=K5,J5+1,1),"")</f>
        <v>1</v>
      </c>
      <c r="K6" t="s">
        <v>175</v>
      </c>
      <c r="L6" t="s">
        <v>213</v>
      </c>
      <c r="M6" t="s">
        <v>167</v>
      </c>
      <c r="N6"/>
      <c r="O6"/>
      <c r="P6"/>
      <c r="Q6"/>
      <c r="R6"/>
      <c r="S6"/>
    </row>
    <row r="7" spans="1:19" x14ac:dyDescent="0.25">
      <c r="A7" s="16" t="s">
        <v>68</v>
      </c>
      <c r="B7" s="23" t="s">
        <v>85</v>
      </c>
      <c r="C7" s="35" t="str">
        <f t="shared" si="0"/>
        <v>04731861000109</v>
      </c>
      <c r="D7" s="36" t="s">
        <v>105</v>
      </c>
      <c r="E7" s="38" t="s">
        <v>106</v>
      </c>
      <c r="G7" s="45" t="s">
        <v>177</v>
      </c>
      <c r="H7" s="45" t="s">
        <v>179</v>
      </c>
      <c r="J7" s="1">
        <f t="shared" si="1"/>
        <v>1</v>
      </c>
      <c r="K7" t="s">
        <v>185</v>
      </c>
      <c r="L7" t="s">
        <v>211</v>
      </c>
      <c r="M7" t="s">
        <v>177</v>
      </c>
      <c r="N7"/>
      <c r="O7"/>
      <c r="P7"/>
      <c r="Q7"/>
      <c r="R7"/>
      <c r="S7"/>
    </row>
    <row r="8" spans="1:19" x14ac:dyDescent="0.25">
      <c r="A8" s="15" t="s">
        <v>69</v>
      </c>
      <c r="B8" s="23" t="s">
        <v>86</v>
      </c>
      <c r="C8" s="35" t="str">
        <f t="shared" si="0"/>
        <v>02933023000265</v>
      </c>
      <c r="D8" s="36" t="s">
        <v>107</v>
      </c>
      <c r="E8" s="38" t="s">
        <v>18</v>
      </c>
      <c r="G8" s="45" t="s">
        <v>178</v>
      </c>
      <c r="H8" s="45" t="s">
        <v>180</v>
      </c>
      <c r="J8" s="1">
        <f t="shared" si="1"/>
        <v>1</v>
      </c>
      <c r="K8" t="s">
        <v>195</v>
      </c>
      <c r="L8" t="s">
        <v>212</v>
      </c>
      <c r="M8" t="s">
        <v>178</v>
      </c>
      <c r="N8"/>
      <c r="O8"/>
      <c r="P8"/>
      <c r="Q8"/>
      <c r="R8"/>
      <c r="S8"/>
    </row>
    <row r="9" spans="1:19" x14ac:dyDescent="0.25">
      <c r="A9" s="15" t="s">
        <v>70</v>
      </c>
      <c r="B9" s="23" t="s">
        <v>87</v>
      </c>
      <c r="C9" s="35" t="str">
        <f t="shared" si="0"/>
        <v>25278404000172</v>
      </c>
      <c r="D9" s="36" t="s">
        <v>156</v>
      </c>
      <c r="E9" s="38" t="s">
        <v>17</v>
      </c>
      <c r="G9" s="45" t="s">
        <v>167</v>
      </c>
      <c r="H9" s="52" t="s">
        <v>119</v>
      </c>
      <c r="J9" s="1" t="str">
        <f t="shared" si="1"/>
        <v/>
      </c>
      <c r="K9"/>
      <c r="L9"/>
      <c r="M9"/>
      <c r="N9"/>
      <c r="O9"/>
      <c r="P9"/>
      <c r="Q9"/>
      <c r="R9"/>
      <c r="S9"/>
    </row>
    <row r="10" spans="1:19" x14ac:dyDescent="0.25">
      <c r="A10" s="15" t="s">
        <v>71</v>
      </c>
      <c r="B10" s="23" t="s">
        <v>88</v>
      </c>
      <c r="C10" s="35" t="str">
        <f t="shared" si="0"/>
        <v>61145488000300</v>
      </c>
      <c r="D10" s="36" t="s">
        <v>162</v>
      </c>
      <c r="E10" s="38" t="s">
        <v>163</v>
      </c>
      <c r="J10" s="1" t="str">
        <f t="shared" si="1"/>
        <v/>
      </c>
      <c r="K10"/>
      <c r="L10"/>
      <c r="M10"/>
      <c r="N10"/>
      <c r="O10"/>
      <c r="P10"/>
      <c r="Q10"/>
      <c r="R10"/>
      <c r="S10"/>
    </row>
    <row r="11" spans="1:19" x14ac:dyDescent="0.25">
      <c r="A11" s="15" t="s">
        <v>72</v>
      </c>
      <c r="B11" s="23" t="s">
        <v>89</v>
      </c>
      <c r="C11" s="35" t="str">
        <f t="shared" ref="C11" si="2">SUBSTITUTE(SUBSTITUTE(SUBSTITUTE(E11,".",""),"/",""),"-","")</f>
        <v>02933023000265</v>
      </c>
      <c r="D11" s="36" t="s">
        <v>165</v>
      </c>
      <c r="E11" s="38" t="s">
        <v>18</v>
      </c>
      <c r="J11" s="1" t="str">
        <f t="shared" si="1"/>
        <v/>
      </c>
      <c r="K11"/>
      <c r="L11"/>
      <c r="M11"/>
      <c r="N11"/>
      <c r="O11"/>
      <c r="P11"/>
      <c r="Q11"/>
      <c r="R11"/>
      <c r="S11"/>
    </row>
    <row r="12" spans="1:19" x14ac:dyDescent="0.25">
      <c r="A12" s="15" t="s">
        <v>73</v>
      </c>
      <c r="B12" s="23" t="s">
        <v>90</v>
      </c>
      <c r="C12" s="35" t="str">
        <f t="shared" ref="C12" si="3">SUBSTITUTE(SUBSTITUTE(SUBSTITUTE(E12,".",""),"/",""),"-","")</f>
        <v>05527694000133</v>
      </c>
      <c r="D12" s="36" t="s">
        <v>166</v>
      </c>
      <c r="E12" s="38" t="s">
        <v>14</v>
      </c>
      <c r="J12" s="1" t="str">
        <f t="shared" si="1"/>
        <v/>
      </c>
      <c r="K12"/>
      <c r="L12"/>
      <c r="M12"/>
      <c r="N12"/>
      <c r="O12"/>
      <c r="P12"/>
      <c r="Q12"/>
      <c r="R12"/>
    </row>
    <row r="13" spans="1:19" x14ac:dyDescent="0.25">
      <c r="A13" s="15" t="s">
        <v>74</v>
      </c>
      <c r="B13" s="23" t="s">
        <v>91</v>
      </c>
      <c r="C13" s="35"/>
      <c r="D13" s="39"/>
      <c r="E13" s="40"/>
      <c r="J13" s="1" t="str">
        <f t="shared" si="1"/>
        <v/>
      </c>
      <c r="K13"/>
      <c r="L13"/>
      <c r="M13"/>
      <c r="N13"/>
      <c r="O13"/>
      <c r="P13"/>
      <c r="Q13"/>
      <c r="R13"/>
    </row>
    <row r="14" spans="1:19" x14ac:dyDescent="0.25">
      <c r="A14" s="15" t="s">
        <v>66</v>
      </c>
      <c r="B14" s="23" t="s">
        <v>92</v>
      </c>
      <c r="C14" s="35"/>
      <c r="D14" s="39"/>
      <c r="E14" s="40"/>
      <c r="J14" s="1" t="str">
        <f t="shared" si="1"/>
        <v/>
      </c>
      <c r="K14"/>
      <c r="L14"/>
      <c r="M14"/>
      <c r="N14"/>
      <c r="O14"/>
      <c r="P14"/>
      <c r="Q14"/>
      <c r="R14"/>
    </row>
    <row r="15" spans="1:19" x14ac:dyDescent="0.25">
      <c r="A15" s="15" t="s">
        <v>75</v>
      </c>
      <c r="B15" s="23" t="s">
        <v>93</v>
      </c>
      <c r="C15" s="35"/>
      <c r="D15" s="39"/>
      <c r="E15" s="40"/>
      <c r="J15" s="1" t="str">
        <f t="shared" si="1"/>
        <v/>
      </c>
      <c r="K15"/>
      <c r="L15"/>
      <c r="M15"/>
      <c r="N15"/>
      <c r="O15"/>
      <c r="P15"/>
      <c r="Q15"/>
      <c r="R15"/>
    </row>
    <row r="16" spans="1:19" x14ac:dyDescent="0.25">
      <c r="A16" s="15" t="s">
        <v>69</v>
      </c>
      <c r="B16" s="23" t="s">
        <v>94</v>
      </c>
      <c r="C16" s="35"/>
      <c r="D16" s="39"/>
      <c r="E16" s="40"/>
      <c r="J16" s="1" t="str">
        <f t="shared" si="1"/>
        <v/>
      </c>
      <c r="K16"/>
      <c r="L16"/>
      <c r="M16"/>
      <c r="N16"/>
      <c r="O16"/>
      <c r="P16"/>
      <c r="Q16"/>
      <c r="R16"/>
    </row>
    <row r="17" spans="1:17" x14ac:dyDescent="0.25">
      <c r="A17" s="15" t="s">
        <v>67</v>
      </c>
      <c r="B17" s="23" t="s">
        <v>95</v>
      </c>
      <c r="C17" s="35"/>
      <c r="D17" s="39"/>
      <c r="E17" s="40"/>
      <c r="J17" s="1" t="str">
        <f t="shared" si="1"/>
        <v/>
      </c>
      <c r="K17"/>
      <c r="L17"/>
      <c r="M17"/>
      <c r="N17"/>
      <c r="O17"/>
      <c r="P17"/>
      <c r="Q17"/>
    </row>
    <row r="18" spans="1:17" x14ac:dyDescent="0.25">
      <c r="A18" s="15" t="s">
        <v>74</v>
      </c>
      <c r="B18" s="23" t="s">
        <v>96</v>
      </c>
      <c r="C18" s="35"/>
      <c r="D18" s="39"/>
      <c r="E18" s="40"/>
      <c r="J18" s="1" t="str">
        <f t="shared" si="1"/>
        <v/>
      </c>
      <c r="K18"/>
      <c r="L18"/>
      <c r="M18"/>
      <c r="N18"/>
      <c r="O18"/>
      <c r="P18"/>
      <c r="Q18"/>
    </row>
    <row r="19" spans="1:17" x14ac:dyDescent="0.25">
      <c r="A19" s="15" t="s">
        <v>60</v>
      </c>
      <c r="B19" s="23" t="s">
        <v>97</v>
      </c>
      <c r="C19" s="35"/>
      <c r="D19" s="39"/>
      <c r="E19" s="40"/>
      <c r="J19" s="1" t="str">
        <f t="shared" si="1"/>
        <v/>
      </c>
      <c r="K19"/>
      <c r="L19"/>
      <c r="M19"/>
      <c r="N19"/>
      <c r="O19"/>
      <c r="P19"/>
      <c r="Q19"/>
    </row>
    <row r="20" spans="1:17" x14ac:dyDescent="0.25">
      <c r="A20" s="15" t="s">
        <v>76</v>
      </c>
      <c r="B20" s="23" t="s">
        <v>98</v>
      </c>
      <c r="C20" s="35"/>
      <c r="D20" s="39"/>
      <c r="E20" s="40"/>
      <c r="J20" s="1" t="str">
        <f t="shared" si="1"/>
        <v/>
      </c>
      <c r="K20"/>
      <c r="L20"/>
      <c r="M20"/>
      <c r="N20"/>
      <c r="O20"/>
      <c r="P20"/>
      <c r="Q20"/>
    </row>
    <row r="21" spans="1:17" x14ac:dyDescent="0.25">
      <c r="A21" s="15" t="s">
        <v>61</v>
      </c>
      <c r="B21" s="23" t="s">
        <v>99</v>
      </c>
      <c r="C21" s="35"/>
      <c r="D21" s="39"/>
      <c r="E21" s="40"/>
      <c r="J21" s="1" t="str">
        <f t="shared" si="1"/>
        <v/>
      </c>
      <c r="K21"/>
      <c r="L21"/>
      <c r="M21"/>
      <c r="N21"/>
      <c r="O21"/>
      <c r="P21"/>
      <c r="Q21"/>
    </row>
    <row r="22" spans="1:17" x14ac:dyDescent="0.25">
      <c r="A22" s="15" t="s">
        <v>62</v>
      </c>
      <c r="B22" s="23" t="s">
        <v>100</v>
      </c>
      <c r="C22" s="35"/>
      <c r="D22" s="39"/>
      <c r="E22" s="40"/>
      <c r="J22" s="1" t="str">
        <f t="shared" si="1"/>
        <v/>
      </c>
      <c r="K22"/>
      <c r="L22"/>
      <c r="M22"/>
      <c r="N22"/>
      <c r="O22"/>
      <c r="P22"/>
      <c r="Q22"/>
    </row>
    <row r="23" spans="1:17" x14ac:dyDescent="0.25">
      <c r="A23" s="15" t="s">
        <v>77</v>
      </c>
      <c r="B23" s="23" t="s">
        <v>101</v>
      </c>
      <c r="C23" s="35"/>
      <c r="D23" s="39"/>
      <c r="E23" s="40"/>
      <c r="J23" s="1" t="str">
        <f t="shared" si="1"/>
        <v/>
      </c>
      <c r="K23"/>
      <c r="L23"/>
      <c r="M23"/>
      <c r="N23"/>
      <c r="O23"/>
      <c r="P23"/>
      <c r="Q23"/>
    </row>
    <row r="24" spans="1:17" x14ac:dyDescent="0.25">
      <c r="A24" s="15" t="s">
        <v>78</v>
      </c>
      <c r="B24" s="23" t="s">
        <v>102</v>
      </c>
      <c r="C24" s="35"/>
      <c r="D24" s="39"/>
      <c r="E24" s="40"/>
      <c r="J24" s="1" t="str">
        <f t="shared" si="1"/>
        <v/>
      </c>
      <c r="K24"/>
      <c r="L24"/>
      <c r="M24"/>
      <c r="N24"/>
      <c r="O24"/>
      <c r="P24"/>
      <c r="Q24"/>
    </row>
    <row r="25" spans="1:17" x14ac:dyDescent="0.25">
      <c r="A25" s="15" t="s">
        <v>79</v>
      </c>
      <c r="B25" s="23" t="s">
        <v>103</v>
      </c>
      <c r="C25" s="35"/>
      <c r="D25" s="39"/>
      <c r="E25" s="40"/>
      <c r="J25" s="1" t="str">
        <f t="shared" si="1"/>
        <v/>
      </c>
      <c r="K25"/>
      <c r="L25"/>
      <c r="M25"/>
      <c r="N25"/>
      <c r="O25"/>
      <c r="P25"/>
      <c r="Q25"/>
    </row>
    <row r="26" spans="1:17" x14ac:dyDescent="0.25">
      <c r="A26" s="15" t="s">
        <v>59</v>
      </c>
      <c r="B26" s="23" t="s">
        <v>104</v>
      </c>
      <c r="C26" s="35"/>
      <c r="D26" s="39"/>
      <c r="E26" s="40"/>
      <c r="J26" s="1" t="str">
        <f t="shared" si="1"/>
        <v/>
      </c>
      <c r="K26"/>
      <c r="L26"/>
      <c r="M26"/>
      <c r="N26"/>
      <c r="O26"/>
      <c r="P26"/>
      <c r="Q26"/>
    </row>
    <row r="27" spans="1:17" x14ac:dyDescent="0.25">
      <c r="A27" s="1" t="s">
        <v>124</v>
      </c>
      <c r="B27" s="23" t="s">
        <v>155</v>
      </c>
      <c r="C27" s="35"/>
      <c r="D27" s="39"/>
      <c r="E27" s="40"/>
      <c r="J27" s="1" t="str">
        <f t="shared" si="1"/>
        <v/>
      </c>
      <c r="K27"/>
      <c r="L27"/>
      <c r="M27"/>
      <c r="N27"/>
      <c r="O27"/>
      <c r="P27"/>
      <c r="Q27"/>
    </row>
    <row r="28" spans="1:17" x14ac:dyDescent="0.25">
      <c r="A28" s="1" t="s">
        <v>125</v>
      </c>
      <c r="B28" s="23" t="s">
        <v>155</v>
      </c>
      <c r="C28" s="35"/>
      <c r="D28" s="39"/>
      <c r="E28" s="40"/>
      <c r="J28" s="1" t="str">
        <f t="shared" si="1"/>
        <v/>
      </c>
      <c r="K28"/>
      <c r="L28"/>
      <c r="M28"/>
      <c r="N28"/>
      <c r="O28"/>
      <c r="P28"/>
      <c r="Q28"/>
    </row>
    <row r="29" spans="1:17" x14ac:dyDescent="0.25">
      <c r="A29" s="1" t="s">
        <v>126</v>
      </c>
      <c r="B29" s="23" t="s">
        <v>155</v>
      </c>
      <c r="C29" s="35"/>
      <c r="D29" s="39"/>
      <c r="E29" s="40"/>
      <c r="J29" s="1" t="str">
        <f t="shared" si="1"/>
        <v/>
      </c>
      <c r="K29"/>
      <c r="L29"/>
      <c r="M29"/>
      <c r="N29"/>
      <c r="O29"/>
      <c r="P29"/>
      <c r="Q29"/>
    </row>
    <row r="30" spans="1:17" x14ac:dyDescent="0.25">
      <c r="A30" s="1" t="s">
        <v>127</v>
      </c>
      <c r="B30" s="23" t="s">
        <v>155</v>
      </c>
      <c r="C30" s="35"/>
      <c r="D30" s="39"/>
      <c r="E30" s="40"/>
      <c r="J30" s="1" t="str">
        <f t="shared" si="1"/>
        <v/>
      </c>
      <c r="K30"/>
      <c r="L30"/>
      <c r="M30"/>
      <c r="N30"/>
      <c r="O30"/>
      <c r="P30"/>
      <c r="Q30"/>
    </row>
    <row r="31" spans="1:17" x14ac:dyDescent="0.25">
      <c r="A31" s="1" t="s">
        <v>128</v>
      </c>
      <c r="B31" s="23" t="s">
        <v>155</v>
      </c>
      <c r="C31" s="35"/>
      <c r="D31" s="39"/>
      <c r="E31" s="40"/>
      <c r="J31" s="1" t="str">
        <f t="shared" si="1"/>
        <v/>
      </c>
      <c r="K31"/>
      <c r="L31"/>
      <c r="M31"/>
      <c r="N31"/>
      <c r="O31"/>
      <c r="P31"/>
      <c r="Q31"/>
    </row>
    <row r="32" spans="1:17" x14ac:dyDescent="0.25">
      <c r="A32" s="1" t="s">
        <v>129</v>
      </c>
      <c r="B32" s="23" t="s">
        <v>155</v>
      </c>
      <c r="C32" s="35"/>
      <c r="D32" s="39"/>
      <c r="E32" s="40"/>
      <c r="J32" s="1" t="str">
        <f t="shared" si="1"/>
        <v/>
      </c>
      <c r="K32"/>
      <c r="L32"/>
      <c r="M32"/>
      <c r="N32"/>
      <c r="O32"/>
      <c r="P32"/>
      <c r="Q32"/>
    </row>
    <row r="33" spans="1:17" x14ac:dyDescent="0.25">
      <c r="A33" s="1" t="s">
        <v>130</v>
      </c>
      <c r="B33" s="23" t="s">
        <v>155</v>
      </c>
      <c r="J33" s="1" t="str">
        <f t="shared" si="1"/>
        <v/>
      </c>
      <c r="K33"/>
      <c r="L33"/>
      <c r="M33"/>
      <c r="N33"/>
      <c r="O33"/>
      <c r="P33"/>
      <c r="Q33"/>
    </row>
    <row r="34" spans="1:17" x14ac:dyDescent="0.25">
      <c r="A34" s="1" t="s">
        <v>131</v>
      </c>
      <c r="B34" s="23" t="s">
        <v>155</v>
      </c>
      <c r="D34" s="41" t="s">
        <v>164</v>
      </c>
      <c r="J34" s="1" t="str">
        <f t="shared" si="1"/>
        <v/>
      </c>
      <c r="K34"/>
      <c r="L34"/>
      <c r="M34"/>
      <c r="N34"/>
      <c r="O34"/>
      <c r="P34"/>
      <c r="Q34"/>
    </row>
    <row r="35" spans="1:17" x14ac:dyDescent="0.25">
      <c r="A35" s="1" t="s">
        <v>132</v>
      </c>
      <c r="B35" s="23" t="s">
        <v>155</v>
      </c>
      <c r="J35" s="1" t="str">
        <f t="shared" si="1"/>
        <v/>
      </c>
      <c r="K35"/>
      <c r="L35"/>
      <c r="M35"/>
      <c r="N35"/>
      <c r="O35"/>
      <c r="P35"/>
      <c r="Q35"/>
    </row>
    <row r="36" spans="1:17" x14ac:dyDescent="0.25">
      <c r="A36" s="1" t="s">
        <v>133</v>
      </c>
      <c r="B36" s="23" t="s">
        <v>155</v>
      </c>
      <c r="J36" s="1" t="str">
        <f t="shared" si="1"/>
        <v/>
      </c>
      <c r="K36"/>
      <c r="L36"/>
      <c r="M36"/>
      <c r="N36"/>
      <c r="O36"/>
      <c r="P36"/>
      <c r="Q36"/>
    </row>
    <row r="37" spans="1:17" x14ac:dyDescent="0.25">
      <c r="A37" s="1" t="s">
        <v>134</v>
      </c>
      <c r="B37" s="23" t="s">
        <v>155</v>
      </c>
      <c r="J37" s="1" t="str">
        <f t="shared" si="1"/>
        <v/>
      </c>
      <c r="K37"/>
      <c r="L37"/>
      <c r="M37"/>
      <c r="N37"/>
      <c r="O37"/>
      <c r="P37"/>
      <c r="Q37"/>
    </row>
    <row r="38" spans="1:17" x14ac:dyDescent="0.25">
      <c r="A38" s="1" t="s">
        <v>135</v>
      </c>
      <c r="B38" s="23" t="s">
        <v>155</v>
      </c>
      <c r="J38" s="1" t="str">
        <f t="shared" ref="J38:J54" si="4">IF(K38&lt;&gt;"",IF(K38=K37,J37+1,1),"")</f>
        <v/>
      </c>
      <c r="K38"/>
      <c r="L38"/>
      <c r="M38"/>
      <c r="N38"/>
      <c r="O38"/>
      <c r="P38"/>
      <c r="Q38"/>
    </row>
    <row r="39" spans="1:17" x14ac:dyDescent="0.25">
      <c r="A39" s="1" t="s">
        <v>136</v>
      </c>
      <c r="B39" s="23" t="s">
        <v>155</v>
      </c>
      <c r="J39" s="1" t="str">
        <f t="shared" si="4"/>
        <v/>
      </c>
      <c r="K39"/>
      <c r="L39"/>
      <c r="M39"/>
      <c r="N39"/>
      <c r="O39"/>
      <c r="P39"/>
      <c r="Q39"/>
    </row>
    <row r="40" spans="1:17" x14ac:dyDescent="0.25">
      <c r="A40" s="1" t="s">
        <v>137</v>
      </c>
      <c r="B40" s="23" t="s">
        <v>155</v>
      </c>
      <c r="J40" s="1" t="str">
        <f t="shared" si="4"/>
        <v/>
      </c>
      <c r="K40"/>
      <c r="L40"/>
      <c r="M40"/>
      <c r="N40"/>
      <c r="O40"/>
      <c r="P40"/>
      <c r="Q40"/>
    </row>
    <row r="41" spans="1:17" x14ac:dyDescent="0.25">
      <c r="A41" s="1" t="s">
        <v>138</v>
      </c>
      <c r="B41" s="23" t="s">
        <v>155</v>
      </c>
      <c r="J41" s="1" t="str">
        <f t="shared" si="4"/>
        <v/>
      </c>
      <c r="K41"/>
      <c r="L41"/>
      <c r="M41"/>
      <c r="N41"/>
      <c r="O41"/>
      <c r="P41"/>
      <c r="Q41"/>
    </row>
    <row r="42" spans="1:17" x14ac:dyDescent="0.25">
      <c r="A42" s="1" t="s">
        <v>139</v>
      </c>
      <c r="B42" s="23" t="s">
        <v>155</v>
      </c>
      <c r="J42" s="1" t="str">
        <f t="shared" si="4"/>
        <v/>
      </c>
      <c r="K42"/>
      <c r="L42"/>
      <c r="M42"/>
      <c r="N42"/>
      <c r="O42"/>
      <c r="P42"/>
      <c r="Q42"/>
    </row>
    <row r="43" spans="1:17" x14ac:dyDescent="0.25">
      <c r="A43" s="1" t="s">
        <v>140</v>
      </c>
      <c r="B43" s="23" t="s">
        <v>155</v>
      </c>
      <c r="J43" s="1" t="str">
        <f t="shared" si="4"/>
        <v/>
      </c>
      <c r="K43"/>
      <c r="L43"/>
      <c r="M43"/>
      <c r="N43"/>
      <c r="O43"/>
      <c r="P43"/>
      <c r="Q43"/>
    </row>
    <row r="44" spans="1:17" x14ac:dyDescent="0.25">
      <c r="A44" s="1" t="s">
        <v>141</v>
      </c>
      <c r="B44" s="23" t="s">
        <v>155</v>
      </c>
      <c r="J44" s="1" t="str">
        <f t="shared" si="4"/>
        <v/>
      </c>
      <c r="K44"/>
      <c r="L44"/>
      <c r="M44"/>
      <c r="N44"/>
      <c r="O44"/>
      <c r="P44"/>
      <c r="Q44"/>
    </row>
    <row r="45" spans="1:17" x14ac:dyDescent="0.25">
      <c r="A45" s="1" t="s">
        <v>142</v>
      </c>
      <c r="B45" s="23" t="s">
        <v>155</v>
      </c>
      <c r="J45" s="1" t="str">
        <f t="shared" si="4"/>
        <v/>
      </c>
      <c r="K45"/>
      <c r="L45"/>
      <c r="M45"/>
      <c r="N45"/>
      <c r="O45"/>
      <c r="P45"/>
      <c r="Q45"/>
    </row>
    <row r="46" spans="1:17" x14ac:dyDescent="0.25">
      <c r="A46" s="1" t="s">
        <v>143</v>
      </c>
      <c r="B46" s="23" t="s">
        <v>155</v>
      </c>
      <c r="J46" s="1" t="str">
        <f t="shared" si="4"/>
        <v/>
      </c>
      <c r="K46"/>
      <c r="L46"/>
      <c r="M46"/>
      <c r="N46"/>
      <c r="O46"/>
      <c r="P46"/>
      <c r="Q46"/>
    </row>
    <row r="47" spans="1:17" x14ac:dyDescent="0.25">
      <c r="A47" s="1" t="s">
        <v>144</v>
      </c>
      <c r="B47" s="23" t="s">
        <v>155</v>
      </c>
      <c r="J47" s="1" t="str">
        <f t="shared" si="4"/>
        <v/>
      </c>
      <c r="K47"/>
      <c r="L47"/>
      <c r="M47"/>
      <c r="N47"/>
      <c r="O47"/>
      <c r="P47"/>
      <c r="Q47"/>
    </row>
    <row r="48" spans="1:17" x14ac:dyDescent="0.25">
      <c r="A48" s="1" t="s">
        <v>145</v>
      </c>
      <c r="B48" s="23" t="s">
        <v>155</v>
      </c>
      <c r="J48" s="1" t="str">
        <f t="shared" si="4"/>
        <v/>
      </c>
      <c r="K48"/>
      <c r="L48"/>
      <c r="M48"/>
      <c r="N48"/>
      <c r="O48"/>
      <c r="P48"/>
      <c r="Q48"/>
    </row>
    <row r="49" spans="1:17" x14ac:dyDescent="0.25">
      <c r="A49" s="1" t="s">
        <v>146</v>
      </c>
      <c r="B49" s="23" t="s">
        <v>155</v>
      </c>
      <c r="J49" s="1" t="str">
        <f t="shared" si="4"/>
        <v/>
      </c>
      <c r="K49"/>
      <c r="L49"/>
      <c r="M49"/>
      <c r="N49"/>
      <c r="O49"/>
      <c r="P49"/>
      <c r="Q49"/>
    </row>
    <row r="50" spans="1:17" x14ac:dyDescent="0.25">
      <c r="A50" s="1" t="s">
        <v>147</v>
      </c>
      <c r="B50" s="23" t="s">
        <v>155</v>
      </c>
      <c r="J50" s="1" t="str">
        <f t="shared" si="4"/>
        <v/>
      </c>
      <c r="K50"/>
      <c r="L50"/>
      <c r="M50"/>
    </row>
    <row r="51" spans="1:17" x14ac:dyDescent="0.25">
      <c r="A51" s="1" t="s">
        <v>148</v>
      </c>
      <c r="B51" s="23" t="s">
        <v>155</v>
      </c>
      <c r="J51" s="1" t="str">
        <f t="shared" si="4"/>
        <v/>
      </c>
      <c r="K51"/>
      <c r="L51"/>
      <c r="M51"/>
    </row>
    <row r="52" spans="1:17" x14ac:dyDescent="0.25">
      <c r="A52" s="1" t="s">
        <v>149</v>
      </c>
      <c r="B52" s="23" t="s">
        <v>155</v>
      </c>
      <c r="J52" s="1" t="str">
        <f t="shared" si="4"/>
        <v/>
      </c>
      <c r="K52"/>
    </row>
    <row r="53" spans="1:17" x14ac:dyDescent="0.25">
      <c r="A53" s="1" t="s">
        <v>150</v>
      </c>
      <c r="B53" s="23" t="s">
        <v>155</v>
      </c>
      <c r="J53" s="1" t="str">
        <f t="shared" si="4"/>
        <v/>
      </c>
    </row>
    <row r="54" spans="1:17" x14ac:dyDescent="0.25">
      <c r="A54" s="1" t="s">
        <v>151</v>
      </c>
      <c r="B54" s="23" t="s">
        <v>155</v>
      </c>
      <c r="J54" s="1" t="str">
        <f t="shared" si="4"/>
        <v/>
      </c>
    </row>
    <row r="55" spans="1:17" x14ac:dyDescent="0.25">
      <c r="A55" s="1" t="s">
        <v>152</v>
      </c>
      <c r="B55" s="23" t="s">
        <v>155</v>
      </c>
    </row>
    <row r="56" spans="1:17" x14ac:dyDescent="0.25">
      <c r="A56" s="1" t="s">
        <v>153</v>
      </c>
      <c r="B56" s="23" t="s">
        <v>155</v>
      </c>
    </row>
    <row r="57" spans="1:17" x14ac:dyDescent="0.25">
      <c r="A57" s="1" t="s">
        <v>154</v>
      </c>
      <c r="B57" s="23" t="s">
        <v>155</v>
      </c>
    </row>
    <row r="58" spans="1:17" x14ac:dyDescent="0.25">
      <c r="A58" s="43" t="s">
        <v>169</v>
      </c>
      <c r="B58" s="23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8"/>
  <sheetViews>
    <sheetView tabSelected="1" workbookViewId="0">
      <selection activeCell="C11" sqref="C11:E18"/>
    </sheetView>
  </sheetViews>
  <sheetFormatPr defaultColWidth="13.140625" defaultRowHeight="15" x14ac:dyDescent="0.2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1"/>
    <col min="13" max="15" width="13.140625" style="1"/>
    <col min="16" max="16" width="14.85546875" style="20" bestFit="1" customWidth="1"/>
    <col min="17" max="17" width="32.140625" style="20" bestFit="1" customWidth="1"/>
    <col min="18" max="18" width="13.7109375" style="20" bestFit="1" customWidth="1"/>
    <col min="19" max="16384" width="13.140625" style="1"/>
  </cols>
  <sheetData>
    <row r="1" spans="1:17" x14ac:dyDescent="0.25">
      <c r="A1" s="1" t="s">
        <v>111</v>
      </c>
      <c r="F1" s="3" t="s">
        <v>44</v>
      </c>
    </row>
    <row r="2" spans="1:17" x14ac:dyDescent="0.25">
      <c r="H2" s="2" t="s">
        <v>45</v>
      </c>
    </row>
    <row r="3" spans="1:17" x14ac:dyDescent="0.25">
      <c r="A3" s="4" t="s">
        <v>112</v>
      </c>
      <c r="E3" s="2" t="s">
        <v>113</v>
      </c>
      <c r="O3" s="5" t="s">
        <v>114</v>
      </c>
    </row>
    <row r="4" spans="1:17" x14ac:dyDescent="0.25">
      <c r="A4" s="4" t="s">
        <v>46</v>
      </c>
      <c r="B4" s="19" t="s">
        <v>115</v>
      </c>
      <c r="C4" s="22" t="str">
        <f>B10</f>
        <v>29332398000226</v>
      </c>
    </row>
    <row r="5" spans="1:17" x14ac:dyDescent="0.25">
      <c r="A5" s="4" t="s">
        <v>47</v>
      </c>
      <c r="B5" s="19" t="s">
        <v>116</v>
      </c>
    </row>
    <row r="6" spans="1:17" x14ac:dyDescent="0.25">
      <c r="A6" s="4" t="s">
        <v>48</v>
      </c>
      <c r="B6" s="19" t="s">
        <v>117</v>
      </c>
    </row>
    <row r="7" spans="1:17" x14ac:dyDescent="0.25">
      <c r="A7" s="4" t="s">
        <v>49</v>
      </c>
      <c r="B7" s="25" t="s">
        <v>212</v>
      </c>
      <c r="C7" s="44" t="str">
        <f>VLOOKUP(B7,FILTRO!A:E,5,0)</f>
        <v>56.216.872/0001-46</v>
      </c>
      <c r="E7" s="9" t="s">
        <v>118</v>
      </c>
      <c r="F7" s="1" t="str">
        <f>IFERROR(VLOOKUP(BASE!P1,BASE!G7:H14,2,0),"")</f>
        <v>24.962.466/0005-60</v>
      </c>
    </row>
    <row r="8" spans="1:17" x14ac:dyDescent="0.25">
      <c r="A8" s="4" t="s">
        <v>50</v>
      </c>
      <c r="B8" s="19" t="s">
        <v>120</v>
      </c>
    </row>
    <row r="9" spans="1:17" x14ac:dyDescent="0.25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8" t="s">
        <v>0</v>
      </c>
      <c r="N9" s="5" t="s">
        <v>58</v>
      </c>
      <c r="O9" s="3" t="s">
        <v>122</v>
      </c>
      <c r="Q9" s="20" t="s">
        <v>123</v>
      </c>
    </row>
    <row r="10" spans="1:17" x14ac:dyDescent="0.25">
      <c r="A10" s="23" t="str">
        <f>VLOOKUP(B10,BASE!A:B,2,0)</f>
        <v>NOBLE - 16</v>
      </c>
      <c r="B10" s="28" t="str">
        <f>BASE!N1</f>
        <v>29332398000226</v>
      </c>
    </row>
    <row r="11" spans="1:17" x14ac:dyDescent="0.25">
      <c r="A11" s="45" t="s">
        <v>216</v>
      </c>
      <c r="C11" s="45">
        <v>37540</v>
      </c>
      <c r="D11" s="45">
        <v>37540</v>
      </c>
      <c r="E11" s="45">
        <v>37540</v>
      </c>
      <c r="F11" s="51">
        <v>44263.802430555559</v>
      </c>
      <c r="J11" s="45">
        <v>37540</v>
      </c>
      <c r="K11" s="1">
        <v>0</v>
      </c>
      <c r="L11" s="48">
        <v>112594</v>
      </c>
      <c r="M11" s="45">
        <v>10</v>
      </c>
      <c r="N11" s="47">
        <v>37540</v>
      </c>
      <c r="O11" s="1" t="s">
        <v>170</v>
      </c>
    </row>
    <row r="12" spans="1:17" x14ac:dyDescent="0.25">
      <c r="A12" s="45" t="s">
        <v>216</v>
      </c>
      <c r="C12" s="45">
        <v>40000</v>
      </c>
      <c r="D12" s="45">
        <v>40000</v>
      </c>
      <c r="E12" s="45">
        <v>37472</v>
      </c>
      <c r="F12" s="51">
        <v>44263.802430555559</v>
      </c>
      <c r="J12" s="45">
        <v>37472</v>
      </c>
      <c r="K12" s="1">
        <v>0</v>
      </c>
      <c r="L12" s="48">
        <v>112600</v>
      </c>
      <c r="M12" s="45">
        <v>10</v>
      </c>
      <c r="N12" s="47">
        <v>37472</v>
      </c>
      <c r="O12" s="1" t="s">
        <v>170</v>
      </c>
    </row>
    <row r="13" spans="1:17" x14ac:dyDescent="0.25">
      <c r="A13" s="45" t="s">
        <v>216</v>
      </c>
      <c r="C13" s="45">
        <v>37960</v>
      </c>
      <c r="D13" s="45">
        <v>37960</v>
      </c>
      <c r="E13" s="45">
        <v>21812</v>
      </c>
      <c r="F13" s="51">
        <v>44263.802430555559</v>
      </c>
      <c r="J13" s="45">
        <v>21812</v>
      </c>
      <c r="K13" s="1">
        <v>0</v>
      </c>
      <c r="L13" s="48">
        <v>112561</v>
      </c>
      <c r="M13" s="45">
        <v>10</v>
      </c>
      <c r="N13" s="47">
        <v>21812</v>
      </c>
      <c r="O13" s="1" t="s">
        <v>170</v>
      </c>
    </row>
    <row r="14" spans="1:17" x14ac:dyDescent="0.25">
      <c r="A14" s="45" t="s">
        <v>217</v>
      </c>
      <c r="C14" s="45">
        <v>50720</v>
      </c>
      <c r="D14" s="45">
        <v>50720</v>
      </c>
      <c r="E14" s="45">
        <v>23060</v>
      </c>
      <c r="F14" s="51">
        <v>44263.802384259259</v>
      </c>
      <c r="J14" s="45">
        <v>23060</v>
      </c>
      <c r="K14" s="1">
        <v>0</v>
      </c>
      <c r="L14" s="48">
        <v>113563</v>
      </c>
      <c r="M14" s="45">
        <v>10</v>
      </c>
      <c r="N14" s="47">
        <v>23060</v>
      </c>
      <c r="O14" s="1" t="s">
        <v>170</v>
      </c>
    </row>
    <row r="15" spans="1:17" x14ac:dyDescent="0.25">
      <c r="A15" s="45" t="s">
        <v>217</v>
      </c>
      <c r="C15" s="45">
        <v>37620</v>
      </c>
      <c r="D15" s="45">
        <v>37620</v>
      </c>
      <c r="E15" s="45">
        <v>21800</v>
      </c>
      <c r="F15" s="51">
        <v>44263.802384259259</v>
      </c>
      <c r="J15" s="45">
        <v>21800</v>
      </c>
      <c r="K15" s="1">
        <v>0</v>
      </c>
      <c r="L15" s="48">
        <v>113476</v>
      </c>
      <c r="M15" s="45">
        <v>10</v>
      </c>
      <c r="N15" s="47">
        <v>21800</v>
      </c>
      <c r="O15" s="1" t="s">
        <v>170</v>
      </c>
    </row>
    <row r="16" spans="1:17" x14ac:dyDescent="0.25">
      <c r="A16" s="45" t="s">
        <v>217</v>
      </c>
      <c r="C16" s="45">
        <v>50280</v>
      </c>
      <c r="D16" s="45">
        <v>50280</v>
      </c>
      <c r="E16" s="45">
        <v>50280</v>
      </c>
      <c r="F16" s="51">
        <v>44263.802384259259</v>
      </c>
      <c r="J16" s="45">
        <v>50280</v>
      </c>
      <c r="K16" s="1">
        <v>0</v>
      </c>
      <c r="L16" s="48">
        <v>113520</v>
      </c>
      <c r="M16" s="45">
        <v>10</v>
      </c>
      <c r="N16" s="47">
        <v>50280</v>
      </c>
      <c r="O16" s="1" t="s">
        <v>170</v>
      </c>
    </row>
    <row r="17" spans="1:15" x14ac:dyDescent="0.25">
      <c r="A17" s="45" t="s">
        <v>218</v>
      </c>
      <c r="C17" s="45">
        <v>40000</v>
      </c>
      <c r="D17" s="45">
        <v>40000</v>
      </c>
      <c r="E17" s="45">
        <v>2528</v>
      </c>
      <c r="F17" s="51">
        <v>44263.802384259259</v>
      </c>
      <c r="J17" s="45">
        <v>2528</v>
      </c>
      <c r="K17" s="1">
        <v>0</v>
      </c>
      <c r="L17" s="48">
        <v>112600</v>
      </c>
      <c r="M17" s="45">
        <v>10</v>
      </c>
      <c r="N17" s="47">
        <v>2528</v>
      </c>
      <c r="O17" s="1" t="s">
        <v>170</v>
      </c>
    </row>
    <row r="18" spans="1:15" x14ac:dyDescent="0.25">
      <c r="A18" s="45" t="s">
        <v>218</v>
      </c>
      <c r="C18" s="45">
        <v>38160</v>
      </c>
      <c r="D18" s="45">
        <v>38160</v>
      </c>
      <c r="E18" s="45">
        <v>10364</v>
      </c>
      <c r="F18" s="51">
        <v>44263.802384259259</v>
      </c>
      <c r="J18" s="45">
        <v>10364</v>
      </c>
      <c r="K18" s="1">
        <v>0</v>
      </c>
      <c r="L18" s="48">
        <v>112831</v>
      </c>
      <c r="M18" s="45">
        <v>10</v>
      </c>
      <c r="N18" s="47">
        <v>10364</v>
      </c>
      <c r="O18" s="1" t="s">
        <v>170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2021-03-11T12:11:27Z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