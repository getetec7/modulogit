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9\"/>
    </mc:Choice>
  </mc:AlternateContent>
  <xr:revisionPtr revIDLastSave="0" documentId="13_ncr:1_{7AFAC11D-1408-44B4-B3B7-2AA7269E456D}" xr6:coauthVersionLast="46" xr6:coauthVersionMax="46" xr10:uidLastSave="{00000000-0000-0000-0000-000000000000}"/>
  <bookViews>
    <workbookView xWindow="-120" yWindow="-120" windowWidth="24240" windowHeight="17790" tabRatio="381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20" r:id="rId4"/>
  </pivotCaches>
</workbook>
</file>

<file path=xl/calcChain.xml><?xml version="1.0" encoding="utf-8"?>
<calcChain xmlns="http://schemas.openxmlformats.org/spreadsheetml/2006/main">
  <c r="H11" i="12" l="1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M2" i="10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<sst xmlns="http://schemas.openxmlformats.org/spreadsheetml/2006/main" count="1853" uniqueCount="356">
  <si>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</si>
  <si>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</si>
  <si>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</si>
  <si>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</si>
  <si>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</si>
  <si>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</si>
  <si>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</si>
  <si>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</si>
  <si>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</si>
  <si>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</si>
  <si>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</si>
  <si>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</si>
  <si>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</si>
  <si>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</si>
  <si>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</si>
  <si>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</si>
  <si>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</si>
  <si>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</si>
  <si>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</si>
  <si>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</si>
  <si>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</si>
  <si>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</si>
  <si>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</si>
  <si>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</si>
  <si>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</si>
  <si>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</si>
  <si>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</si>
  <si>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</si>
  <si>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</si>
  <si>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</si>
  <si>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</si>
  <si>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</si>
  <si>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</si>
  <si>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</si>
  <si>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</si>
  <si>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</si>
  <si>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</si>
  <si>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</si>
  <si>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</si>
  <si>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</si>
  <si>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</si>
  <si>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</si>
  <si>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</si>
  <si>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</si>
  <si>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</si>
  <si>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</si>
  <si>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</si>
  <si>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</si>
  <si>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</si>
  <si>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</si>
  <si>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</si>
  <si>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</si>
  <si>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</si>
  <si>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</si>
  <si>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</si>
  <si>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</si>
  <si>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</si>
  <si>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</si>
  <si>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</si>
  <si>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</si>
  <si>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</si>
  <si>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</si>
  <si>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</si>
  <si>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</si>
  <si>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</si>
  <si>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</si>
  <si>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</si>
  <si>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</si>
  <si>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</si>
  <si>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</si>
  <si>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</si>
  <si>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</si>
  <si>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</si>
  <si>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</si>
  <si>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</si>
  <si>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</si>
  <si>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</si>
  <si>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</si>
  <si>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</si>
  <si>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</si>
  <si>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</si>
  <si>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</si>
  <si>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</si>
  <si>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</si>
  <si>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</si>
  <si>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</si>
  <si>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</si>
  <si>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</si>
  <si>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</si>
  <si>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</si>
  <si>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</si>
  <si>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</si>
  <si>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</si>
  <si>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</si>
  <si>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</si>
  <si>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</si>
  <si>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</si>
  <si>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</si>
  <si>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</si>
  <si>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</si>
  <si>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</si>
  <si>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</si>
  <si>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</si>
  <si>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</si>
  <si>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</si>
  <si>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</si>
  <si>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</si>
  <si>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</si>
  <si>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</si>
  <si>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</si>
  <si>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</si>
  <si>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</si>
  <si>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</si>
  <si>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</si>
  <si>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</si>
  <si>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</si>
  <si>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</si>
  <si>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</si>
  <si>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</si>
  <si>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</si>
  <si>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</si>
  <si>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</si>
  <si>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</si>
  <si>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</si>
  <si>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</si>
  <si>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</si>
  <si>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</si>
  <si>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</si>
  <si>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</si>
  <si>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</si>
  <si>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</si>
  <si>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</si>
  <si>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</si>
  <si>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</si>
  <si>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</si>
  <si>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</si>
  <si>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</si>
  <si>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</si>
  <si>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</si>
  <si>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</si>
  <si>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</si>
  <si>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</si>
  <si>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</si>
  <si>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</si>
  <si>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</si>
  <si>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</si>
  <si>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</si>
  <si>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</si>
  <si>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</si>
  <si>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</si>
  <si>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</si>
  <si>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</si>
  <si>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</si>
  <si>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</si>
  <si>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</si>
  <si>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</si>
  <si>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</si>
  <si>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</si>
  <si>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</si>
  <si>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</si>
  <si>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</si>
  <si>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</si>
  <si>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</si>
  <si>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</si>
  <si>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</si>
  <si>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</si>
  <si>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</si>
  <si>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</si>
  <si>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</si>
  <si>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</si>
  <si>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</si>
  <si>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</si>
  <si>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</si>
  <si>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</si>
  <si>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</si>
  <si>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</si>
  <si>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</si>
  <si>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</si>
  <si>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</si>
  <si>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</si>
  <si>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</si>
  <si>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</si>
  <si>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</si>
  <si>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</si>
  <si>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</si>
  <si>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</si>
  <si>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</si>
  <si>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112</t>
  </si>
  <si>
    <t>P</t>
  </si>
  <si>
    <t>00.924.429/0001-75</t>
  </si>
  <si>
    <t>02.476.026/0008-02</t>
  </si>
  <si>
    <t>TIPI</t>
  </si>
  <si>
    <t>20210203-TIPI-000007</t>
  </si>
  <si>
    <t>L-283</t>
  </si>
  <si>
    <t>COFCO INTERNATIONAL BRASIL S.A. - UBERLANDIA</t>
  </si>
  <si>
    <t>06.315.338/0177-80</t>
  </si>
  <si>
    <t>COFCO INTERNATIONAL BRASIL S A - UBERLANDIA</t>
  </si>
  <si>
    <t>COFCO INTERNATIONAL BRASIL S.A.</t>
  </si>
  <si>
    <t>HFE7052740</t>
  </si>
  <si>
    <t>16759</t>
  </si>
  <si>
    <t>31210106315338017780550010000167591179525360</t>
  </si>
  <si>
    <t>Vitória ES - Tubarão</t>
  </si>
  <si>
    <t>133418</t>
  </si>
  <si>
    <t>31210242276907000209570010014111141354758359</t>
  </si>
  <si>
    <t>16762</t>
  </si>
  <si>
    <t>31210106315338017780550010000167621635212647</t>
  </si>
  <si>
    <t>20210203-TIPI-000020</t>
  </si>
  <si>
    <t>HPD6461310</t>
  </si>
  <si>
    <t>16791</t>
  </si>
  <si>
    <t>31210206315338017780550010000167911365087514</t>
  </si>
  <si>
    <t>133415</t>
  </si>
  <si>
    <t>31210242276907000209570010014111161578242393</t>
  </si>
  <si>
    <t>16792</t>
  </si>
  <si>
    <t>31210206315338017780550010000167921669358426</t>
  </si>
  <si>
    <t>20210203-TIPI-000001</t>
  </si>
  <si>
    <t>HFE2530511</t>
  </si>
  <si>
    <t>16799</t>
  </si>
  <si>
    <t>31210206315338017780550010000167991835914410</t>
  </si>
  <si>
    <t>133414</t>
  </si>
  <si>
    <t>31210242276907000209570010014111201400580348</t>
  </si>
  <si>
    <t>16800</t>
  </si>
  <si>
    <t>31210206315338017780550010000168001079488481</t>
  </si>
  <si>
    <t>20210203-TIPI-000022</t>
  </si>
  <si>
    <t>HFE7050054</t>
  </si>
  <si>
    <t>16793</t>
  </si>
  <si>
    <t>31210206315338017780550010000167931381256290</t>
  </si>
  <si>
    <t>133419</t>
  </si>
  <si>
    <t>31210242276907000209570010014111191842694461</t>
  </si>
  <si>
    <t>20210203-TIPI-000025</t>
  </si>
  <si>
    <t>HFE2470021</t>
  </si>
  <si>
    <t>133417</t>
  </si>
  <si>
    <t>31210242276907000209570010014111171531894901</t>
  </si>
  <si>
    <t>16794</t>
  </si>
  <si>
    <t>31210206315338017780550010000167941601458578</t>
  </si>
  <si>
    <t>20210203-TIPI-000003</t>
  </si>
  <si>
    <t>HFE7057458</t>
  </si>
  <si>
    <t>16802</t>
  </si>
  <si>
    <t>31210206315338017780550010000168021908263135</t>
  </si>
  <si>
    <t>133412</t>
  </si>
  <si>
    <t>31210242276907000209570010014111151012745005</t>
  </si>
  <si>
    <t>16803</t>
  </si>
  <si>
    <t>31210206315338017780550010000168031835243870</t>
  </si>
  <si>
    <t>20210203-TIPI-000006</t>
  </si>
  <si>
    <t>HFE2531895</t>
  </si>
  <si>
    <t>133420</t>
  </si>
  <si>
    <t>31210242276907000209570010014111231697652298</t>
  </si>
  <si>
    <t>16795</t>
  </si>
  <si>
    <t>31210206315338017780550010000167951361720572</t>
  </si>
  <si>
    <t>20210203-TIPI-000002</t>
  </si>
  <si>
    <t>HFE7057440</t>
  </si>
  <si>
    <t>16796</t>
  </si>
  <si>
    <t>31210206315338017780550010000167961630171278</t>
  </si>
  <si>
    <t>133421</t>
  </si>
  <si>
    <t>31210242276907000209570010014111241866054292</t>
  </si>
  <si>
    <t>20210203-TIPI-000004</t>
  </si>
  <si>
    <t>HFE2537508</t>
  </si>
  <si>
    <t>16797</t>
  </si>
  <si>
    <t>31210206315338017780550010000167971413297122</t>
  </si>
  <si>
    <t>133422</t>
  </si>
  <si>
    <t>31210242276907000209570010014112841098040407</t>
  </si>
  <si>
    <t>20210203-TIPI-000005</t>
  </si>
  <si>
    <t>HFE2537494</t>
  </si>
  <si>
    <t>133423</t>
  </si>
  <si>
    <t>31210242276907000209570010014112791927143609</t>
  </si>
  <si>
    <t>16798</t>
  </si>
  <si>
    <t>31210206315338017780550010000167981084054699</t>
  </si>
  <si>
    <t>20210203-TIPI-000008</t>
  </si>
  <si>
    <t>HFE7052731</t>
  </si>
  <si>
    <t>16801</t>
  </si>
  <si>
    <t>31210206315338017780550010000168011580766330</t>
  </si>
  <si>
    <t>133424</t>
  </si>
  <si>
    <t>31210242276907000209570010014111281994651110</t>
  </si>
  <si>
    <t>20210203-TIPI-000009</t>
  </si>
  <si>
    <t>HFE2539390</t>
  </si>
  <si>
    <t>133425</t>
  </si>
  <si>
    <t>31210242276907000209570010014111261573561829</t>
  </si>
  <si>
    <t>20210203-TIPI-000034</t>
  </si>
  <si>
    <t>HFE2532620</t>
  </si>
  <si>
    <t>133519</t>
  </si>
  <si>
    <t>31210242276907000209570010014111751167164870</t>
  </si>
  <si>
    <t>16763</t>
  </si>
  <si>
    <t>31210106315338017780550010000167631813082237</t>
  </si>
  <si>
    <t>20210203-TIPI-000035</t>
  </si>
  <si>
    <t>HPD6035388</t>
  </si>
  <si>
    <t>16773</t>
  </si>
  <si>
    <t>31210106315338017780550010000167731611511508</t>
  </si>
  <si>
    <t>133520</t>
  </si>
  <si>
    <t>31210242276907000209570010014111781159042576</t>
  </si>
  <si>
    <t>20210203-TIPI-000036</t>
  </si>
  <si>
    <t>HFD2413884</t>
  </si>
  <si>
    <t>16774</t>
  </si>
  <si>
    <t>31210106315338017780550010000167741533742281</t>
  </si>
  <si>
    <t>133521</t>
  </si>
  <si>
    <t>31210242276907000209570010014111791693696806</t>
  </si>
  <si>
    <t>20210203-TIPI-000037</t>
  </si>
  <si>
    <t>HFE2542315</t>
  </si>
  <si>
    <t>133544</t>
  </si>
  <si>
    <t>31210242276907000209570010014111861398258997</t>
  </si>
  <si>
    <t>16775</t>
  </si>
  <si>
    <t>31210106315338017780550010000167751570463487</t>
  </si>
  <si>
    <t>20210203-TIPI-000014</t>
  </si>
  <si>
    <t>HPD3051048</t>
  </si>
  <si>
    <t>133547</t>
  </si>
  <si>
    <t>31210242276907000209570010014111801618656755</t>
  </si>
  <si>
    <t>16776</t>
  </si>
  <si>
    <t>31210106315338017780550010000167761257833472</t>
  </si>
  <si>
    <t>20210203-TIPI-000031</t>
  </si>
  <si>
    <t>HFE2542226</t>
  </si>
  <si>
    <t>16777</t>
  </si>
  <si>
    <t>31210106315338017780550010000167771592698376</t>
  </si>
  <si>
    <t>133551</t>
  </si>
  <si>
    <t>31210242276907000209570010014111851812873061</t>
  </si>
  <si>
    <t>16780</t>
  </si>
  <si>
    <t>31210106315338017780550010000167801580766334</t>
  </si>
  <si>
    <t>16778</t>
  </si>
  <si>
    <t>31210106315338017780550010000167781979529234</t>
  </si>
  <si>
    <t>20210203-TIPI-000039</t>
  </si>
  <si>
    <t>HPD6051561</t>
  </si>
  <si>
    <t>16781</t>
  </si>
  <si>
    <t>31210106315338017780550010000167811583705805</t>
  </si>
  <si>
    <t>133552</t>
  </si>
  <si>
    <t>31210242276907000209570010014111881713399983</t>
  </si>
  <si>
    <t>20210203-TIPI-000040</t>
  </si>
  <si>
    <t>HPD6036414</t>
  </si>
  <si>
    <t>133553</t>
  </si>
  <si>
    <t>31210242276907000209570010014111891756279430</t>
  </si>
  <si>
    <t>16782</t>
  </si>
  <si>
    <t>31210106315338017780550010000167821068120123</t>
  </si>
  <si>
    <t>20210203-TIPI-000042</t>
  </si>
  <si>
    <t>HFE2533235</t>
  </si>
  <si>
    <t>16783</t>
  </si>
  <si>
    <t>31210106315338017780550010000167831624138378</t>
  </si>
  <si>
    <t>133556</t>
  </si>
  <si>
    <t>31210242276907000209570010014111871521569913</t>
  </si>
  <si>
    <t>20210203-TIPI-000043</t>
  </si>
  <si>
    <t>HFE2533243</t>
  </si>
  <si>
    <t>133562</t>
  </si>
  <si>
    <t>31210242276907000209570010014111901144963365</t>
  </si>
  <si>
    <t>16785</t>
  </si>
  <si>
    <t>31210106315338017780550010000167851686935071</t>
  </si>
  <si>
    <t>16784</t>
  </si>
  <si>
    <t>31210106315338017780550010000167841760839177</t>
  </si>
  <si>
    <t>20210203-TIPI-000038</t>
  </si>
  <si>
    <t>HFE2542323</t>
  </si>
  <si>
    <t>133567</t>
  </si>
  <si>
    <t>31210242276907000209570010014111921465371980</t>
  </si>
  <si>
    <t>16786</t>
  </si>
  <si>
    <t>31210106315338017780550010000167861409302365</t>
  </si>
  <si>
    <t>20210203-TIPI-000028</t>
  </si>
  <si>
    <t>HFE2541394</t>
  </si>
  <si>
    <t>16787</t>
  </si>
  <si>
    <t>31210106315338017780550010000167871196976531</t>
  </si>
  <si>
    <t>133568</t>
  </si>
  <si>
    <t>31210242276907000209570010014111931248735620</t>
  </si>
  <si>
    <t>C29</t>
  </si>
  <si>
    <t>33.592.510/0021-06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</si>
</sst>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  <numFmt numFmtId="170" formatCode="dd/mm/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5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0" fontId="0" fillId="7" borderId="8" xfId="0" applyFill="1" applyBorder="1"/>
    <xf numFmtId="14" fontId="0" fillId="7" borderId="8" xfId="0" applyNumberFormat="1" applyFill="1" applyBorder="1" applyAlignment="1">
      <alignment wrapText="1"/>
    </xf>
    <xf numFmtId="20" fontId="0" fillId="7" borderId="8" xfId="0" applyNumberFormat="1" applyFill="1" applyBorder="1" applyAlignment="1">
      <alignment wrapText="1"/>
    </xf>
    <xf numFmtId="0" fontId="0" fillId="7" borderId="8" xfId="0" applyFill="1" applyBorder="1" applyAlignment="1">
      <alignment horizontal="right" wrapText="1"/>
    </xf>
    <xf numFmtId="167" fontId="0" fillId="7" borderId="8" xfId="0" applyNumberFormat="1" applyFill="1" applyBorder="1" applyAlignment="1">
      <alignment horizontal="right" wrapText="1"/>
    </xf>
    <xf numFmtId="167" fontId="0" fillId="7" borderId="8" xfId="0" applyNumberFormat="1" applyFill="1" applyBorder="1" applyAlignment="1">
      <alignment wrapText="1"/>
    </xf>
    <xf numFmtId="168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/>
    </xf>
    <xf numFmtId="0" fontId="21" fillId="0" borderId="0" xfId="0" applyFont="1"/>
    <xf numFmtId="169" fontId="13" fillId="0" borderId="0" xfId="7" applyNumberFormat="1"/>
    <xf numFmtId="170" fontId="3" fillId="0" borderId="0" xfId="7" applyNumberFormat="1" applyFont="1" applyAlignment="1" applyProtection="1">
      <alignment horizontal="center" vertical="top"/>
      <protection locked="0"/>
    </xf>
    <xf numFmtId="170" fontId="13" fillId="0" borderId="0" xfId="7" applyNumberFormat="1" applyAlignment="1">
      <alignment horizontal="center"/>
    </xf>
    <xf numFmtId="170" fontId="17" fillId="0" borderId="0" xfId="0" applyNumberFormat="1" applyFont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35.66631064815" createdVersion="6" refreshedVersion="6" minRefreshableVersion="3" recordCount="51" xr:uid="{00000000-000A-0000-FFFF-FFFF31000000}">
  <cacheSource type="worksheet">
    <worksheetSource name="=tbl_dinamica"/>
  </cacheSource>
  <cacheFields count="29">
    <cacheField name="C1" numFmtId="0">
      <sharedItems/>
    </cacheField>
    <cacheField name="C2" numFmtId="14">
      <sharedItems containsSemiMixedTypes="0" containsNonDate="0" containsDate="1" containsString="0" minDate="2021-02-03T00:00:00" maxDate="2021-02-05T00:00:00"/>
    </cacheField>
    <cacheField name="C3" numFmtId="20">
      <sharedItems containsSemiMixedTypes="0" containsNonDate="0" containsDate="1" containsString="0" minDate="1899-12-30T06:07:16" maxDate="1899-12-30T23:24:03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4">
        <s v="COFCO INTERNATIONAL BRASIL S.A. - UBERLANDIA"/>
        <s v="06.315.338/0181-66" u="1"/>
        <s v="COFCO BRASIL S.A. - JATAI" u="1"/>
        <s v="COFCO INTERNATIONAL BRASIL S.A - CANARANA" u="1"/>
      </sharedItems>
    </cacheField>
    <cacheField name="C8" numFmtId="0">
      <sharedItems count="3">
        <s v="06.315.338/0177-80"/>
        <s v="06.315.338/0181-66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76.840999999999994" maxValue="80"/>
    </cacheField>
    <cacheField name="C16" numFmtId="167">
      <sharedItems containsSemiMixedTypes="0" containsString="0" containsNumber="1" minValue="22" maxValue="26.88"/>
    </cacheField>
    <cacheField name="C17" numFmtId="167">
      <sharedItems containsSemiMixedTypes="0" containsString="0" containsNumber="1" minValue="53.029000000000003" maxValue="57.914999999999999"/>
    </cacheField>
    <cacheField name="C18" numFmtId="168">
      <sharedItems/>
    </cacheField>
    <cacheField name="C19" numFmtId="49">
      <sharedItems/>
    </cacheField>
    <cacheField name="C20" numFmtId="0">
      <sharedItems/>
    </cacheField>
    <cacheField name="C21" numFmtId="167">
      <sharedItems containsSemiMixedTypes="0" containsString="0" containsNumber="1" containsInteger="1" minValue="46735" maxValue="68367"/>
    </cacheField>
    <cacheField name="C22" numFmtId="167">
      <sharedItems containsSemiMixedTypes="0" containsString="0" containsNumber="1" minValue="35.950000000000003" maxValue="52.59"/>
    </cacheField>
    <cacheField name="C23" numFmtId="167">
      <sharedItems containsSemiMixedTypes="0" containsString="0" containsNumber="1" minValue="0.46600000000000003" maxValue="51.35"/>
    </cacheField>
    <cacheField name="C24" numFmtId="49">
      <sharedItems/>
    </cacheField>
    <cacheField name="C25" numFmtId="49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  <cacheField name="C29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s v="TIPI"/>
    <d v="2021-02-03T00:00:00"/>
    <d v="1899-12-30T22:07:45"/>
    <s v="20210203-TIPI-000007"/>
    <s v="L-283"/>
    <s v="Soja"/>
    <x v="0"/>
    <x v="0"/>
    <s v="COFCO INTERNATIONAL BRASIL S A - UBERLANDIA"/>
    <s v="06.315.338/0177-80"/>
    <s v="COFCO INTERNATIONAL BRASIL S.A."/>
    <s v="06.315.338/0177-80"/>
    <m/>
    <s v="HFE7052740"/>
    <n v="78.569999999999993"/>
    <n v="25.16"/>
    <n v="53.41"/>
    <s v="TIPI"/>
    <s v="16759"/>
    <s v="1"/>
    <n v="66014"/>
    <n v="50.78"/>
    <n v="50.78"/>
    <s v="31210106315338017780550010000167591179525360"/>
    <s v="Vitória ES - Tubarão"/>
    <s v="112"/>
    <s v="133418"/>
    <s v="31210242276907000209570010014111141354758359"/>
    <m/>
  </r>
  <r>
    <s v="TIPI"/>
    <d v="2021-02-03T00:00:00"/>
    <d v="1899-12-30T22:07:45"/>
    <s v="20210203-TIPI-000007"/>
    <s v="L-283"/>
    <s v="Soja"/>
    <x v="0"/>
    <x v="0"/>
    <s v="COFCO INTERNATIONAL BRASIL S A - UBERLANDIA"/>
    <s v="06.315.338/0177-80"/>
    <s v="COFCO INTERNATIONAL BRASIL S.A."/>
    <s v="06.315.338/0177-80"/>
    <m/>
    <s v="HFE7052740"/>
    <n v="78.569999999999993"/>
    <n v="25.16"/>
    <n v="53.41"/>
    <s v="TIPI"/>
    <s v="16762"/>
    <s v="1"/>
    <n v="65052"/>
    <n v="50.04"/>
    <n v="2.63"/>
    <s v="31210106315338017780550010000167621635212647"/>
    <s v="Vitória ES - Tubarão"/>
    <s v="112"/>
    <s v="133418"/>
    <s v="31210242276907000209570010014111141354758359"/>
    <m/>
  </r>
  <r>
    <s v="TIPI"/>
    <d v="2021-02-03T00:00:00"/>
    <d v="1899-12-30T22:19:25"/>
    <s v="20210203-TIPI-000020"/>
    <s v="L-283"/>
    <s v="Soja"/>
    <x v="0"/>
    <x v="0"/>
    <s v="COFCO INTERNATIONAL BRASIL S A - UBERLANDIA"/>
    <s v="06.315.338/0177-80"/>
    <s v="COFCO INTERNATIONAL BRASIL S.A."/>
    <s v="06.315.338/0177-80"/>
    <m/>
    <s v="HPD6461310"/>
    <n v="77"/>
    <n v="22"/>
    <n v="55"/>
    <s v="TIPI"/>
    <s v="16791"/>
    <s v="1"/>
    <n v="65858"/>
    <n v="50.66"/>
    <n v="50.66"/>
    <s v="31210206315338017780550010000167911365087514"/>
    <s v="Vitória ES - Tubarão"/>
    <s v="112"/>
    <s v="133415"/>
    <s v="31210242276907000209570010014111161578242393"/>
    <m/>
  </r>
  <r>
    <s v="TIPI"/>
    <d v="2021-02-03T00:00:00"/>
    <d v="1899-12-30T22:19:25"/>
    <s v="20210203-TIPI-000020"/>
    <s v="L-283"/>
    <s v="Soja"/>
    <x v="0"/>
    <x v="0"/>
    <s v="COFCO INTERNATIONAL BRASIL S A - UBERLANDIA"/>
    <s v="06.315.338/0177-80"/>
    <s v="COFCO INTERNATIONAL BRASIL S.A."/>
    <s v="06.315.338/0177-80"/>
    <m/>
    <s v="HPD6461310"/>
    <n v="77"/>
    <n v="22"/>
    <n v="55"/>
    <s v="TIPI"/>
    <s v="16792"/>
    <s v="1"/>
    <n v="65676"/>
    <n v="50.52"/>
    <n v="4.34"/>
    <s v="31210206315338017780550010000167921669358426"/>
    <s v="Vitória ES - Tubarão"/>
    <s v="112"/>
    <s v="133415"/>
    <s v="31210242276907000209570010014111161578242393"/>
    <m/>
  </r>
  <r>
    <s v="TIPI"/>
    <d v="2021-02-03T00:00:00"/>
    <d v="1899-12-30T22:24:02"/>
    <s v="20210203-TIPI-000001"/>
    <s v="L-283"/>
    <s v="Soja"/>
    <x v="0"/>
    <x v="0"/>
    <s v="COFCO INTERNATIONAL BRASIL S A - UBERLANDIA"/>
    <s v="06.315.338/0177-80"/>
    <s v="COFCO INTERNATIONAL BRASIL S.A."/>
    <s v="06.315.338/0177-80"/>
    <m/>
    <s v="HFE2530511"/>
    <n v="79.864000000000004"/>
    <n v="24.7"/>
    <n v="55.164000000000001"/>
    <s v="TIPI"/>
    <s v="16799"/>
    <s v="1"/>
    <n v="66755"/>
    <n v="51.35"/>
    <n v="51.35"/>
    <s v="31210206315338017780550010000167991835914410"/>
    <s v="Vitória ES - Tubarão"/>
    <s v="112"/>
    <s v="133414"/>
    <s v="31210242276907000209570010014111201400580348"/>
    <m/>
  </r>
  <r>
    <s v="TIPI"/>
    <d v="2021-02-03T00:00:00"/>
    <d v="1899-12-30T22:24:02"/>
    <s v="20210203-TIPI-000001"/>
    <s v="L-283"/>
    <s v="Soja"/>
    <x v="0"/>
    <x v="0"/>
    <s v="COFCO INTERNATIONAL BRASIL S A - UBERLANDIA"/>
    <s v="06.315.338/0177-80"/>
    <s v="COFCO INTERNATIONAL BRASIL S.A."/>
    <s v="06.315.338/0177-80"/>
    <m/>
    <s v="HFE2530511"/>
    <n v="79.864000000000004"/>
    <n v="24.7"/>
    <n v="55.164000000000001"/>
    <s v="TIPI"/>
    <s v="16800"/>
    <s v="1"/>
    <n v="65299"/>
    <n v="50.23"/>
    <n v="3.8140000000000001"/>
    <s v="31210206315338017780550010000168001079488481"/>
    <s v="Vitória ES - Tubarão"/>
    <s v="112"/>
    <s v="133414"/>
    <s v="31210242276907000209570010014111201400580348"/>
    <m/>
  </r>
  <r>
    <s v="TIPI"/>
    <d v="2021-02-03T00:00:00"/>
    <d v="1899-12-30T22:34:44"/>
    <s v="20210203-TIPI-000022"/>
    <s v="L-283"/>
    <s v="Soja"/>
    <x v="0"/>
    <x v="0"/>
    <s v="COFCO INTERNATIONAL BRASIL S A - UBERLANDIA"/>
    <s v="06.315.338/0177-80"/>
    <s v="COFCO INTERNATIONAL BRASIL S.A."/>
    <s v="06.315.338/0177-80"/>
    <m/>
    <s v="HFE7050054"/>
    <n v="79.984999999999999"/>
    <n v="24.22"/>
    <n v="55.765000000000001"/>
    <s v="TIPI"/>
    <s v="16793"/>
    <s v="1"/>
    <n v="66183"/>
    <n v="50.91"/>
    <n v="9.5850000000000009"/>
    <s v="31210206315338017780550010000167931381256290"/>
    <s v="Vitória ES - Tubarão"/>
    <s v="112"/>
    <s v="133419"/>
    <s v="31210242276907000209570010014111191842694461"/>
    <m/>
  </r>
  <r>
    <s v="TIPI"/>
    <d v="2021-02-03T00:00:00"/>
    <d v="1899-12-30T22:34:44"/>
    <s v="20210203-TIPI-000022"/>
    <s v="L-283"/>
    <s v="Soja"/>
    <x v="0"/>
    <x v="0"/>
    <s v="COFCO INTERNATIONAL BRASIL S A - UBERLANDIA"/>
    <s v="06.315.338/0177-80"/>
    <s v="COFCO INTERNATIONAL BRASIL S.A."/>
    <s v="06.315.338/0177-80"/>
    <m/>
    <s v="HFE7050054"/>
    <n v="79.984999999999999"/>
    <n v="24.22"/>
    <n v="55.765000000000001"/>
    <s v="TIPI"/>
    <s v="16792"/>
    <s v="1"/>
    <n v="65676"/>
    <n v="50.52"/>
    <n v="46.18"/>
    <s v="31210206315338017780550010000167921669358426"/>
    <s v="Vitória ES - Tubarão"/>
    <s v="112"/>
    <s v="133419"/>
    <s v="31210242276907000209570010014111191842694461"/>
    <m/>
  </r>
  <r>
    <s v="TIPI"/>
    <d v="2021-02-03T00:00:00"/>
    <d v="1899-12-30T22:47:31"/>
    <s v="20210203-TIPI-000025"/>
    <s v="L-283"/>
    <s v="Soja"/>
    <x v="0"/>
    <x v="0"/>
    <s v="COFCO INTERNATIONAL BRASIL S A - UBERLANDIA"/>
    <s v="06.315.338/0177-80"/>
    <s v="COFCO INTERNATIONAL BRASIL S.A."/>
    <s v="06.315.338/0177-80"/>
    <m/>
    <s v="HFE2470021"/>
    <n v="80"/>
    <n v="24.7"/>
    <n v="55.3"/>
    <s v="TIPI"/>
    <s v="16793"/>
    <s v="1"/>
    <n v="66183"/>
    <n v="50.91"/>
    <n v="41.325000000000003"/>
    <s v="31210206315338017780550010000167931381256290"/>
    <s v="Vitória ES - Tubarão"/>
    <s v="112"/>
    <s v="133417"/>
    <s v="31210242276907000209570010014111171531894901"/>
    <m/>
  </r>
  <r>
    <s v="TIPI"/>
    <d v="2021-02-03T00:00:00"/>
    <d v="1899-12-30T22:47:31"/>
    <s v="20210203-TIPI-000025"/>
    <s v="L-283"/>
    <s v="Soja"/>
    <x v="0"/>
    <x v="0"/>
    <s v="COFCO INTERNATIONAL BRASIL S A - UBERLANDIA"/>
    <s v="06.315.338/0177-80"/>
    <s v="COFCO INTERNATIONAL BRASIL S.A."/>
    <s v="06.315.338/0177-80"/>
    <m/>
    <s v="HFE2470021"/>
    <n v="80"/>
    <n v="24.7"/>
    <n v="55.3"/>
    <s v="TIPI"/>
    <s v="16794"/>
    <s v="1"/>
    <n v="67314"/>
    <n v="51.78"/>
    <n v="13.975"/>
    <s v="31210206315338017780550010000167941601458578"/>
    <s v="Vitória ES - Tubarão"/>
    <s v="112"/>
    <s v="133417"/>
    <s v="31210242276907000209570010014111171531894901"/>
    <m/>
  </r>
  <r>
    <s v="TIPI"/>
    <d v="2021-02-03T00:00:00"/>
    <d v="1899-12-30T22:55:34"/>
    <s v="20210203-TIPI-000003"/>
    <s v="L-283"/>
    <s v="Soja"/>
    <x v="0"/>
    <x v="0"/>
    <s v="COFCO INTERNATIONAL BRASIL S A - UBERLANDIA"/>
    <s v="06.315.338/0177-80"/>
    <s v="COFCO INTERNATIONAL BRASIL S.A."/>
    <s v="06.315.338/0177-80"/>
    <m/>
    <s v="HFE7057458"/>
    <n v="79.909000000000006"/>
    <n v="26.88"/>
    <n v="53.029000000000003"/>
    <s v="TIPI"/>
    <s v="16802"/>
    <s v="1"/>
    <n v="46735"/>
    <n v="35.950000000000003"/>
    <n v="2.1989999999999998"/>
    <s v="31210206315338017780550010000168021908263135"/>
    <s v="Vitória ES - Tubarão"/>
    <s v="112"/>
    <s v="133412"/>
    <s v="31210242276907000209570010014111151012745005"/>
    <m/>
  </r>
  <r>
    <s v="TIPI"/>
    <d v="2021-02-03T00:00:00"/>
    <d v="1899-12-30T22:55:34"/>
    <s v="20210203-TIPI-000003"/>
    <s v="L-283"/>
    <s v="Soja"/>
    <x v="0"/>
    <x v="0"/>
    <s v="COFCO INTERNATIONAL BRASIL S A - UBERLANDIA"/>
    <s v="06.315.338/0177-80"/>
    <s v="COFCO INTERNATIONAL BRASIL S.A."/>
    <s v="06.315.338/0177-80"/>
    <m/>
    <s v="HFE7057458"/>
    <n v="79.909000000000006"/>
    <n v="26.88"/>
    <n v="53.029000000000003"/>
    <s v="TIPI"/>
    <s v="16803"/>
    <s v="1"/>
    <n v="66079"/>
    <n v="50.83"/>
    <n v="50.83"/>
    <s v="31210206315338017780550010000168031835243870"/>
    <s v="Vitória ES - Tubarão"/>
    <s v="112"/>
    <s v="133412"/>
    <s v="31210242276907000209570010014111151012745005"/>
    <m/>
  </r>
  <r>
    <s v="TIPI"/>
    <d v="2021-02-03T00:00:00"/>
    <d v="1899-12-30T23:10:51"/>
    <s v="20210203-TIPI-000006"/>
    <s v="L-283"/>
    <s v="Soja"/>
    <x v="0"/>
    <x v="0"/>
    <s v="COFCO INTERNATIONAL BRASIL S A - UBERLANDIA"/>
    <s v="06.315.338/0177-80"/>
    <s v="COFCO INTERNATIONAL BRASIL S.A."/>
    <s v="06.315.338/0177-80"/>
    <m/>
    <s v="HFE2531895"/>
    <n v="79.971000000000004"/>
    <n v="23.74"/>
    <n v="56.231000000000002"/>
    <s v="TIPI"/>
    <s v="16794"/>
    <s v="1"/>
    <n v="67314"/>
    <n v="51.78"/>
    <n v="37.805"/>
    <s v="31210206315338017780550010000167941601458578"/>
    <s v="Vitória ES - Tubarão"/>
    <s v="112"/>
    <s v="133420"/>
    <s v="31210242276907000209570010014111231697652298"/>
    <m/>
  </r>
  <r>
    <s v="TIPI"/>
    <d v="2021-02-03T00:00:00"/>
    <d v="1899-12-30T23:10:51"/>
    <s v="20210203-TIPI-000006"/>
    <s v="L-283"/>
    <s v="Soja"/>
    <x v="0"/>
    <x v="0"/>
    <s v="COFCO INTERNATIONAL BRASIL S A - UBERLANDIA"/>
    <s v="06.315.338/0177-80"/>
    <s v="COFCO INTERNATIONAL BRASIL S.A."/>
    <s v="06.315.338/0177-80"/>
    <m/>
    <s v="HFE2531895"/>
    <n v="79.971000000000004"/>
    <n v="23.74"/>
    <n v="56.231000000000002"/>
    <s v="TIPI"/>
    <s v="16795"/>
    <s v="1"/>
    <n v="49309"/>
    <n v="37.93"/>
    <n v="18.425999999999998"/>
    <s v="31210206315338017780550010000167951361720572"/>
    <s v="Vitória ES - Tubarão"/>
    <s v="112"/>
    <s v="133420"/>
    <s v="31210242276907000209570010014111231697652298"/>
    <m/>
  </r>
  <r>
    <s v="TIPI"/>
    <d v="2021-02-03T00:00:00"/>
    <d v="1899-12-30T23:13:22"/>
    <s v="20210203-TIPI-000002"/>
    <s v="L-283"/>
    <s v="Soja"/>
    <x v="0"/>
    <x v="0"/>
    <s v="COFCO INTERNATIONAL BRASIL S A - UBERLANDIA"/>
    <s v="06.315.338/0177-80"/>
    <s v="COFCO INTERNATIONAL BRASIL S.A."/>
    <s v="06.315.338/0177-80"/>
    <m/>
    <s v="HFE7057440"/>
    <n v="79.98"/>
    <n v="26.57"/>
    <n v="53.41"/>
    <s v="TIPI"/>
    <s v="16796"/>
    <s v="1"/>
    <n v="50193"/>
    <n v="38.61"/>
    <n v="33.905999999999999"/>
    <s v="31210206315338017780550010000167961630171278"/>
    <s v="Vitória ES - Tubarão"/>
    <s v="112"/>
    <s v="133421"/>
    <s v="31210242276907000209570010014111241866054292"/>
    <m/>
  </r>
  <r>
    <s v="TIPI"/>
    <d v="2021-02-03T00:00:00"/>
    <d v="1899-12-30T23:13:22"/>
    <s v="20210203-TIPI-000002"/>
    <s v="L-283"/>
    <s v="Soja"/>
    <x v="0"/>
    <x v="0"/>
    <s v="COFCO INTERNATIONAL BRASIL S A - UBERLANDIA"/>
    <s v="06.315.338/0177-80"/>
    <s v="COFCO INTERNATIONAL BRASIL S.A."/>
    <s v="06.315.338/0177-80"/>
    <m/>
    <s v="HFE7057440"/>
    <n v="79.98"/>
    <n v="26.57"/>
    <n v="53.41"/>
    <s v="TIPI"/>
    <s v="16795"/>
    <s v="1"/>
    <n v="49309"/>
    <n v="37.93"/>
    <n v="19.504000000000001"/>
    <s v="31210206315338017780550010000167951361720572"/>
    <s v="Vitória ES - Tubarão"/>
    <s v="112"/>
    <s v="133421"/>
    <s v="31210242276907000209570010014111241866054292"/>
    <m/>
  </r>
  <r>
    <s v="TIPI"/>
    <d v="2021-02-03T00:00:00"/>
    <d v="1899-12-30T23:15:38"/>
    <s v="20210203-TIPI-000004"/>
    <s v="L-283"/>
    <s v="Soja"/>
    <x v="0"/>
    <x v="0"/>
    <s v="COFCO INTERNATIONAL BRASIL S A - UBERLANDIA"/>
    <s v="06.315.338/0177-80"/>
    <s v="COFCO INTERNATIONAL BRASIL S.A."/>
    <s v="06.315.338/0177-80"/>
    <m/>
    <s v="HFE2537508"/>
    <n v="79.921999999999997"/>
    <n v="24.84"/>
    <n v="55.082000000000001"/>
    <s v="TIPI"/>
    <s v="16797"/>
    <s v="1"/>
    <n v="66183"/>
    <n v="50.91"/>
    <n v="50.378"/>
    <s v="31210206315338017780550010000167971413297122"/>
    <s v="Vitória ES - Tubarão"/>
    <s v="112"/>
    <s v="133422"/>
    <s v="31210242276907000209570010014112841098040407"/>
    <m/>
  </r>
  <r>
    <s v="TIPI"/>
    <d v="2021-02-03T00:00:00"/>
    <d v="1899-12-30T23:15:38"/>
    <s v="20210203-TIPI-000004"/>
    <s v="L-283"/>
    <s v="Soja"/>
    <x v="0"/>
    <x v="0"/>
    <s v="COFCO INTERNATIONAL BRASIL S A - UBERLANDIA"/>
    <s v="06.315.338/0177-80"/>
    <s v="COFCO INTERNATIONAL BRASIL S.A."/>
    <s v="06.315.338/0177-80"/>
    <m/>
    <s v="HFE2537508"/>
    <n v="79.921999999999997"/>
    <n v="24.84"/>
    <n v="55.082000000000001"/>
    <s v="TIPI"/>
    <s v="16796"/>
    <s v="1"/>
    <n v="50193"/>
    <n v="38.61"/>
    <n v="4.7039999999999997"/>
    <s v="31210206315338017780550010000167961630171278"/>
    <s v="Vitória ES - Tubarão"/>
    <s v="112"/>
    <s v="133422"/>
    <s v="31210242276907000209570010014112841098040407"/>
    <m/>
  </r>
  <r>
    <s v="TIPI"/>
    <d v="2021-02-03T00:00:00"/>
    <d v="1899-12-30T23:18:42"/>
    <s v="20210203-TIPI-000005"/>
    <s v="L-283"/>
    <s v="Soja"/>
    <x v="0"/>
    <x v="0"/>
    <s v="COFCO INTERNATIONAL BRASIL S A - UBERLANDIA"/>
    <s v="06.315.338/0177-80"/>
    <s v="COFCO INTERNATIONAL BRASIL S.A."/>
    <s v="06.315.338/0177-80"/>
    <m/>
    <s v="HFE2537494"/>
    <n v="79.888000000000005"/>
    <n v="24.53"/>
    <n v="55.357999999999997"/>
    <s v="TIPI"/>
    <s v="16797"/>
    <s v="1"/>
    <n v="66183"/>
    <n v="50.91"/>
    <n v="0.53200000000000003"/>
    <s v="31210206315338017780550010000167971413297122"/>
    <s v="Vitória ES - Tubarão"/>
    <s v="112"/>
    <s v="133423"/>
    <s v="31210242276907000209570010014112791927143609"/>
    <m/>
  </r>
  <r>
    <s v="TIPI"/>
    <d v="2021-02-03T00:00:00"/>
    <d v="1899-12-30T23:18:42"/>
    <s v="20210203-TIPI-000005"/>
    <s v="L-283"/>
    <s v="Soja"/>
    <x v="0"/>
    <x v="0"/>
    <s v="COFCO INTERNATIONAL BRASIL S A - UBERLANDIA"/>
    <s v="06.315.338/0177-80"/>
    <s v="COFCO INTERNATIONAL BRASIL S.A."/>
    <s v="06.315.338/0177-80"/>
    <m/>
    <s v="HFE2537494"/>
    <n v="79.888000000000005"/>
    <n v="24.53"/>
    <n v="55.357999999999997"/>
    <s v="TIPI"/>
    <s v="16798"/>
    <s v="1"/>
    <n v="65624"/>
    <n v="50.48"/>
    <n v="50.48"/>
    <s v="31210206315338017780550010000167981084054699"/>
    <s v="Vitória ES - Tubarão"/>
    <s v="112"/>
    <s v="133423"/>
    <s v="31210242276907000209570010014112791927143609"/>
    <m/>
  </r>
  <r>
    <s v="TIPI"/>
    <d v="2021-02-03T00:00:00"/>
    <d v="1899-12-30T23:18:42"/>
    <s v="20210203-TIPI-000005"/>
    <s v="L-283"/>
    <s v="Soja"/>
    <x v="0"/>
    <x v="0"/>
    <s v="COFCO INTERNATIONAL BRASIL S A - UBERLANDIA"/>
    <s v="06.315.338/0177-80"/>
    <s v="COFCO INTERNATIONAL BRASIL S.A."/>
    <s v="06.315.338/0177-80"/>
    <m/>
    <s v="HFE2537494"/>
    <n v="79.888000000000005"/>
    <n v="24.53"/>
    <n v="55.357999999999997"/>
    <s v="TIPI"/>
    <s v="16800"/>
    <s v="1"/>
    <n v="65299"/>
    <n v="50.23"/>
    <n v="4.3460000000000001"/>
    <s v="31210206315338017780550010000168001079488481"/>
    <s v="Vitória ES - Tubarão"/>
    <s v="112"/>
    <s v="133423"/>
    <s v="31210242276907000209570010014112791927143609"/>
    <m/>
  </r>
  <r>
    <s v="TIPI"/>
    <d v="2021-02-03T00:00:00"/>
    <d v="1899-12-30T23:21:59"/>
    <s v="20210203-TIPI-000008"/>
    <s v="L-283"/>
    <s v="Soja"/>
    <x v="0"/>
    <x v="0"/>
    <s v="COFCO INTERNATIONAL BRASIL S A - UBERLANDIA"/>
    <s v="06.315.338/0177-80"/>
    <s v="COFCO INTERNATIONAL BRASIL S.A."/>
    <s v="06.315.338/0177-80"/>
    <m/>
    <s v="HFE7052731"/>
    <n v="79.843999999999994"/>
    <n v="24.913"/>
    <n v="54.930999999999997"/>
    <s v="TIPI"/>
    <s v="16801"/>
    <s v="1"/>
    <n v="66456"/>
    <n v="51.12"/>
    <n v="12.861000000000001"/>
    <s v="31210206315338017780550010000168011580766330"/>
    <s v="Vitória ES - Tubarão"/>
    <s v="112"/>
    <s v="133424"/>
    <s v="31210242276907000209570010014111281994651110"/>
    <m/>
  </r>
  <r>
    <s v="TIPI"/>
    <d v="2021-02-03T00:00:00"/>
    <d v="1899-12-30T23:21:59"/>
    <s v="20210203-TIPI-000008"/>
    <s v="L-283"/>
    <s v="Soja"/>
    <x v="0"/>
    <x v="0"/>
    <s v="COFCO INTERNATIONAL BRASIL S A - UBERLANDIA"/>
    <s v="06.315.338/0177-80"/>
    <s v="COFCO INTERNATIONAL BRASIL S.A."/>
    <s v="06.315.338/0177-80"/>
    <m/>
    <s v="HFE7052731"/>
    <n v="79.843999999999994"/>
    <n v="24.913"/>
    <n v="54.930999999999997"/>
    <s v="TIPI"/>
    <s v="16800"/>
    <s v="1"/>
    <n v="65299"/>
    <n v="50.23"/>
    <n v="42.07"/>
    <s v="31210206315338017780550010000168001079488481"/>
    <s v="Vitória ES - Tubarão"/>
    <s v="112"/>
    <s v="133424"/>
    <s v="31210242276907000209570010014111281994651110"/>
    <m/>
  </r>
  <r>
    <s v="TIPI"/>
    <d v="2021-02-03T00:00:00"/>
    <d v="1899-12-30T23:24:03"/>
    <s v="20210203-TIPI-000009"/>
    <s v="L-283"/>
    <s v="Soja"/>
    <x v="0"/>
    <x v="0"/>
    <s v="COFCO INTERNATIONAL BRASIL S A - UBERLANDIA"/>
    <s v="06.315.338/0177-80"/>
    <s v="COFCO INTERNATIONAL BRASIL S.A."/>
    <s v="06.315.338/0177-80"/>
    <m/>
    <s v="HFE2539390"/>
    <n v="79.998000000000005"/>
    <n v="24.148"/>
    <n v="55.85"/>
    <s v="TIPI"/>
    <s v="16802"/>
    <s v="1"/>
    <n v="46735"/>
    <n v="35.950000000000003"/>
    <n v="17.591000000000001"/>
    <s v="31210206315338017780550010000168021908263135"/>
    <s v="Vitória ES - Tubarão"/>
    <s v="112"/>
    <s v="133425"/>
    <s v="31210242276907000209570010014111261573561829"/>
    <m/>
  </r>
  <r>
    <s v="TIPI"/>
    <d v="2021-02-03T00:00:00"/>
    <d v="1899-12-30T23:24:03"/>
    <s v="20210203-TIPI-000009"/>
    <s v="L-283"/>
    <s v="Soja"/>
    <x v="0"/>
    <x v="0"/>
    <s v="COFCO INTERNATIONAL BRASIL S A - UBERLANDIA"/>
    <s v="06.315.338/0177-80"/>
    <s v="COFCO INTERNATIONAL BRASIL S.A."/>
    <s v="06.315.338/0177-80"/>
    <m/>
    <s v="HFE2539390"/>
    <n v="79.998000000000005"/>
    <n v="24.148"/>
    <n v="55.85"/>
    <s v="TIPI"/>
    <s v="16801"/>
    <s v="1"/>
    <n v="66456"/>
    <n v="51.12"/>
    <n v="38.259"/>
    <s v="31210206315338017780550010000168011580766330"/>
    <s v="Vitória ES - Tubarão"/>
    <s v="112"/>
    <s v="133425"/>
    <s v="31210242276907000209570010014111261573561829"/>
    <m/>
  </r>
  <r>
    <s v="TIPI"/>
    <d v="2021-02-04T00:00:00"/>
    <d v="1899-12-30T06:07:16"/>
    <s v="20210203-TIPI-000034"/>
    <s v="L-283"/>
    <s v="Soja"/>
    <x v="0"/>
    <x v="0"/>
    <s v="COFCO INTERNATIONAL BRASIL S A - UBERLANDIA"/>
    <s v="06.315.338/0177-80"/>
    <s v="COFCO INTERNATIONAL BRASIL S.A."/>
    <s v="06.315.338/0177-80"/>
    <m/>
    <s v="HFE2532620"/>
    <n v="79.95"/>
    <n v="23.6"/>
    <n v="56.35"/>
    <s v="TIPI"/>
    <s v="16762"/>
    <s v="1"/>
    <n v="65052"/>
    <n v="50.04"/>
    <n v="47.41"/>
    <s v="31210106315338017780550010000167621635212647"/>
    <s v="Vitória ES - Tubarão"/>
    <s v="112"/>
    <s v="133519"/>
    <s v="31210242276907000209570010014111751167164870"/>
    <m/>
  </r>
  <r>
    <s v="TIPI"/>
    <d v="2021-02-04T00:00:00"/>
    <d v="1899-12-30T06:07:16"/>
    <s v="20210203-TIPI-000034"/>
    <s v="L-283"/>
    <s v="Soja"/>
    <x v="0"/>
    <x v="0"/>
    <s v="COFCO INTERNATIONAL BRASIL S A - UBERLANDIA"/>
    <s v="06.315.338/0177-80"/>
    <s v="COFCO INTERNATIONAL BRASIL S.A."/>
    <s v="06.315.338/0177-80"/>
    <m/>
    <s v="HFE2532620"/>
    <n v="79.95"/>
    <n v="23.6"/>
    <n v="56.35"/>
    <s v="TIPI"/>
    <s v="16763"/>
    <s v="1"/>
    <n v="65169"/>
    <n v="50.13"/>
    <n v="8.94"/>
    <s v="31210106315338017780550010000167631813082237"/>
    <s v="Vitória ES - Tubarão"/>
    <s v="112"/>
    <s v="133519"/>
    <s v="31210242276907000209570010014111751167164870"/>
    <m/>
  </r>
  <r>
    <s v="TIPI"/>
    <d v="2021-02-04T00:00:00"/>
    <d v="1899-12-30T06:10:08"/>
    <s v="20210203-TIPI-000035"/>
    <s v="L-283"/>
    <s v="Soja"/>
    <x v="0"/>
    <x v="0"/>
    <s v="COFCO INTERNATIONAL BRASIL S A - UBERLANDIA"/>
    <s v="06.315.338/0177-80"/>
    <s v="COFCO INTERNATIONAL BRASIL S.A."/>
    <s v="06.315.338/0177-80"/>
    <m/>
    <s v="HPD6035388"/>
    <n v="76.858999999999995"/>
    <n v="22"/>
    <n v="54.859000000000002"/>
    <s v="TIPI"/>
    <s v="16773"/>
    <s v="1"/>
    <n v="66196"/>
    <n v="50.92"/>
    <n v="13.669"/>
    <s v="31210106315338017780550010000167731611511508"/>
    <s v="Vitória ES - Tubarão"/>
    <s v="112"/>
    <s v="133520"/>
    <s v="31210242276907000209570010014111781159042576"/>
    <m/>
  </r>
  <r>
    <s v="TIPI"/>
    <d v="2021-02-04T00:00:00"/>
    <d v="1899-12-30T06:10:08"/>
    <s v="20210203-TIPI-000035"/>
    <s v="L-283"/>
    <s v="Soja"/>
    <x v="0"/>
    <x v="0"/>
    <s v="COFCO INTERNATIONAL BRASIL S A - UBERLANDIA"/>
    <s v="06.315.338/0177-80"/>
    <s v="COFCO INTERNATIONAL BRASIL S.A."/>
    <s v="06.315.338/0177-80"/>
    <m/>
    <s v="HPD6035388"/>
    <n v="76.858999999999995"/>
    <n v="22"/>
    <n v="54.859000000000002"/>
    <s v="TIPI"/>
    <s v="16763"/>
    <s v="1"/>
    <n v="65169"/>
    <n v="50.13"/>
    <n v="41.19"/>
    <s v="31210106315338017780550010000167631813082237"/>
    <s v="Vitória ES - Tubarão"/>
    <s v="112"/>
    <s v="133520"/>
    <s v="31210242276907000209570010014111781159042576"/>
    <m/>
  </r>
  <r>
    <s v="TIPI"/>
    <d v="2021-02-04T00:00:00"/>
    <d v="1899-12-30T06:11:58"/>
    <s v="20210203-TIPI-000036"/>
    <s v="L-283"/>
    <s v="Soja"/>
    <x v="0"/>
    <x v="0"/>
    <s v="COFCO INTERNATIONAL BRASIL S A - UBERLANDIA"/>
    <s v="06.315.338/0177-80"/>
    <s v="COFCO INTERNATIONAL BRASIL S.A."/>
    <s v="06.315.338/0177-80"/>
    <m/>
    <s v="HFD2413884"/>
    <n v="79.915000000000006"/>
    <n v="22"/>
    <n v="57.914999999999999"/>
    <s v="TIPI"/>
    <s v="16774"/>
    <s v="1"/>
    <n v="68367"/>
    <n v="52.59"/>
    <n v="20.664000000000001"/>
    <s v="31210106315338017780550010000167741533742281"/>
    <s v="Vitória ES - Tubarão"/>
    <s v="112"/>
    <s v="133521"/>
    <s v="31210242276907000209570010014111791693696806"/>
    <m/>
  </r>
  <r>
    <s v="TIPI"/>
    <d v="2021-02-04T00:00:00"/>
    <d v="1899-12-30T06:11:58"/>
    <s v="20210203-TIPI-000036"/>
    <s v="L-283"/>
    <s v="Soja"/>
    <x v="0"/>
    <x v="0"/>
    <s v="COFCO INTERNATIONAL BRASIL S A - UBERLANDIA"/>
    <s v="06.315.338/0177-80"/>
    <s v="COFCO INTERNATIONAL BRASIL S.A."/>
    <s v="06.315.338/0177-80"/>
    <m/>
    <s v="HFD2413884"/>
    <n v="79.915000000000006"/>
    <n v="22"/>
    <n v="57.914999999999999"/>
    <s v="TIPI"/>
    <s v="16773"/>
    <s v="1"/>
    <n v="66196"/>
    <n v="50.92"/>
    <n v="37.250999999999998"/>
    <s v="31210106315338017780550010000167731611511508"/>
    <s v="Vitória ES - Tubarão"/>
    <s v="112"/>
    <s v="133521"/>
    <s v="31210242276907000209570010014111791693696806"/>
    <m/>
  </r>
  <r>
    <s v="TIPI"/>
    <d v="2021-02-04T00:00:00"/>
    <d v="1899-12-30T06:38:48"/>
    <s v="20210203-TIPI-000037"/>
    <s v="L-283"/>
    <s v="Soja"/>
    <x v="0"/>
    <x v="0"/>
    <s v="COFCO INTERNATIONAL BRASIL S A - UBERLANDIA"/>
    <s v="06.315.338/0177-80"/>
    <s v="COFCO INTERNATIONAL BRASIL S.A."/>
    <s v="06.315.338/0177-80"/>
    <m/>
    <s v="HFE2542315"/>
    <n v="79.855000000000004"/>
    <n v="23"/>
    <n v="56.854999999999997"/>
    <s v="TIPI"/>
    <s v="16774"/>
    <s v="1"/>
    <n v="68367"/>
    <n v="52.59"/>
    <n v="31.925999999999998"/>
    <s v="31210106315338017780550010000167741533742281"/>
    <s v="Vitória ES - Tubarão"/>
    <s v="112"/>
    <s v="133544"/>
    <s v="31210242276907000209570010014111861398258997"/>
    <m/>
  </r>
  <r>
    <s v="TIPI"/>
    <d v="2021-02-04T00:00:00"/>
    <d v="1899-12-30T06:38:48"/>
    <s v="20210203-TIPI-000037"/>
    <s v="L-283"/>
    <s v="Soja"/>
    <x v="0"/>
    <x v="0"/>
    <s v="COFCO INTERNATIONAL BRASIL S A - UBERLANDIA"/>
    <s v="06.315.338/0177-80"/>
    <s v="COFCO INTERNATIONAL BRASIL S.A."/>
    <s v="06.315.338/0177-80"/>
    <m/>
    <s v="HFE2542315"/>
    <n v="79.855000000000004"/>
    <n v="23"/>
    <n v="56.854999999999997"/>
    <s v="TIPI"/>
    <s v="16775"/>
    <s v="1"/>
    <n v="49699"/>
    <n v="38.229999999999997"/>
    <n v="24.928999999999998"/>
    <s v="31210106315338017780550010000167751570463487"/>
    <s v="Vitória ES - Tubarão"/>
    <s v="112"/>
    <s v="133544"/>
    <s v="31210242276907000209570010014111861398258997"/>
    <m/>
  </r>
  <r>
    <s v="TIPI"/>
    <d v="2021-02-04T00:00:00"/>
    <d v="1899-12-30T06:43:15"/>
    <s v="20210203-TIPI-000014"/>
    <s v="L-283"/>
    <s v="Soja"/>
    <x v="0"/>
    <x v="0"/>
    <s v="COFCO INTERNATIONAL BRASIL S A - UBERLANDIA"/>
    <s v="06.315.338/0177-80"/>
    <s v="COFCO INTERNATIONAL BRASIL S.A."/>
    <s v="06.315.338/0177-80"/>
    <m/>
    <s v="HPD3051048"/>
    <n v="76.953999999999994"/>
    <n v="22"/>
    <n v="54.954000000000001"/>
    <s v="TIPI"/>
    <s v="16775"/>
    <s v="1"/>
    <n v="49699"/>
    <n v="38.229999999999997"/>
    <n v="13.301"/>
    <s v="31210106315338017780550010000167751570463487"/>
    <s v="Vitória ES - Tubarão"/>
    <s v="112"/>
    <s v="133547"/>
    <s v="31210242276907000209570010014111801618656755"/>
    <m/>
  </r>
  <r>
    <s v="TIPI"/>
    <d v="2021-02-04T00:00:00"/>
    <d v="1899-12-30T06:43:15"/>
    <s v="20210203-TIPI-000014"/>
    <s v="L-283"/>
    <s v="Soja"/>
    <x v="0"/>
    <x v="0"/>
    <s v="COFCO INTERNATIONAL BRASIL S A - UBERLANDIA"/>
    <s v="06.315.338/0177-80"/>
    <s v="COFCO INTERNATIONAL BRASIL S.A."/>
    <s v="06.315.338/0177-80"/>
    <m/>
    <s v="HPD3051048"/>
    <n v="76.953999999999994"/>
    <n v="22"/>
    <n v="54.954000000000001"/>
    <s v="TIPI"/>
    <s v="16776"/>
    <s v="1"/>
    <n v="66053"/>
    <n v="50.81"/>
    <n v="41.652999999999999"/>
    <s v="31210106315338017780550010000167761257833472"/>
    <s v="Vitória ES - Tubarão"/>
    <s v="112"/>
    <s v="133547"/>
    <s v="31210242276907000209570010014111801618656755"/>
    <m/>
  </r>
  <r>
    <s v="TIPI"/>
    <d v="2021-02-04T00:00:00"/>
    <d v="1899-12-30T06:48:48"/>
    <s v="20210203-TIPI-000031"/>
    <s v="L-283"/>
    <s v="Soja"/>
    <x v="0"/>
    <x v="0"/>
    <s v="COFCO INTERNATIONAL BRASIL S A - UBERLANDIA"/>
    <s v="06.315.338/0177-80"/>
    <s v="COFCO INTERNATIONAL BRASIL S.A."/>
    <s v="06.315.338/0177-80"/>
    <m/>
    <s v="HFE2542226"/>
    <n v="79.971000000000004"/>
    <n v="23"/>
    <n v="56.970999999999997"/>
    <s v="TIPI"/>
    <s v="16777"/>
    <s v="1"/>
    <n v="65442"/>
    <n v="50.34"/>
    <n v="4.1420000000000003"/>
    <s v="31210106315338017780550010000167771592698376"/>
    <s v="Vitória ES - Tubarão"/>
    <s v="112"/>
    <s v="133551"/>
    <s v="31210242276907000209570010014111851812873061"/>
    <m/>
  </r>
  <r>
    <s v="TIPI"/>
    <d v="2021-02-04T00:00:00"/>
    <d v="1899-12-30T06:48:48"/>
    <s v="20210203-TIPI-000031"/>
    <s v="L-283"/>
    <s v="Soja"/>
    <x v="0"/>
    <x v="0"/>
    <s v="COFCO INTERNATIONAL BRASIL S A - UBERLANDIA"/>
    <s v="06.315.338/0177-80"/>
    <s v="COFCO INTERNATIONAL BRASIL S.A."/>
    <s v="06.315.338/0177-80"/>
    <m/>
    <s v="HFE2542226"/>
    <n v="79.971000000000004"/>
    <n v="23"/>
    <n v="56.970999999999997"/>
    <s v="TIPI"/>
    <s v="16780"/>
    <s v="1"/>
    <n v="66209"/>
    <n v="50.93"/>
    <n v="16.449000000000002"/>
    <s v="31210106315338017780550010000167801580766334"/>
    <s v="Vitória ES - Tubarão"/>
    <s v="112"/>
    <s v="133551"/>
    <s v="31210242276907000209570010014111851812873061"/>
    <m/>
  </r>
  <r>
    <s v="TIPI"/>
    <d v="2021-02-04T00:00:00"/>
    <d v="1899-12-30T06:48:48"/>
    <s v="20210203-TIPI-000031"/>
    <s v="L-283"/>
    <s v="Soja"/>
    <x v="0"/>
    <x v="0"/>
    <s v="COFCO INTERNATIONAL BRASIL S A - UBERLANDIA"/>
    <s v="06.315.338/0177-80"/>
    <s v="COFCO INTERNATIONAL BRASIL S.A."/>
    <s v="06.315.338/0177-80"/>
    <m/>
    <s v="HFE2542226"/>
    <n v="79.971000000000004"/>
    <n v="23"/>
    <n v="56.970999999999997"/>
    <s v="TIPI"/>
    <s v="16778"/>
    <s v="1"/>
    <n v="47294"/>
    <n v="36.380000000000003"/>
    <n v="36.380000000000003"/>
    <s v="31210106315338017780550010000167781979529234"/>
    <s v="Vitória ES - Tubarão"/>
    <s v="112"/>
    <s v="133551"/>
    <s v="31210242276907000209570010014111851812873061"/>
    <m/>
  </r>
  <r>
    <s v="TIPI"/>
    <d v="2021-02-04T00:00:00"/>
    <d v="1899-12-30T06:51:23"/>
    <s v="20210203-TIPI-000039"/>
    <s v="L-283"/>
    <s v="Soja"/>
    <x v="0"/>
    <x v="0"/>
    <s v="COFCO INTERNATIONAL BRASIL S A - UBERLANDIA"/>
    <s v="06.315.338/0177-80"/>
    <s v="COFCO INTERNATIONAL BRASIL S.A."/>
    <s v="06.315.338/0177-80"/>
    <m/>
    <s v="HPD6051561"/>
    <n v="76.88"/>
    <n v="22"/>
    <n v="54.88"/>
    <s v="TIPI"/>
    <s v="16781"/>
    <s v="1"/>
    <n v="64168"/>
    <n v="49.36"/>
    <n v="20.399000000000001"/>
    <s v="31210106315338017780550010000167811583705805"/>
    <s v="Vitória ES - Tubarão"/>
    <s v="112"/>
    <s v="133552"/>
    <s v="31210242276907000209570010014111881713399983"/>
    <m/>
  </r>
  <r>
    <s v="TIPI"/>
    <d v="2021-02-04T00:00:00"/>
    <d v="1899-12-30T06:51:23"/>
    <s v="20210203-TIPI-000039"/>
    <s v="L-283"/>
    <s v="Soja"/>
    <x v="0"/>
    <x v="0"/>
    <s v="COFCO INTERNATIONAL BRASIL S A - UBERLANDIA"/>
    <s v="06.315.338/0177-80"/>
    <s v="COFCO INTERNATIONAL BRASIL S.A."/>
    <s v="06.315.338/0177-80"/>
    <m/>
    <s v="HPD6051561"/>
    <n v="76.88"/>
    <n v="22"/>
    <n v="54.88"/>
    <s v="TIPI"/>
    <s v="16780"/>
    <s v="1"/>
    <n v="66209"/>
    <n v="50.93"/>
    <n v="34.481000000000002"/>
    <s v="31210106315338017780550010000167801580766334"/>
    <s v="Vitória ES - Tubarão"/>
    <s v="112"/>
    <s v="133552"/>
    <s v="31210242276907000209570010014111881713399983"/>
    <m/>
  </r>
  <r>
    <s v="TIPI"/>
    <d v="2021-02-04T00:00:00"/>
    <d v="1899-12-30T07:04:56"/>
    <s v="20210203-TIPI-000040"/>
    <s v="L-283"/>
    <s v="Soja"/>
    <x v="0"/>
    <x v="0"/>
    <s v="COFCO INTERNATIONAL BRASIL S A - UBERLANDIA"/>
    <s v="06.315.338/0177-80"/>
    <s v="COFCO INTERNATIONAL BRASIL S.A."/>
    <s v="06.315.338/0177-80"/>
    <m/>
    <s v="HPD6036414"/>
    <n v="76.840999999999994"/>
    <n v="22"/>
    <n v="54.841000000000001"/>
    <s v="TIPI"/>
    <s v="16781"/>
    <s v="1"/>
    <n v="64168"/>
    <n v="49.36"/>
    <n v="28.960999999999999"/>
    <s v="31210106315338017780550010000167811583705805"/>
    <s v="Vitória ES - Tubarão"/>
    <s v="112"/>
    <s v="133553"/>
    <s v="31210242276907000209570010014111891756279430"/>
    <m/>
  </r>
  <r>
    <s v="TIPI"/>
    <d v="2021-02-04T00:00:00"/>
    <d v="1899-12-30T07:04:56"/>
    <s v="20210203-TIPI-000040"/>
    <s v="L-283"/>
    <s v="Soja"/>
    <x v="0"/>
    <x v="0"/>
    <s v="COFCO INTERNATIONAL BRASIL S A - UBERLANDIA"/>
    <s v="06.315.338/0177-80"/>
    <s v="COFCO INTERNATIONAL BRASIL S.A."/>
    <s v="06.315.338/0177-80"/>
    <m/>
    <s v="HPD6036414"/>
    <n v="76.840999999999994"/>
    <n v="22"/>
    <n v="54.841000000000001"/>
    <s v="TIPI"/>
    <s v="16782"/>
    <s v="1"/>
    <n v="64857"/>
    <n v="49.89"/>
    <n v="25.88"/>
    <s v="31210106315338017780550010000167821068120123"/>
    <s v="Vitória ES - Tubarão"/>
    <s v="112"/>
    <s v="133553"/>
    <s v="31210242276907000209570010014111891756279430"/>
    <m/>
  </r>
  <r>
    <s v="TIPI"/>
    <d v="2021-02-04T00:00:00"/>
    <d v="1899-12-30T07:13:00"/>
    <s v="20210203-TIPI-000042"/>
    <s v="L-283"/>
    <s v="Soja"/>
    <x v="0"/>
    <x v="0"/>
    <s v="COFCO INTERNATIONAL BRASIL S A - UBERLANDIA"/>
    <s v="06.315.338/0177-80"/>
    <s v="COFCO INTERNATIONAL BRASIL S.A."/>
    <s v="06.315.338/0177-80"/>
    <m/>
    <s v="HFE2533235"/>
    <n v="79.927000000000007"/>
    <n v="23.27"/>
    <n v="56.656999999999996"/>
    <s v="TIPI"/>
    <s v="16783"/>
    <s v="1"/>
    <n v="49829"/>
    <n v="38.33"/>
    <n v="32.646999999999998"/>
    <s v="31210106315338017780550010000167831624138378"/>
    <s v="Vitória ES - Tubarão"/>
    <s v="112"/>
    <s v="133556"/>
    <s v="31210242276907000209570010014111871521569913"/>
    <m/>
  </r>
  <r>
    <s v="TIPI"/>
    <d v="2021-02-04T00:00:00"/>
    <d v="1899-12-30T07:13:00"/>
    <s v="20210203-TIPI-000042"/>
    <s v="L-283"/>
    <s v="Soja"/>
    <x v="0"/>
    <x v="0"/>
    <s v="COFCO INTERNATIONAL BRASIL S A - UBERLANDIA"/>
    <s v="06.315.338/0177-80"/>
    <s v="COFCO INTERNATIONAL BRASIL S.A."/>
    <s v="06.315.338/0177-80"/>
    <m/>
    <s v="HFE2533235"/>
    <n v="79.927000000000007"/>
    <n v="23.27"/>
    <n v="56.656999999999996"/>
    <s v="TIPI"/>
    <s v="16782"/>
    <s v="1"/>
    <n v="64857"/>
    <n v="49.89"/>
    <n v="24.01"/>
    <s v="31210106315338017780550010000167821068120123"/>
    <s v="Vitória ES - Tubarão"/>
    <s v="112"/>
    <s v="133556"/>
    <s v="31210242276907000209570010014111871521569913"/>
    <m/>
  </r>
  <r>
    <s v="TIPI"/>
    <d v="2021-02-04T00:00:00"/>
    <d v="1899-12-30T07:20:41"/>
    <s v="20210203-TIPI-000043"/>
    <s v="L-283"/>
    <s v="Soja"/>
    <x v="0"/>
    <x v="0"/>
    <s v="COFCO INTERNATIONAL BRASIL S A - UBERLANDIA"/>
    <s v="06.315.338/0177-80"/>
    <s v="COFCO INTERNATIONAL BRASIL S.A."/>
    <s v="06.315.338/0177-80"/>
    <m/>
    <s v="HFE2533243"/>
    <n v="79.879000000000005"/>
    <n v="23.98"/>
    <n v="55.899000000000001"/>
    <s v="TIPI"/>
    <s v="16783"/>
    <s v="1"/>
    <n v="49829"/>
    <n v="38.33"/>
    <n v="5.6829999999999998"/>
    <s v="31210106315338017780550010000167831624138378"/>
    <s v="Vitória ES - Tubarão"/>
    <s v="112"/>
    <s v="133562"/>
    <s v="31210242276907000209570010014111901144963365"/>
    <m/>
  </r>
  <r>
    <s v="TIPI"/>
    <d v="2021-02-04T00:00:00"/>
    <d v="1899-12-30T07:20:41"/>
    <s v="20210203-TIPI-000043"/>
    <s v="L-283"/>
    <s v="Soja"/>
    <x v="0"/>
    <x v="0"/>
    <s v="COFCO INTERNATIONAL BRASIL S A - UBERLANDIA"/>
    <s v="06.315.338/0177-80"/>
    <s v="COFCO INTERNATIONAL BRASIL S.A."/>
    <s v="06.315.338/0177-80"/>
    <m/>
    <s v="HFE2533243"/>
    <n v="79.879000000000005"/>
    <n v="23.98"/>
    <n v="55.899000000000001"/>
    <s v="TIPI"/>
    <s v="16785"/>
    <s v="1"/>
    <n v="65611"/>
    <n v="50.47"/>
    <n v="0.46600000000000003"/>
    <s v="31210106315338017780550010000167851686935071"/>
    <s v="Vitória ES - Tubarão"/>
    <s v="112"/>
    <s v="133562"/>
    <s v="31210242276907000209570010014111901144963365"/>
    <m/>
  </r>
  <r>
    <s v="TIPI"/>
    <d v="2021-02-04T00:00:00"/>
    <d v="1899-12-30T07:20:41"/>
    <s v="20210203-TIPI-000043"/>
    <s v="L-283"/>
    <s v="Soja"/>
    <x v="0"/>
    <x v="0"/>
    <s v="COFCO INTERNATIONAL BRASIL S A - UBERLANDIA"/>
    <s v="06.315.338/0177-80"/>
    <s v="COFCO INTERNATIONAL BRASIL S.A."/>
    <s v="06.315.338/0177-80"/>
    <m/>
    <s v="HFE2533243"/>
    <n v="79.879000000000005"/>
    <n v="23.98"/>
    <n v="55.899000000000001"/>
    <s v="TIPI"/>
    <s v="16784"/>
    <s v="1"/>
    <n v="64675"/>
    <n v="49.75"/>
    <n v="49.75"/>
    <s v="31210106315338017780550010000167841760839177"/>
    <s v="Vitória ES - Tubarão"/>
    <s v="112"/>
    <s v="133562"/>
    <s v="31210242276907000209570010014111901144963365"/>
    <m/>
  </r>
  <r>
    <s v="TIPI"/>
    <d v="2021-02-04T00:00:00"/>
    <d v="1899-12-30T07:32:34"/>
    <s v="20210203-TIPI-000038"/>
    <s v="L-283"/>
    <s v="Soja"/>
    <x v="0"/>
    <x v="0"/>
    <s v="COFCO INTERNATIONAL BRASIL S A - UBERLANDIA"/>
    <s v="06.315.338/0177-80"/>
    <s v="COFCO INTERNATIONAL BRASIL S.A."/>
    <s v="06.315.338/0177-80"/>
    <m/>
    <s v="HFE2542323"/>
    <n v="79.891000000000005"/>
    <n v="23"/>
    <n v="56.890999999999998"/>
    <s v="TIPI"/>
    <s v="16785"/>
    <s v="1"/>
    <n v="65611"/>
    <n v="50.47"/>
    <n v="50.003999999999998"/>
    <s v="31210106315338017780550010000167851686935071"/>
    <s v="Vitória ES - Tubarão"/>
    <s v="112"/>
    <s v="133567"/>
    <s v="31210242276907000209570010014111921465371980"/>
    <m/>
  </r>
  <r>
    <s v="TIPI"/>
    <d v="2021-02-04T00:00:00"/>
    <d v="1899-12-30T07:32:34"/>
    <s v="20210203-TIPI-000038"/>
    <s v="L-283"/>
    <s v="Soja"/>
    <x v="0"/>
    <x v="0"/>
    <s v="COFCO INTERNATIONAL BRASIL S A - UBERLANDIA"/>
    <s v="06.315.338/0177-80"/>
    <s v="COFCO INTERNATIONAL BRASIL S.A."/>
    <s v="06.315.338/0177-80"/>
    <m/>
    <s v="HFE2542323"/>
    <n v="79.891000000000005"/>
    <n v="23"/>
    <n v="56.890999999999998"/>
    <s v="TIPI"/>
    <s v="16786"/>
    <s v="1"/>
    <n v="50596"/>
    <n v="38.92"/>
    <n v="6.8869999999999996"/>
    <s v="31210106315338017780550010000167861409302365"/>
    <s v="Vitória ES - Tubarão"/>
    <s v="112"/>
    <s v="133567"/>
    <s v="31210242276907000209570010014111921465371980"/>
    <m/>
  </r>
  <r>
    <s v="TIPI"/>
    <d v="2021-02-04T00:00:00"/>
    <d v="1899-12-30T07:42:16"/>
    <s v="20210203-TIPI-000028"/>
    <s v="L-283"/>
    <s v="Soja"/>
    <x v="0"/>
    <x v="0"/>
    <s v="COFCO INTERNATIONAL BRASIL S A - UBERLANDIA"/>
    <s v="06.315.338/0177-80"/>
    <s v="COFCO INTERNATIONAL BRASIL S.A."/>
    <s v="06.315.338/0177-80"/>
    <m/>
    <s v="HFE2541394"/>
    <n v="79.915000000000006"/>
    <n v="24.56"/>
    <n v="55.354999999999997"/>
    <s v="TIPI"/>
    <s v="16787"/>
    <s v="1"/>
    <n v="65169"/>
    <n v="50.13"/>
    <n v="23.321999999999999"/>
    <s v="31210106315338017780550010000167871196976531"/>
    <s v="Vitória ES - Tubarão"/>
    <s v="112"/>
    <s v="133568"/>
    <s v="31210242276907000209570010014111931248735620"/>
    <m/>
  </r>
  <r>
    <s v="TIPI"/>
    <d v="2021-02-04T00:00:00"/>
    <d v="1899-12-30T07:42:16"/>
    <s v="20210203-TIPI-000028"/>
    <s v="L-283"/>
    <s v="Soja"/>
    <x v="0"/>
    <x v="0"/>
    <s v="COFCO INTERNATIONAL BRASIL S A - UBERLANDIA"/>
    <s v="06.315.338/0177-80"/>
    <s v="COFCO INTERNATIONAL BRASIL S.A."/>
    <s v="06.315.338/0177-80"/>
    <m/>
    <s v="HFE2541394"/>
    <n v="79.915000000000006"/>
    <n v="24.56"/>
    <n v="55.354999999999997"/>
    <s v="TIPI"/>
    <s v="16786"/>
    <s v="1"/>
    <n v="50596"/>
    <n v="38.92"/>
    <n v="32.033000000000001"/>
    <s v="31210106315338017780550010000167861409302365"/>
    <s v="Vitória ES - Tubarão"/>
    <s v="112"/>
    <s v="133568"/>
    <s v="3121024227690700020957001001411193124873562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20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N6" firstHeaderRow="2" firstDataRow="2" firstDataCol="2"/>
  <pivotFields count="29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4">
        <item m="1" x="2"/>
        <item x="0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3">
        <item m="1" x="2"/>
        <item m="1" x="1"/>
        <item x="0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</pivotFields>
  <rowFields count="2">
    <field x="7"/>
    <field x="6"/>
  </rowFields>
  <rowItems count="1">
    <i>
      <x v="2"/>
      <x v="1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61"/>
  <sheetViews>
    <sheetView tabSelected="1" zoomScale="85" zoomScaleNormal="85" workbookViewId="0">
      <pane ySplit="9" topLeftCell="A10" activePane="bottomLeft" state="frozen"/>
      <selection pane="bottomLeft" activeCell="M11" sqref="M11:M61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3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2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06315338017780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Vitória ES - Tubarão</v>
      </c>
      <c r="C7" s="10" t="str">
        <f>IFERROR(VLOOKUP(B7,BASE!D2:F10,2,0),"")</f>
        <v>33.592.510/0021-06</v>
      </c>
      <c r="E7" s="16" t="s">
        <v>43</v>
      </c>
      <c r="F7" s="64" t="s">
        <v>189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2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UBERLANDIA</v>
      </c>
      <c r="B10" s="24" t="s">
        <v>150</v>
      </c>
    </row>
    <row r="11" spans="1:17" x14ac:dyDescent="0.2">
      <c r="A11" s="31" t="s">
        <v>198</v>
      </c>
      <c r="C11" s="19">
        <v>0</v>
      </c>
      <c r="D11" s="19">
        <v>0</v>
      </c>
      <c r="E11" s="19">
        <v>0</v>
      </c>
      <c r="F11" s="63">
        <v>44230</v>
      </c>
      <c r="H11" s="10" t="str">
        <f t="shared" ref="H11:H42" si="0">MID(A11,4,7)</f>
        <v>7052740</v>
      </c>
      <c r="J11" s="61">
        <v>50780</v>
      </c>
      <c r="K11" s="10">
        <v>0</v>
      </c>
      <c r="L11" s="12">
        <v>16759</v>
      </c>
      <c r="M11" s="12" t="s">
        <v>185</v>
      </c>
      <c r="N11" s="61">
        <v>50780</v>
      </c>
      <c r="O11" s="10" t="s">
        <v>188</v>
      </c>
    </row>
    <row r="12" spans="1:17" x14ac:dyDescent="0.2">
      <c r="A12" s="31" t="s">
        <v>198</v>
      </c>
      <c r="C12" s="19">
        <v>0</v>
      </c>
      <c r="D12" s="19">
        <v>0</v>
      </c>
      <c r="E12" s="19">
        <v>0</v>
      </c>
      <c r="F12" s="63">
        <v>44230</v>
      </c>
      <c r="H12" s="10" t="str">
        <f t="shared" si="0"/>
        <v>7052740</v>
      </c>
      <c r="J12" s="61">
        <v>2630</v>
      </c>
      <c r="K12" s="10">
        <v>0</v>
      </c>
      <c r="L12" s="12">
        <v>16762</v>
      </c>
      <c r="M12" s="12" t="s">
        <v>185</v>
      </c>
      <c r="N12" s="61">
        <v>2630</v>
      </c>
      <c r="O12" s="10" t="s">
        <v>188</v>
      </c>
    </row>
    <row r="13" spans="1:17" x14ac:dyDescent="0.2">
      <c r="A13" s="31" t="s">
        <v>207</v>
      </c>
      <c r="C13" s="19">
        <v>0</v>
      </c>
      <c r="D13" s="19">
        <v>0</v>
      </c>
      <c r="E13" s="19">
        <v>0</v>
      </c>
      <c r="F13" s="63">
        <v>44230</v>
      </c>
      <c r="H13" s="10" t="str">
        <f t="shared" si="0"/>
        <v>6461310</v>
      </c>
      <c r="J13" s="61">
        <v>50660</v>
      </c>
      <c r="K13" s="10">
        <v>0</v>
      </c>
      <c r="L13" s="12">
        <v>16791</v>
      </c>
      <c r="M13" s="12" t="s">
        <v>185</v>
      </c>
      <c r="N13" s="61">
        <v>50660</v>
      </c>
      <c r="O13" s="10" t="s">
        <v>188</v>
      </c>
    </row>
    <row r="14" spans="1:17" x14ac:dyDescent="0.2">
      <c r="A14" s="31" t="s">
        <v>207</v>
      </c>
      <c r="C14" s="19">
        <v>0</v>
      </c>
      <c r="D14" s="19">
        <v>0</v>
      </c>
      <c r="E14" s="19">
        <v>0</v>
      </c>
      <c r="F14" s="63">
        <v>44230</v>
      </c>
      <c r="H14" s="10" t="str">
        <f t="shared" si="0"/>
        <v>6461310</v>
      </c>
      <c r="J14" s="61">
        <v>4340</v>
      </c>
      <c r="K14" s="10">
        <v>0</v>
      </c>
      <c r="L14" s="12">
        <v>16792</v>
      </c>
      <c r="M14" s="12" t="s">
        <v>185</v>
      </c>
      <c r="N14" s="61">
        <v>4340</v>
      </c>
      <c r="O14" s="10" t="s">
        <v>188</v>
      </c>
    </row>
    <row r="15" spans="1:17" x14ac:dyDescent="0.2">
      <c r="A15" s="31" t="s">
        <v>215</v>
      </c>
      <c r="C15" s="19">
        <v>0</v>
      </c>
      <c r="D15" s="19">
        <v>0</v>
      </c>
      <c r="E15" s="19">
        <v>0</v>
      </c>
      <c r="F15" s="63">
        <v>44230</v>
      </c>
      <c r="H15" s="10" t="str">
        <f t="shared" si="0"/>
        <v>2530511</v>
      </c>
      <c r="J15" s="61">
        <v>51350</v>
      </c>
      <c r="K15" s="10">
        <v>0</v>
      </c>
      <c r="L15" s="12">
        <v>16799</v>
      </c>
      <c r="M15" s="12" t="s">
        <v>185</v>
      </c>
      <c r="N15" s="61">
        <v>51350</v>
      </c>
      <c r="O15" s="10" t="s">
        <v>188</v>
      </c>
    </row>
    <row r="16" spans="1:17" x14ac:dyDescent="0.2">
      <c r="A16" s="31" t="s">
        <v>215</v>
      </c>
      <c r="C16" s="19">
        <v>0</v>
      </c>
      <c r="D16" s="19">
        <v>0</v>
      </c>
      <c r="E16" s="19">
        <v>0</v>
      </c>
      <c r="F16" s="63">
        <v>44230</v>
      </c>
      <c r="H16" s="10" t="str">
        <f t="shared" si="0"/>
        <v>2530511</v>
      </c>
      <c r="J16" s="61">
        <v>3814</v>
      </c>
      <c r="K16" s="10">
        <v>0</v>
      </c>
      <c r="L16" s="12">
        <v>16800</v>
      </c>
      <c r="M16" s="12" t="s">
        <v>185</v>
      </c>
      <c r="N16" s="61">
        <v>3814</v>
      </c>
      <c r="O16" s="10" t="s">
        <v>188</v>
      </c>
    </row>
    <row r="17" spans="1:15" x14ac:dyDescent="0.2">
      <c r="A17" s="31" t="s">
        <v>223</v>
      </c>
      <c r="C17" s="19">
        <v>0</v>
      </c>
      <c r="D17" s="19">
        <v>0</v>
      </c>
      <c r="E17" s="19">
        <v>0</v>
      </c>
      <c r="F17" s="63">
        <v>44230</v>
      </c>
      <c r="H17" s="10" t="str">
        <f t="shared" si="0"/>
        <v>7050054</v>
      </c>
      <c r="J17" s="61">
        <v>9585</v>
      </c>
      <c r="K17" s="10">
        <v>0</v>
      </c>
      <c r="L17" s="12">
        <v>16793</v>
      </c>
      <c r="M17" s="12" t="s">
        <v>185</v>
      </c>
      <c r="N17" s="61">
        <v>9585</v>
      </c>
      <c r="O17" s="10" t="s">
        <v>188</v>
      </c>
    </row>
    <row r="18" spans="1:15" x14ac:dyDescent="0.2">
      <c r="A18" s="31" t="s">
        <v>223</v>
      </c>
      <c r="C18" s="19">
        <v>0</v>
      </c>
      <c r="D18" s="19">
        <v>0</v>
      </c>
      <c r="E18" s="19">
        <v>0</v>
      </c>
      <c r="F18" s="63">
        <v>44230</v>
      </c>
      <c r="H18" s="10" t="str">
        <f t="shared" si="0"/>
        <v>7050054</v>
      </c>
      <c r="J18" s="61">
        <v>46180</v>
      </c>
      <c r="K18" s="10">
        <v>0</v>
      </c>
      <c r="L18" s="12">
        <v>16792</v>
      </c>
      <c r="M18" s="12" t="s">
        <v>185</v>
      </c>
      <c r="N18" s="61">
        <v>46180</v>
      </c>
      <c r="O18" s="10" t="s">
        <v>188</v>
      </c>
    </row>
    <row r="19" spans="1:15" x14ac:dyDescent="0.2">
      <c r="A19" s="31" t="s">
        <v>229</v>
      </c>
      <c r="C19" s="19">
        <v>0</v>
      </c>
      <c r="D19" s="19">
        <v>0</v>
      </c>
      <c r="E19" s="19">
        <v>0</v>
      </c>
      <c r="F19" s="63">
        <v>44230</v>
      </c>
      <c r="H19" s="10" t="str">
        <f t="shared" si="0"/>
        <v>2470021</v>
      </c>
      <c r="J19" s="61">
        <v>41325</v>
      </c>
      <c r="K19" s="10">
        <v>0</v>
      </c>
      <c r="L19" s="12">
        <v>16793</v>
      </c>
      <c r="M19" s="12" t="s">
        <v>185</v>
      </c>
      <c r="N19" s="61">
        <v>41325</v>
      </c>
      <c r="O19" s="10" t="s">
        <v>188</v>
      </c>
    </row>
    <row r="20" spans="1:15" x14ac:dyDescent="0.2">
      <c r="A20" s="31" t="s">
        <v>229</v>
      </c>
      <c r="C20" s="19">
        <v>0</v>
      </c>
      <c r="D20" s="19">
        <v>0</v>
      </c>
      <c r="E20" s="19">
        <v>0</v>
      </c>
      <c r="F20" s="63">
        <v>44230</v>
      </c>
      <c r="H20" s="10" t="str">
        <f t="shared" si="0"/>
        <v>2470021</v>
      </c>
      <c r="J20" s="61">
        <v>13975</v>
      </c>
      <c r="K20" s="10">
        <v>0</v>
      </c>
      <c r="L20" s="12">
        <v>16794</v>
      </c>
      <c r="M20" s="12" t="s">
        <v>185</v>
      </c>
      <c r="N20" s="61">
        <v>13975</v>
      </c>
      <c r="O20" s="10" t="s">
        <v>188</v>
      </c>
    </row>
    <row r="21" spans="1:15" x14ac:dyDescent="0.2">
      <c r="A21" s="31" t="s">
        <v>235</v>
      </c>
      <c r="C21" s="19">
        <v>0</v>
      </c>
      <c r="D21" s="19">
        <v>0</v>
      </c>
      <c r="E21" s="19">
        <v>0</v>
      </c>
      <c r="F21" s="63">
        <v>44230</v>
      </c>
      <c r="H21" s="10" t="str">
        <f t="shared" si="0"/>
        <v>7057458</v>
      </c>
      <c r="J21" s="61">
        <v>2199</v>
      </c>
      <c r="K21" s="10">
        <v>0</v>
      </c>
      <c r="L21" s="12">
        <v>16802</v>
      </c>
      <c r="M21" s="12" t="s">
        <v>185</v>
      </c>
      <c r="N21" s="61">
        <v>2199</v>
      </c>
      <c r="O21" s="10" t="s">
        <v>188</v>
      </c>
    </row>
    <row r="22" spans="1:15" x14ac:dyDescent="0.2">
      <c r="A22" s="31" t="s">
        <v>235</v>
      </c>
      <c r="C22" s="19">
        <v>0</v>
      </c>
      <c r="D22" s="19">
        <v>0</v>
      </c>
      <c r="E22" s="19">
        <v>0</v>
      </c>
      <c r="F22" s="63">
        <v>44230</v>
      </c>
      <c r="H22" s="10" t="str">
        <f t="shared" si="0"/>
        <v>7057458</v>
      </c>
      <c r="J22" s="61">
        <v>50830</v>
      </c>
      <c r="K22" s="10">
        <v>0</v>
      </c>
      <c r="L22" s="12">
        <v>16803</v>
      </c>
      <c r="M22" s="12" t="s">
        <v>185</v>
      </c>
      <c r="N22" s="61">
        <v>50830</v>
      </c>
      <c r="O22" s="10" t="s">
        <v>188</v>
      </c>
    </row>
    <row r="23" spans="1:15" x14ac:dyDescent="0.2">
      <c r="A23" s="31" t="s">
        <v>243</v>
      </c>
      <c r="C23" s="19">
        <v>0</v>
      </c>
      <c r="D23" s="19">
        <v>0</v>
      </c>
      <c r="E23" s="19">
        <v>0</v>
      </c>
      <c r="F23" s="63">
        <v>44230</v>
      </c>
      <c r="H23" s="10" t="str">
        <f t="shared" si="0"/>
        <v>2531895</v>
      </c>
      <c r="J23" s="61">
        <v>37805</v>
      </c>
      <c r="K23" s="10">
        <v>0</v>
      </c>
      <c r="L23" s="12">
        <v>16794</v>
      </c>
      <c r="M23" s="12" t="s">
        <v>185</v>
      </c>
      <c r="N23" s="61">
        <v>37805</v>
      </c>
      <c r="O23" s="10" t="s">
        <v>188</v>
      </c>
    </row>
    <row r="24" spans="1:15" x14ac:dyDescent="0.2">
      <c r="A24" s="31" t="s">
        <v>243</v>
      </c>
      <c r="C24" s="19">
        <v>0</v>
      </c>
      <c r="D24" s="19">
        <v>0</v>
      </c>
      <c r="E24" s="19">
        <v>0</v>
      </c>
      <c r="F24" s="63">
        <v>44230</v>
      </c>
      <c r="H24" s="10" t="str">
        <f t="shared" si="0"/>
        <v>2531895</v>
      </c>
      <c r="J24" s="61">
        <v>18426</v>
      </c>
      <c r="K24" s="10">
        <v>0</v>
      </c>
      <c r="L24" s="12">
        <v>16795</v>
      </c>
      <c r="M24" s="12" t="s">
        <v>185</v>
      </c>
      <c r="N24" s="61">
        <v>18426</v>
      </c>
      <c r="O24" s="10" t="s">
        <v>188</v>
      </c>
    </row>
    <row r="25" spans="1:15" x14ac:dyDescent="0.2">
      <c r="A25" s="31" t="s">
        <v>249</v>
      </c>
      <c r="C25" s="19">
        <v>0</v>
      </c>
      <c r="D25" s="19">
        <v>0</v>
      </c>
      <c r="E25" s="19">
        <v>0</v>
      </c>
      <c r="F25" s="63">
        <v>44230</v>
      </c>
      <c r="H25" s="10" t="str">
        <f t="shared" si="0"/>
        <v>7057440</v>
      </c>
      <c r="J25" s="61">
        <v>33906</v>
      </c>
      <c r="K25" s="10">
        <v>0</v>
      </c>
      <c r="L25" s="12">
        <v>16796</v>
      </c>
      <c r="M25" s="12" t="s">
        <v>185</v>
      </c>
      <c r="N25" s="61">
        <v>33906</v>
      </c>
      <c r="O25" s="10" t="s">
        <v>188</v>
      </c>
    </row>
    <row r="26" spans="1:15" x14ac:dyDescent="0.2">
      <c r="A26" s="31" t="s">
        <v>249</v>
      </c>
      <c r="C26" s="19">
        <v>0</v>
      </c>
      <c r="D26" s="19">
        <v>0</v>
      </c>
      <c r="E26" s="19">
        <v>0</v>
      </c>
      <c r="F26" s="63">
        <v>44230</v>
      </c>
      <c r="H26" s="10" t="str">
        <f t="shared" si="0"/>
        <v>7057440</v>
      </c>
      <c r="J26" s="61">
        <v>19504</v>
      </c>
      <c r="K26" s="10">
        <v>0</v>
      </c>
      <c r="L26" s="12">
        <v>16795</v>
      </c>
      <c r="M26" s="12" t="s">
        <v>185</v>
      </c>
      <c r="N26" s="61">
        <v>19504</v>
      </c>
      <c r="O26" s="10" t="s">
        <v>188</v>
      </c>
    </row>
    <row r="27" spans="1:15" x14ac:dyDescent="0.2">
      <c r="A27" s="31" t="s">
        <v>255</v>
      </c>
      <c r="C27" s="19">
        <v>0</v>
      </c>
      <c r="D27" s="19">
        <v>0</v>
      </c>
      <c r="E27" s="19">
        <v>0</v>
      </c>
      <c r="F27" s="63">
        <v>44230</v>
      </c>
      <c r="H27" s="10" t="str">
        <f t="shared" si="0"/>
        <v>2537508</v>
      </c>
      <c r="J27" s="61">
        <v>50378</v>
      </c>
      <c r="K27" s="10">
        <v>0</v>
      </c>
      <c r="L27" s="12">
        <v>16797</v>
      </c>
      <c r="M27" s="12" t="s">
        <v>185</v>
      </c>
      <c r="N27" s="61">
        <v>50378</v>
      </c>
      <c r="O27" s="10" t="s">
        <v>188</v>
      </c>
    </row>
    <row r="28" spans="1:15" x14ac:dyDescent="0.2">
      <c r="A28" s="31" t="s">
        <v>255</v>
      </c>
      <c r="C28" s="19">
        <v>0</v>
      </c>
      <c r="D28" s="19">
        <v>0</v>
      </c>
      <c r="E28" s="19">
        <v>0</v>
      </c>
      <c r="F28" s="63">
        <v>44230</v>
      </c>
      <c r="H28" s="10" t="str">
        <f t="shared" si="0"/>
        <v>2537508</v>
      </c>
      <c r="J28" s="61">
        <v>4704</v>
      </c>
      <c r="K28" s="10">
        <v>0</v>
      </c>
      <c r="L28" s="12">
        <v>16796</v>
      </c>
      <c r="M28" s="12" t="s">
        <v>185</v>
      </c>
      <c r="N28" s="61">
        <v>4704</v>
      </c>
      <c r="O28" s="10" t="s">
        <v>188</v>
      </c>
    </row>
    <row r="29" spans="1:15" x14ac:dyDescent="0.2">
      <c r="A29" s="31" t="s">
        <v>261</v>
      </c>
      <c r="C29" s="19">
        <v>0</v>
      </c>
      <c r="D29" s="19">
        <v>0</v>
      </c>
      <c r="E29" s="19">
        <v>0</v>
      </c>
      <c r="F29" s="63">
        <v>44230</v>
      </c>
      <c r="H29" s="10" t="str">
        <f t="shared" si="0"/>
        <v>2537494</v>
      </c>
      <c r="J29" s="61">
        <v>532</v>
      </c>
      <c r="K29" s="10">
        <v>0</v>
      </c>
      <c r="L29" s="12">
        <v>16797</v>
      </c>
      <c r="M29" s="12" t="s">
        <v>185</v>
      </c>
      <c r="N29" s="61">
        <v>532</v>
      </c>
      <c r="O29" s="10" t="s">
        <v>188</v>
      </c>
    </row>
    <row r="30" spans="1:15" x14ac:dyDescent="0.2">
      <c r="A30" s="31" t="s">
        <v>261</v>
      </c>
      <c r="C30" s="19">
        <v>0</v>
      </c>
      <c r="D30" s="19">
        <v>0</v>
      </c>
      <c r="E30" s="19">
        <v>0</v>
      </c>
      <c r="F30" s="63">
        <v>44230</v>
      </c>
      <c r="H30" s="10" t="str">
        <f t="shared" si="0"/>
        <v>2537494</v>
      </c>
      <c r="J30" s="61">
        <v>50480</v>
      </c>
      <c r="K30" s="10">
        <v>0</v>
      </c>
      <c r="L30" s="12">
        <v>16798</v>
      </c>
      <c r="M30" s="12" t="s">
        <v>185</v>
      </c>
      <c r="N30" s="61">
        <v>50480</v>
      </c>
      <c r="O30" s="10" t="s">
        <v>188</v>
      </c>
    </row>
    <row r="31" spans="1:15" x14ac:dyDescent="0.2">
      <c r="A31" s="31" t="s">
        <v>261</v>
      </c>
      <c r="C31" s="19">
        <v>0</v>
      </c>
      <c r="D31" s="19">
        <v>0</v>
      </c>
      <c r="E31" s="19">
        <v>0</v>
      </c>
      <c r="F31" s="63">
        <v>44230</v>
      </c>
      <c r="H31" s="10" t="str">
        <f t="shared" si="0"/>
        <v>2537494</v>
      </c>
      <c r="J31" s="61">
        <v>4346</v>
      </c>
      <c r="K31" s="10">
        <v>0</v>
      </c>
      <c r="L31" s="12">
        <v>16800</v>
      </c>
      <c r="M31" s="12" t="s">
        <v>185</v>
      </c>
      <c r="N31" s="61">
        <v>4346</v>
      </c>
      <c r="O31" s="10" t="s">
        <v>188</v>
      </c>
    </row>
    <row r="32" spans="1:15" x14ac:dyDescent="0.2">
      <c r="A32" s="31" t="s">
        <v>267</v>
      </c>
      <c r="C32" s="19">
        <v>0</v>
      </c>
      <c r="D32" s="19">
        <v>0</v>
      </c>
      <c r="E32" s="19">
        <v>0</v>
      </c>
      <c r="F32" s="63">
        <v>44230</v>
      </c>
      <c r="H32" s="10" t="str">
        <f t="shared" si="0"/>
        <v>7052731</v>
      </c>
      <c r="J32" s="61">
        <v>12861</v>
      </c>
      <c r="K32" s="10">
        <v>0</v>
      </c>
      <c r="L32" s="12">
        <v>16801</v>
      </c>
      <c r="M32" s="12" t="s">
        <v>185</v>
      </c>
      <c r="N32" s="61">
        <v>12861</v>
      </c>
      <c r="O32" s="10" t="s">
        <v>188</v>
      </c>
    </row>
    <row r="33" spans="1:15" x14ac:dyDescent="0.2">
      <c r="A33" s="31" t="s">
        <v>267</v>
      </c>
      <c r="C33" s="19">
        <v>0</v>
      </c>
      <c r="D33" s="19">
        <v>0</v>
      </c>
      <c r="E33" s="19">
        <v>0</v>
      </c>
      <c r="F33" s="63">
        <v>44230</v>
      </c>
      <c r="H33" s="10" t="str">
        <f t="shared" si="0"/>
        <v>7052731</v>
      </c>
      <c r="J33" s="61">
        <v>42070</v>
      </c>
      <c r="K33" s="10">
        <v>0</v>
      </c>
      <c r="L33" s="12">
        <v>16800</v>
      </c>
      <c r="M33" s="12" t="s">
        <v>185</v>
      </c>
      <c r="N33" s="61">
        <v>42070</v>
      </c>
      <c r="O33" s="10" t="s">
        <v>188</v>
      </c>
    </row>
    <row r="34" spans="1:15" x14ac:dyDescent="0.2">
      <c r="A34" s="31" t="s">
        <v>273</v>
      </c>
      <c r="C34" s="19">
        <v>0</v>
      </c>
      <c r="D34" s="19">
        <v>0</v>
      </c>
      <c r="E34" s="19">
        <v>0</v>
      </c>
      <c r="F34" s="63">
        <v>44230</v>
      </c>
      <c r="H34" s="10" t="str">
        <f t="shared" si="0"/>
        <v>2539390</v>
      </c>
      <c r="J34" s="61">
        <v>17591</v>
      </c>
      <c r="K34" s="10">
        <v>0</v>
      </c>
      <c r="L34" s="12">
        <v>16802</v>
      </c>
      <c r="M34" s="12" t="s">
        <v>185</v>
      </c>
      <c r="N34" s="61">
        <v>17591</v>
      </c>
      <c r="O34" s="10" t="s">
        <v>188</v>
      </c>
    </row>
    <row r="35" spans="1:15" x14ac:dyDescent="0.2">
      <c r="A35" s="31" t="s">
        <v>273</v>
      </c>
      <c r="C35" s="19">
        <v>0</v>
      </c>
      <c r="D35" s="19">
        <v>0</v>
      </c>
      <c r="E35" s="19">
        <v>0</v>
      </c>
      <c r="F35" s="63">
        <v>44230</v>
      </c>
      <c r="H35" s="10" t="str">
        <f t="shared" si="0"/>
        <v>2539390</v>
      </c>
      <c r="J35" s="61">
        <v>38259</v>
      </c>
      <c r="K35" s="10">
        <v>0</v>
      </c>
      <c r="L35" s="12">
        <v>16801</v>
      </c>
      <c r="M35" s="12" t="s">
        <v>185</v>
      </c>
      <c r="N35" s="61">
        <v>38259</v>
      </c>
      <c r="O35" s="10" t="s">
        <v>188</v>
      </c>
    </row>
    <row r="36" spans="1:15" x14ac:dyDescent="0.2">
      <c r="A36" s="31" t="s">
        <v>277</v>
      </c>
      <c r="C36" s="19">
        <v>0</v>
      </c>
      <c r="D36" s="19">
        <v>0</v>
      </c>
      <c r="E36" s="19">
        <v>0</v>
      </c>
      <c r="F36" s="63">
        <v>44231</v>
      </c>
      <c r="H36" s="10" t="str">
        <f t="shared" si="0"/>
        <v>2532620</v>
      </c>
      <c r="J36" s="61">
        <v>47410</v>
      </c>
      <c r="K36" s="10">
        <v>0</v>
      </c>
      <c r="L36" s="12">
        <v>16762</v>
      </c>
      <c r="M36" s="12" t="s">
        <v>185</v>
      </c>
      <c r="N36" s="61">
        <v>47410</v>
      </c>
      <c r="O36" s="10" t="s">
        <v>188</v>
      </c>
    </row>
    <row r="37" spans="1:15" x14ac:dyDescent="0.2">
      <c r="A37" s="31" t="s">
        <v>277</v>
      </c>
      <c r="C37" s="19">
        <v>0</v>
      </c>
      <c r="D37" s="19">
        <v>0</v>
      </c>
      <c r="E37" s="19">
        <v>0</v>
      </c>
      <c r="F37" s="63">
        <v>44231</v>
      </c>
      <c r="H37" s="10" t="str">
        <f t="shared" si="0"/>
        <v>2532620</v>
      </c>
      <c r="J37" s="61">
        <v>8940</v>
      </c>
      <c r="K37" s="10">
        <v>0</v>
      </c>
      <c r="L37" s="12">
        <v>16763</v>
      </c>
      <c r="M37" s="12" t="s">
        <v>185</v>
      </c>
      <c r="N37" s="61">
        <v>8940</v>
      </c>
      <c r="O37" s="10" t="s">
        <v>188</v>
      </c>
    </row>
    <row r="38" spans="1:15" x14ac:dyDescent="0.2">
      <c r="A38" s="31" t="s">
        <v>283</v>
      </c>
      <c r="C38" s="19">
        <v>0</v>
      </c>
      <c r="D38" s="19">
        <v>0</v>
      </c>
      <c r="E38" s="19">
        <v>0</v>
      </c>
      <c r="F38" s="63">
        <v>44231</v>
      </c>
      <c r="H38" s="10" t="str">
        <f t="shared" si="0"/>
        <v>6035388</v>
      </c>
      <c r="J38" s="61">
        <v>13669</v>
      </c>
      <c r="K38" s="10">
        <v>0</v>
      </c>
      <c r="L38" s="12">
        <v>16773</v>
      </c>
      <c r="M38" s="12" t="s">
        <v>185</v>
      </c>
      <c r="N38" s="61">
        <v>13669</v>
      </c>
      <c r="O38" s="10" t="s">
        <v>188</v>
      </c>
    </row>
    <row r="39" spans="1:15" x14ac:dyDescent="0.2">
      <c r="A39" s="31" t="s">
        <v>283</v>
      </c>
      <c r="C39" s="19">
        <v>0</v>
      </c>
      <c r="D39" s="19">
        <v>0</v>
      </c>
      <c r="E39" s="19">
        <v>0</v>
      </c>
      <c r="F39" s="63">
        <v>44231</v>
      </c>
      <c r="H39" s="10" t="str">
        <f t="shared" si="0"/>
        <v>6035388</v>
      </c>
      <c r="J39" s="61">
        <v>41190</v>
      </c>
      <c r="K39" s="10">
        <v>0</v>
      </c>
      <c r="L39" s="12">
        <v>16763</v>
      </c>
      <c r="M39" s="12" t="s">
        <v>185</v>
      </c>
      <c r="N39" s="61">
        <v>41190</v>
      </c>
      <c r="O39" s="10" t="s">
        <v>188</v>
      </c>
    </row>
    <row r="40" spans="1:15" x14ac:dyDescent="0.2">
      <c r="A40" s="31" t="s">
        <v>289</v>
      </c>
      <c r="C40" s="19">
        <v>0</v>
      </c>
      <c r="D40" s="19">
        <v>0</v>
      </c>
      <c r="E40" s="19">
        <v>0</v>
      </c>
      <c r="F40" s="63">
        <v>44231</v>
      </c>
      <c r="H40" s="10" t="str">
        <f t="shared" si="0"/>
        <v>2413884</v>
      </c>
      <c r="J40" s="61">
        <v>20664</v>
      </c>
      <c r="K40" s="10">
        <v>0</v>
      </c>
      <c r="L40" s="12">
        <v>16774</v>
      </c>
      <c r="M40" s="12" t="s">
        <v>185</v>
      </c>
      <c r="N40" s="61">
        <v>20664</v>
      </c>
      <c r="O40" s="10" t="s">
        <v>188</v>
      </c>
    </row>
    <row r="41" spans="1:15" x14ac:dyDescent="0.2">
      <c r="A41" s="31" t="s">
        <v>289</v>
      </c>
      <c r="C41" s="19">
        <v>0</v>
      </c>
      <c r="D41" s="19">
        <v>0</v>
      </c>
      <c r="E41" s="19">
        <v>0</v>
      </c>
      <c r="F41" s="63">
        <v>44231</v>
      </c>
      <c r="H41" s="10" t="str">
        <f t="shared" si="0"/>
        <v>2413884</v>
      </c>
      <c r="J41" s="61">
        <v>37251</v>
      </c>
      <c r="K41" s="10">
        <v>0</v>
      </c>
      <c r="L41" s="12">
        <v>16773</v>
      </c>
      <c r="M41" s="12" t="s">
        <v>185</v>
      </c>
      <c r="N41" s="61">
        <v>37251</v>
      </c>
      <c r="O41" s="10" t="s">
        <v>188</v>
      </c>
    </row>
    <row r="42" spans="1:15" x14ac:dyDescent="0.2">
      <c r="A42" s="31" t="s">
        <v>295</v>
      </c>
      <c r="C42" s="19">
        <v>0</v>
      </c>
      <c r="D42" s="19">
        <v>0</v>
      </c>
      <c r="E42" s="19">
        <v>0</v>
      </c>
      <c r="F42" s="63">
        <v>44231</v>
      </c>
      <c r="H42" s="10" t="str">
        <f t="shared" si="0"/>
        <v>2542315</v>
      </c>
      <c r="J42" s="61">
        <v>31926</v>
      </c>
      <c r="K42" s="10">
        <v>0</v>
      </c>
      <c r="L42" s="12">
        <v>16774</v>
      </c>
      <c r="M42" s="12" t="s">
        <v>185</v>
      </c>
      <c r="N42" s="61">
        <v>31926</v>
      </c>
      <c r="O42" s="10" t="s">
        <v>188</v>
      </c>
    </row>
    <row r="43" spans="1:15" x14ac:dyDescent="0.2">
      <c r="A43" s="31" t="s">
        <v>295</v>
      </c>
      <c r="C43" s="19">
        <v>0</v>
      </c>
      <c r="D43" s="19">
        <v>0</v>
      </c>
      <c r="E43" s="19">
        <v>0</v>
      </c>
      <c r="F43" s="63">
        <v>44231</v>
      </c>
      <c r="H43" s="10" t="str">
        <f t="shared" ref="H43:H61" si="1">MID(A43,4,7)</f>
        <v>2542315</v>
      </c>
      <c r="J43" s="61">
        <v>24929</v>
      </c>
      <c r="K43" s="10">
        <v>0</v>
      </c>
      <c r="L43" s="12">
        <v>16775</v>
      </c>
      <c r="M43" s="12" t="s">
        <v>185</v>
      </c>
      <c r="N43" s="61">
        <v>24929</v>
      </c>
      <c r="O43" s="10" t="s">
        <v>188</v>
      </c>
    </row>
    <row r="44" spans="1:15" x14ac:dyDescent="0.2">
      <c r="A44" s="31" t="s">
        <v>301</v>
      </c>
      <c r="C44" s="19">
        <v>0</v>
      </c>
      <c r="D44" s="19">
        <v>0</v>
      </c>
      <c r="E44" s="19">
        <v>0</v>
      </c>
      <c r="F44" s="63">
        <v>44231</v>
      </c>
      <c r="H44" s="10" t="str">
        <f t="shared" si="1"/>
        <v>3051048</v>
      </c>
      <c r="J44" s="61">
        <v>13301</v>
      </c>
      <c r="K44" s="10">
        <v>0</v>
      </c>
      <c r="L44" s="12">
        <v>16775</v>
      </c>
      <c r="M44" s="12" t="s">
        <v>185</v>
      </c>
      <c r="N44" s="61">
        <v>13301</v>
      </c>
      <c r="O44" s="10" t="s">
        <v>188</v>
      </c>
    </row>
    <row r="45" spans="1:15" x14ac:dyDescent="0.2">
      <c r="A45" s="31" t="s">
        <v>301</v>
      </c>
      <c r="C45" s="19">
        <v>0</v>
      </c>
      <c r="D45" s="19">
        <v>0</v>
      </c>
      <c r="E45" s="19">
        <v>0</v>
      </c>
      <c r="F45" s="63">
        <v>44231</v>
      </c>
      <c r="H45" s="10" t="str">
        <f t="shared" si="1"/>
        <v>3051048</v>
      </c>
      <c r="J45" s="61">
        <v>41653</v>
      </c>
      <c r="K45" s="10">
        <v>0</v>
      </c>
      <c r="L45" s="12">
        <v>16776</v>
      </c>
      <c r="M45" s="12" t="s">
        <v>185</v>
      </c>
      <c r="N45" s="61">
        <v>41653</v>
      </c>
      <c r="O45" s="10" t="s">
        <v>188</v>
      </c>
    </row>
    <row r="46" spans="1:15" x14ac:dyDescent="0.2">
      <c r="A46" s="31" t="s">
        <v>307</v>
      </c>
      <c r="C46" s="19">
        <v>0</v>
      </c>
      <c r="D46" s="19">
        <v>0</v>
      </c>
      <c r="E46" s="19">
        <v>0</v>
      </c>
      <c r="F46" s="63">
        <v>44231</v>
      </c>
      <c r="H46" s="10" t="str">
        <f t="shared" si="1"/>
        <v>2542226</v>
      </c>
      <c r="J46" s="61">
        <v>4142</v>
      </c>
      <c r="K46" s="10">
        <v>0</v>
      </c>
      <c r="L46" s="12">
        <v>16777</v>
      </c>
      <c r="M46" s="12" t="s">
        <v>185</v>
      </c>
      <c r="N46" s="61">
        <v>4142</v>
      </c>
      <c r="O46" s="10" t="s">
        <v>188</v>
      </c>
    </row>
    <row r="47" spans="1:15" x14ac:dyDescent="0.2">
      <c r="A47" s="31" t="s">
        <v>307</v>
      </c>
      <c r="C47" s="19">
        <v>0</v>
      </c>
      <c r="D47" s="19">
        <v>0</v>
      </c>
      <c r="E47" s="19">
        <v>0</v>
      </c>
      <c r="F47" s="63">
        <v>44231</v>
      </c>
      <c r="H47" s="10" t="str">
        <f t="shared" si="1"/>
        <v>2542226</v>
      </c>
      <c r="J47" s="61">
        <v>16449</v>
      </c>
      <c r="K47" s="10">
        <v>0</v>
      </c>
      <c r="L47" s="12">
        <v>16780</v>
      </c>
      <c r="M47" s="12" t="s">
        <v>185</v>
      </c>
      <c r="N47" s="61">
        <v>16449</v>
      </c>
      <c r="O47" s="10" t="s">
        <v>188</v>
      </c>
    </row>
    <row r="48" spans="1:15" x14ac:dyDescent="0.2">
      <c r="A48" s="31" t="s">
        <v>307</v>
      </c>
      <c r="C48" s="19">
        <v>0</v>
      </c>
      <c r="D48" s="19">
        <v>0</v>
      </c>
      <c r="E48" s="19">
        <v>0</v>
      </c>
      <c r="F48" s="63">
        <v>44231</v>
      </c>
      <c r="H48" s="10" t="str">
        <f t="shared" si="1"/>
        <v>2542226</v>
      </c>
      <c r="J48" s="61">
        <v>36380</v>
      </c>
      <c r="K48" s="10">
        <v>0</v>
      </c>
      <c r="L48" s="12">
        <v>16778</v>
      </c>
      <c r="M48" s="12" t="s">
        <v>185</v>
      </c>
      <c r="N48" s="61">
        <v>36380</v>
      </c>
      <c r="O48" s="10" t="s">
        <v>188</v>
      </c>
    </row>
    <row r="49" spans="1:15" x14ac:dyDescent="0.2">
      <c r="A49" s="31" t="s">
        <v>317</v>
      </c>
      <c r="C49" s="19">
        <v>0</v>
      </c>
      <c r="D49" s="19">
        <v>0</v>
      </c>
      <c r="E49" s="19">
        <v>0</v>
      </c>
      <c r="F49" s="63">
        <v>44231</v>
      </c>
      <c r="H49" s="10" t="str">
        <f t="shared" si="1"/>
        <v>6051561</v>
      </c>
      <c r="J49" s="61">
        <v>20399</v>
      </c>
      <c r="K49" s="10">
        <v>0</v>
      </c>
      <c r="L49" s="12">
        <v>16781</v>
      </c>
      <c r="M49" s="12" t="s">
        <v>185</v>
      </c>
      <c r="N49" s="61">
        <v>20399</v>
      </c>
      <c r="O49" s="10" t="s">
        <v>188</v>
      </c>
    </row>
    <row r="50" spans="1:15" x14ac:dyDescent="0.2">
      <c r="A50" s="31" t="s">
        <v>317</v>
      </c>
      <c r="C50" s="19">
        <v>0</v>
      </c>
      <c r="D50" s="19">
        <v>0</v>
      </c>
      <c r="E50" s="19">
        <v>0</v>
      </c>
      <c r="F50" s="63">
        <v>44231</v>
      </c>
      <c r="H50" s="10" t="str">
        <f t="shared" si="1"/>
        <v>6051561</v>
      </c>
      <c r="J50" s="61">
        <v>34481</v>
      </c>
      <c r="K50" s="10">
        <v>0</v>
      </c>
      <c r="L50" s="12">
        <v>16780</v>
      </c>
      <c r="M50" s="12" t="s">
        <v>185</v>
      </c>
      <c r="N50" s="61">
        <v>34481</v>
      </c>
      <c r="O50" s="10" t="s">
        <v>188</v>
      </c>
    </row>
    <row r="51" spans="1:15" x14ac:dyDescent="0.2">
      <c r="A51" s="31" t="s">
        <v>323</v>
      </c>
      <c r="C51" s="19">
        <v>0</v>
      </c>
      <c r="D51" s="19">
        <v>0</v>
      </c>
      <c r="E51" s="19">
        <v>0</v>
      </c>
      <c r="F51" s="63">
        <v>44231</v>
      </c>
      <c r="H51" s="10" t="str">
        <f t="shared" si="1"/>
        <v>6036414</v>
      </c>
      <c r="J51" s="61">
        <v>28961</v>
      </c>
      <c r="K51" s="10">
        <v>0</v>
      </c>
      <c r="L51" s="12">
        <v>16781</v>
      </c>
      <c r="M51" s="12" t="s">
        <v>185</v>
      </c>
      <c r="N51" s="61">
        <v>28961</v>
      </c>
      <c r="O51" s="10" t="s">
        <v>188</v>
      </c>
    </row>
    <row r="52" spans="1:15" x14ac:dyDescent="0.2">
      <c r="A52" s="31" t="s">
        <v>323</v>
      </c>
      <c r="C52" s="19">
        <v>0</v>
      </c>
      <c r="D52" s="19">
        <v>0</v>
      </c>
      <c r="E52" s="19">
        <v>0</v>
      </c>
      <c r="F52" s="63">
        <v>44231</v>
      </c>
      <c r="H52" s="10" t="str">
        <f t="shared" si="1"/>
        <v>6036414</v>
      </c>
      <c r="J52" s="61">
        <v>25880</v>
      </c>
      <c r="K52" s="10">
        <v>0</v>
      </c>
      <c r="L52" s="12">
        <v>16782</v>
      </c>
      <c r="M52" s="12" t="s">
        <v>185</v>
      </c>
      <c r="N52" s="61">
        <v>25880</v>
      </c>
      <c r="O52" s="10" t="s">
        <v>188</v>
      </c>
    </row>
    <row r="53" spans="1:15" x14ac:dyDescent="0.2">
      <c r="A53" s="31" t="s">
        <v>329</v>
      </c>
      <c r="C53" s="19">
        <v>0</v>
      </c>
      <c r="D53" s="19">
        <v>0</v>
      </c>
      <c r="E53" s="19">
        <v>0</v>
      </c>
      <c r="F53" s="63">
        <v>44231</v>
      </c>
      <c r="H53" s="10" t="str">
        <f t="shared" si="1"/>
        <v>2533235</v>
      </c>
      <c r="J53" s="61">
        <v>32647</v>
      </c>
      <c r="K53" s="10">
        <v>0</v>
      </c>
      <c r="L53" s="12">
        <v>16783</v>
      </c>
      <c r="M53" s="12" t="s">
        <v>185</v>
      </c>
      <c r="N53" s="61">
        <v>32647</v>
      </c>
      <c r="O53" s="10" t="s">
        <v>188</v>
      </c>
    </row>
    <row r="54" spans="1:15" x14ac:dyDescent="0.2">
      <c r="A54" s="31" t="s">
        <v>329</v>
      </c>
      <c r="C54" s="19">
        <v>0</v>
      </c>
      <c r="D54" s="19">
        <v>0</v>
      </c>
      <c r="E54" s="19">
        <v>0</v>
      </c>
      <c r="F54" s="63">
        <v>44231</v>
      </c>
      <c r="H54" s="10" t="str">
        <f t="shared" si="1"/>
        <v>2533235</v>
      </c>
      <c r="J54" s="61">
        <v>24010</v>
      </c>
      <c r="K54" s="10">
        <v>0</v>
      </c>
      <c r="L54" s="12">
        <v>16782</v>
      </c>
      <c r="M54" s="12" t="s">
        <v>185</v>
      </c>
      <c r="N54" s="61">
        <v>24010</v>
      </c>
      <c r="O54" s="10" t="s">
        <v>188</v>
      </c>
    </row>
    <row r="55" spans="1:15" x14ac:dyDescent="0.2">
      <c r="A55" s="31" t="s">
        <v>335</v>
      </c>
      <c r="C55" s="19">
        <v>0</v>
      </c>
      <c r="D55" s="19">
        <v>0</v>
      </c>
      <c r="E55" s="19">
        <v>0</v>
      </c>
      <c r="F55" s="63">
        <v>44231</v>
      </c>
      <c r="H55" s="10" t="str">
        <f t="shared" si="1"/>
        <v>2533243</v>
      </c>
      <c r="J55" s="61">
        <v>5683</v>
      </c>
      <c r="K55" s="10">
        <v>0</v>
      </c>
      <c r="L55" s="12">
        <v>16783</v>
      </c>
      <c r="M55" s="12" t="s">
        <v>185</v>
      </c>
      <c r="N55" s="61">
        <v>5683</v>
      </c>
      <c r="O55" s="10" t="s">
        <v>188</v>
      </c>
    </row>
    <row r="56" spans="1:15" x14ac:dyDescent="0.2">
      <c r="A56" s="31" t="s">
        <v>335</v>
      </c>
      <c r="C56" s="19">
        <v>0</v>
      </c>
      <c r="D56" s="19">
        <v>0</v>
      </c>
      <c r="E56" s="19">
        <v>0</v>
      </c>
      <c r="F56" s="63">
        <v>44231</v>
      </c>
      <c r="H56" s="10" t="str">
        <f t="shared" si="1"/>
        <v>2533243</v>
      </c>
      <c r="J56" s="61">
        <v>466</v>
      </c>
      <c r="K56" s="10">
        <v>0</v>
      </c>
      <c r="L56" s="12">
        <v>16785</v>
      </c>
      <c r="M56" s="12" t="s">
        <v>185</v>
      </c>
      <c r="N56" s="61">
        <v>466</v>
      </c>
      <c r="O56" s="10" t="s">
        <v>188</v>
      </c>
    </row>
    <row r="57" spans="1:15" x14ac:dyDescent="0.2">
      <c r="A57" s="31" t="s">
        <v>335</v>
      </c>
      <c r="C57" s="19">
        <v>0</v>
      </c>
      <c r="D57" s="19">
        <v>0</v>
      </c>
      <c r="E57" s="19">
        <v>0</v>
      </c>
      <c r="F57" s="63">
        <v>44231</v>
      </c>
      <c r="H57" s="10" t="str">
        <f t="shared" si="1"/>
        <v>2533243</v>
      </c>
      <c r="J57" s="61">
        <v>49750</v>
      </c>
      <c r="K57" s="10">
        <v>0</v>
      </c>
      <c r="L57" s="12">
        <v>16784</v>
      </c>
      <c r="M57" s="12" t="s">
        <v>185</v>
      </c>
      <c r="N57" s="61">
        <v>49750</v>
      </c>
      <c r="O57" s="10" t="s">
        <v>188</v>
      </c>
    </row>
    <row r="58" spans="1:15" x14ac:dyDescent="0.2">
      <c r="A58" s="31" t="s">
        <v>343</v>
      </c>
      <c r="C58" s="19">
        <v>0</v>
      </c>
      <c r="D58" s="19">
        <v>0</v>
      </c>
      <c r="E58" s="19">
        <v>0</v>
      </c>
      <c r="F58" s="63">
        <v>44231</v>
      </c>
      <c r="H58" s="10" t="str">
        <f t="shared" si="1"/>
        <v>2542323</v>
      </c>
      <c r="J58" s="61">
        <v>50004</v>
      </c>
      <c r="K58" s="10">
        <v>0</v>
      </c>
      <c r="L58" s="12">
        <v>16785</v>
      </c>
      <c r="M58" s="12" t="s">
        <v>185</v>
      </c>
      <c r="N58" s="61">
        <v>50004</v>
      </c>
      <c r="O58" s="10" t="s">
        <v>188</v>
      </c>
    </row>
    <row r="59" spans="1:15" x14ac:dyDescent="0.2">
      <c r="A59" s="31" t="s">
        <v>343</v>
      </c>
      <c r="C59" s="19">
        <v>0</v>
      </c>
      <c r="D59" s="19">
        <v>0</v>
      </c>
      <c r="E59" s="19">
        <v>0</v>
      </c>
      <c r="F59" s="63">
        <v>44231</v>
      </c>
      <c r="H59" s="10" t="str">
        <f t="shared" si="1"/>
        <v>2542323</v>
      </c>
      <c r="J59" s="61">
        <v>6887</v>
      </c>
      <c r="K59" s="10">
        <v>0</v>
      </c>
      <c r="L59" s="12">
        <v>16786</v>
      </c>
      <c r="M59" s="12" t="s">
        <v>185</v>
      </c>
      <c r="N59" s="61">
        <v>6887</v>
      </c>
      <c r="O59" s="10" t="s">
        <v>188</v>
      </c>
    </row>
    <row r="60" spans="1:15" x14ac:dyDescent="0.2">
      <c r="A60" s="31" t="s">
        <v>349</v>
      </c>
      <c r="C60" s="19">
        <v>0</v>
      </c>
      <c r="D60" s="19">
        <v>0</v>
      </c>
      <c r="E60" s="19">
        <v>0</v>
      </c>
      <c r="F60" s="63">
        <v>44231</v>
      </c>
      <c r="H60" s="10" t="str">
        <f t="shared" si="1"/>
        <v>2541394</v>
      </c>
      <c r="J60" s="61">
        <v>23322</v>
      </c>
      <c r="K60" s="10">
        <v>0</v>
      </c>
      <c r="L60" s="12">
        <v>16787</v>
      </c>
      <c r="M60" s="12" t="s">
        <v>185</v>
      </c>
      <c r="N60" s="61">
        <v>23322</v>
      </c>
      <c r="O60" s="10" t="s">
        <v>188</v>
      </c>
    </row>
    <row r="61" spans="1:15" x14ac:dyDescent="0.2">
      <c r="A61" s="31" t="s">
        <v>349</v>
      </c>
      <c r="C61" s="19">
        <v>0</v>
      </c>
      <c r="D61" s="19">
        <v>0</v>
      </c>
      <c r="E61" s="19">
        <v>0</v>
      </c>
      <c r="F61" s="63">
        <v>44231</v>
      </c>
      <c r="H61" s="10" t="str">
        <f t="shared" si="1"/>
        <v>2541394</v>
      </c>
      <c r="J61" s="61">
        <v>32033</v>
      </c>
      <c r="K61" s="10">
        <v>0</v>
      </c>
      <c r="L61" s="12">
        <v>16786</v>
      </c>
      <c r="M61" s="12" t="s">
        <v>185</v>
      </c>
      <c r="N61" s="61">
        <v>32033</v>
      </c>
      <c r="O61" s="10" t="s">
        <v>188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zoomScaleNormal="100" workbookViewId="0">
      <selection activeCell="E8" sqref="E8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46.4257812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195</v>
      </c>
      <c r="M1" t="str">
        <f>VLOOKUP(L1,dados!$H:$T,13,0)</f>
        <v>1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06315338017780</v>
      </c>
      <c r="M2" s="7" t="str">
        <f>IFERROR(VLOOKUP(L1,dados!$H:$Y,18,0),"")</f>
        <v>Vitória ES - Tubarão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36" t="s">
        <v>195</v>
      </c>
      <c r="M6" s="36" t="s">
        <v>194</v>
      </c>
      <c r="N6" s="37">
        <v>51</v>
      </c>
    </row>
    <row r="7" spans="1:14" x14ac:dyDescent="0.25">
      <c r="A7" s="30" t="s">
        <v>70</v>
      </c>
      <c r="B7" s="26" t="s">
        <v>71</v>
      </c>
      <c r="D7" s="59" t="s">
        <v>186</v>
      </c>
      <c r="E7" s="60" t="s">
        <v>190</v>
      </c>
      <c r="F7" s="38"/>
      <c r="H7" s="2" t="s">
        <v>14</v>
      </c>
      <c r="I7" t="s">
        <v>12</v>
      </c>
    </row>
    <row r="8" spans="1:14" x14ac:dyDescent="0.25">
      <c r="A8" s="30" t="s">
        <v>72</v>
      </c>
      <c r="B8" s="26" t="s">
        <v>73</v>
      </c>
      <c r="D8" s="39" t="s">
        <v>201</v>
      </c>
      <c r="E8" s="47" t="s">
        <v>355</v>
      </c>
      <c r="F8" s="38"/>
    </row>
    <row r="9" spans="1:14" x14ac:dyDescent="0.25">
      <c r="A9" s="30" t="s">
        <v>74</v>
      </c>
      <c r="B9" s="26" t="s">
        <v>75</v>
      </c>
      <c r="D9" s="39"/>
      <c r="E9" s="47"/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62"/>
  <sheetViews>
    <sheetView topLeftCell="L1" workbookViewId="0">
      <selection activeCell="U2" sqref="U2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  <c r="AC1" s="50" t="s">
        <v>354</v>
      </c>
    </row>
    <row r="2" spans="1:29" ht="30" x14ac:dyDescent="0.25">
      <c r="A2" s="51" t="s">
        <v>191</v>
      </c>
      <c r="B2" s="52">
        <v>44230</v>
      </c>
      <c r="C2" s="53">
        <v>0.92205225694444404</v>
      </c>
      <c r="D2" s="54" t="s">
        <v>192</v>
      </c>
      <c r="E2" s="54" t="s">
        <v>193</v>
      </c>
      <c r="F2" s="54" t="s">
        <v>184</v>
      </c>
      <c r="G2" s="54" t="s">
        <v>194</v>
      </c>
      <c r="H2" s="54" t="s">
        <v>195</v>
      </c>
      <c r="I2" s="54" t="s">
        <v>196</v>
      </c>
      <c r="J2" s="54" t="s">
        <v>195</v>
      </c>
      <c r="K2" s="54" t="s">
        <v>197</v>
      </c>
      <c r="L2" s="54" t="s">
        <v>195</v>
      </c>
      <c r="M2" s="54"/>
      <c r="N2" s="54" t="s">
        <v>198</v>
      </c>
      <c r="O2" s="55">
        <v>78.569999999999993</v>
      </c>
      <c r="P2" s="56">
        <v>25.16</v>
      </c>
      <c r="Q2" s="55">
        <v>53.41</v>
      </c>
      <c r="R2" s="57" t="s">
        <v>191</v>
      </c>
      <c r="S2" s="58" t="s">
        <v>199</v>
      </c>
      <c r="T2" s="54" t="s">
        <v>185</v>
      </c>
      <c r="U2" s="55">
        <v>66014</v>
      </c>
      <c r="V2" s="55">
        <v>50.78</v>
      </c>
      <c r="W2" s="55">
        <v>50.78</v>
      </c>
      <c r="X2" s="59" t="s">
        <v>200</v>
      </c>
      <c r="Y2" s="59" t="s">
        <v>201</v>
      </c>
      <c r="Z2" s="51" t="s">
        <v>187</v>
      </c>
      <c r="AA2" s="51" t="s">
        <v>202</v>
      </c>
      <c r="AB2" s="51" t="s">
        <v>203</v>
      </c>
      <c r="AC2" s="51"/>
    </row>
    <row r="3" spans="1:29" ht="30" x14ac:dyDescent="0.25">
      <c r="A3" s="51" t="s">
        <v>191</v>
      </c>
      <c r="B3" s="52">
        <v>44230</v>
      </c>
      <c r="C3" s="53">
        <v>0.92205225694444404</v>
      </c>
      <c r="D3" s="54" t="s">
        <v>192</v>
      </c>
      <c r="E3" s="54" t="s">
        <v>193</v>
      </c>
      <c r="F3" s="54" t="s">
        <v>184</v>
      </c>
      <c r="G3" s="54" t="s">
        <v>194</v>
      </c>
      <c r="H3" s="54" t="s">
        <v>195</v>
      </c>
      <c r="I3" s="54" t="s">
        <v>196</v>
      </c>
      <c r="J3" s="54" t="s">
        <v>195</v>
      </c>
      <c r="K3" s="54" t="s">
        <v>197</v>
      </c>
      <c r="L3" s="54" t="s">
        <v>195</v>
      </c>
      <c r="M3" s="54"/>
      <c r="N3" s="54" t="s">
        <v>198</v>
      </c>
      <c r="O3" s="55">
        <v>78.569999999999993</v>
      </c>
      <c r="P3" s="56">
        <v>25.16</v>
      </c>
      <c r="Q3" s="55">
        <v>53.41</v>
      </c>
      <c r="R3" s="57" t="s">
        <v>191</v>
      </c>
      <c r="S3" s="58" t="s">
        <v>204</v>
      </c>
      <c r="T3" s="54" t="s">
        <v>185</v>
      </c>
      <c r="U3" s="55">
        <v>65052</v>
      </c>
      <c r="V3" s="55">
        <v>50.04</v>
      </c>
      <c r="W3" s="55">
        <v>2.63</v>
      </c>
      <c r="X3" s="59" t="s">
        <v>205</v>
      </c>
      <c r="Y3" s="59" t="s">
        <v>201</v>
      </c>
      <c r="Z3" s="51" t="s">
        <v>187</v>
      </c>
      <c r="AA3" s="51" t="s">
        <v>202</v>
      </c>
      <c r="AB3" s="51" t="s">
        <v>203</v>
      </c>
      <c r="AC3" s="51"/>
    </row>
    <row r="4" spans="1:29" ht="30" x14ac:dyDescent="0.25">
      <c r="A4" s="51" t="s">
        <v>191</v>
      </c>
      <c r="B4" s="52">
        <v>44230</v>
      </c>
      <c r="C4" s="53">
        <v>0.93014577546296295</v>
      </c>
      <c r="D4" s="54" t="s">
        <v>206</v>
      </c>
      <c r="E4" s="54" t="s">
        <v>193</v>
      </c>
      <c r="F4" s="54" t="s">
        <v>184</v>
      </c>
      <c r="G4" s="54" t="s">
        <v>194</v>
      </c>
      <c r="H4" s="54" t="s">
        <v>195</v>
      </c>
      <c r="I4" s="54" t="s">
        <v>196</v>
      </c>
      <c r="J4" s="54" t="s">
        <v>195</v>
      </c>
      <c r="K4" s="54" t="s">
        <v>197</v>
      </c>
      <c r="L4" s="54" t="s">
        <v>195</v>
      </c>
      <c r="M4" s="54"/>
      <c r="N4" s="54" t="s">
        <v>207</v>
      </c>
      <c r="O4" s="55">
        <v>77</v>
      </c>
      <c r="P4" s="56">
        <v>22</v>
      </c>
      <c r="Q4" s="55">
        <v>55</v>
      </c>
      <c r="R4" s="57" t="s">
        <v>191</v>
      </c>
      <c r="S4" s="58" t="s">
        <v>208</v>
      </c>
      <c r="T4" s="54" t="s">
        <v>185</v>
      </c>
      <c r="U4" s="55">
        <v>65858</v>
      </c>
      <c r="V4" s="55">
        <v>50.66</v>
      </c>
      <c r="W4" s="55">
        <v>50.66</v>
      </c>
      <c r="X4" s="59" t="s">
        <v>209</v>
      </c>
      <c r="Y4" s="59" t="s">
        <v>201</v>
      </c>
      <c r="Z4" s="51" t="s">
        <v>187</v>
      </c>
      <c r="AA4" s="51" t="s">
        <v>210</v>
      </c>
      <c r="AB4" s="51" t="s">
        <v>211</v>
      </c>
      <c r="AC4" s="51"/>
    </row>
    <row r="5" spans="1:29" ht="30" x14ac:dyDescent="0.25">
      <c r="A5" s="51" t="s">
        <v>191</v>
      </c>
      <c r="B5" s="52">
        <v>44230</v>
      </c>
      <c r="C5" s="53">
        <v>0.93014577546296295</v>
      </c>
      <c r="D5" s="54" t="s">
        <v>206</v>
      </c>
      <c r="E5" s="54" t="s">
        <v>193</v>
      </c>
      <c r="F5" s="54" t="s">
        <v>184</v>
      </c>
      <c r="G5" s="54" t="s">
        <v>194</v>
      </c>
      <c r="H5" s="54" t="s">
        <v>195</v>
      </c>
      <c r="I5" s="54" t="s">
        <v>196</v>
      </c>
      <c r="J5" s="54" t="s">
        <v>195</v>
      </c>
      <c r="K5" s="54" t="s">
        <v>197</v>
      </c>
      <c r="L5" s="54" t="s">
        <v>195</v>
      </c>
      <c r="M5" s="54"/>
      <c r="N5" s="54" t="s">
        <v>207</v>
      </c>
      <c r="O5" s="55">
        <v>77</v>
      </c>
      <c r="P5" s="56">
        <v>22</v>
      </c>
      <c r="Q5" s="55">
        <v>55</v>
      </c>
      <c r="R5" s="57" t="s">
        <v>191</v>
      </c>
      <c r="S5" s="58" t="s">
        <v>212</v>
      </c>
      <c r="T5" s="54" t="s">
        <v>185</v>
      </c>
      <c r="U5" s="55">
        <v>65676</v>
      </c>
      <c r="V5" s="55">
        <v>50.52</v>
      </c>
      <c r="W5" s="55">
        <v>4.34</v>
      </c>
      <c r="X5" s="59" t="s">
        <v>213</v>
      </c>
      <c r="Y5" s="59" t="s">
        <v>201</v>
      </c>
      <c r="Z5" s="51" t="s">
        <v>187</v>
      </c>
      <c r="AA5" s="51" t="s">
        <v>210</v>
      </c>
      <c r="AB5" s="51" t="s">
        <v>211</v>
      </c>
      <c r="AC5" s="51"/>
    </row>
    <row r="6" spans="1:29" ht="30" x14ac:dyDescent="0.25">
      <c r="A6" s="51" t="s">
        <v>191</v>
      </c>
      <c r="B6" s="52">
        <v>44230</v>
      </c>
      <c r="C6" s="53">
        <v>0.93336192129629603</v>
      </c>
      <c r="D6" s="54" t="s">
        <v>214</v>
      </c>
      <c r="E6" s="54" t="s">
        <v>193</v>
      </c>
      <c r="F6" s="54" t="s">
        <v>184</v>
      </c>
      <c r="G6" s="54" t="s">
        <v>194</v>
      </c>
      <c r="H6" s="54" t="s">
        <v>195</v>
      </c>
      <c r="I6" s="54" t="s">
        <v>196</v>
      </c>
      <c r="J6" s="54" t="s">
        <v>195</v>
      </c>
      <c r="K6" s="54" t="s">
        <v>197</v>
      </c>
      <c r="L6" s="54" t="s">
        <v>195</v>
      </c>
      <c r="M6" s="54"/>
      <c r="N6" s="54" t="s">
        <v>215</v>
      </c>
      <c r="O6" s="55">
        <v>79.864000000000004</v>
      </c>
      <c r="P6" s="56">
        <v>24.7</v>
      </c>
      <c r="Q6" s="55">
        <v>55.164000000000001</v>
      </c>
      <c r="R6" s="57" t="s">
        <v>191</v>
      </c>
      <c r="S6" s="58" t="s">
        <v>216</v>
      </c>
      <c r="T6" s="54" t="s">
        <v>185</v>
      </c>
      <c r="U6" s="55">
        <v>66755</v>
      </c>
      <c r="V6" s="55">
        <v>51.35</v>
      </c>
      <c r="W6" s="55">
        <v>51.35</v>
      </c>
      <c r="X6" s="59" t="s">
        <v>217</v>
      </c>
      <c r="Y6" s="59" t="s">
        <v>201</v>
      </c>
      <c r="Z6" s="51" t="s">
        <v>187</v>
      </c>
      <c r="AA6" s="51" t="s">
        <v>218</v>
      </c>
      <c r="AB6" s="51" t="s">
        <v>219</v>
      </c>
      <c r="AC6" s="51"/>
    </row>
    <row r="7" spans="1:29" ht="30" x14ac:dyDescent="0.25">
      <c r="A7" s="51" t="s">
        <v>191</v>
      </c>
      <c r="B7" s="52">
        <v>44230</v>
      </c>
      <c r="C7" s="53">
        <v>0.93336192129629603</v>
      </c>
      <c r="D7" s="54" t="s">
        <v>214</v>
      </c>
      <c r="E7" s="54" t="s">
        <v>193</v>
      </c>
      <c r="F7" s="54" t="s">
        <v>184</v>
      </c>
      <c r="G7" s="54" t="s">
        <v>194</v>
      </c>
      <c r="H7" s="54" t="s">
        <v>195</v>
      </c>
      <c r="I7" s="54" t="s">
        <v>196</v>
      </c>
      <c r="J7" s="54" t="s">
        <v>195</v>
      </c>
      <c r="K7" s="54" t="s">
        <v>197</v>
      </c>
      <c r="L7" s="54" t="s">
        <v>195</v>
      </c>
      <c r="M7" s="54"/>
      <c r="N7" s="54" t="s">
        <v>215</v>
      </c>
      <c r="O7" s="55">
        <v>79.864000000000004</v>
      </c>
      <c r="P7" s="56">
        <v>24.7</v>
      </c>
      <c r="Q7" s="55">
        <v>55.164000000000001</v>
      </c>
      <c r="R7" s="57" t="s">
        <v>191</v>
      </c>
      <c r="S7" s="58" t="s">
        <v>220</v>
      </c>
      <c r="T7" s="54" t="s">
        <v>185</v>
      </c>
      <c r="U7" s="55">
        <v>65299</v>
      </c>
      <c r="V7" s="55">
        <v>50.23</v>
      </c>
      <c r="W7" s="55">
        <v>3.8140000000000001</v>
      </c>
      <c r="X7" s="59" t="s">
        <v>221</v>
      </c>
      <c r="Y7" s="59" t="s">
        <v>201</v>
      </c>
      <c r="Z7" s="51" t="s">
        <v>187</v>
      </c>
      <c r="AA7" s="51" t="s">
        <v>218</v>
      </c>
      <c r="AB7" s="51" t="s">
        <v>219</v>
      </c>
      <c r="AC7" s="51"/>
    </row>
    <row r="8" spans="1:29" ht="30" x14ac:dyDescent="0.25">
      <c r="A8" s="51" t="s">
        <v>191</v>
      </c>
      <c r="B8" s="52">
        <v>44230</v>
      </c>
      <c r="C8" s="53">
        <v>0.94079226851851805</v>
      </c>
      <c r="D8" s="54" t="s">
        <v>222</v>
      </c>
      <c r="E8" s="54" t="s">
        <v>193</v>
      </c>
      <c r="F8" s="54" t="s">
        <v>184</v>
      </c>
      <c r="G8" s="54" t="s">
        <v>194</v>
      </c>
      <c r="H8" s="54" t="s">
        <v>195</v>
      </c>
      <c r="I8" s="54" t="s">
        <v>196</v>
      </c>
      <c r="J8" s="54" t="s">
        <v>195</v>
      </c>
      <c r="K8" s="54" t="s">
        <v>197</v>
      </c>
      <c r="L8" s="54" t="s">
        <v>195</v>
      </c>
      <c r="M8" s="54"/>
      <c r="N8" s="54" t="s">
        <v>223</v>
      </c>
      <c r="O8" s="55">
        <v>79.984999999999999</v>
      </c>
      <c r="P8" s="56">
        <v>24.22</v>
      </c>
      <c r="Q8" s="55">
        <v>55.765000000000001</v>
      </c>
      <c r="R8" s="57" t="s">
        <v>191</v>
      </c>
      <c r="S8" s="58" t="s">
        <v>224</v>
      </c>
      <c r="T8" s="54" t="s">
        <v>185</v>
      </c>
      <c r="U8" s="55">
        <v>66183</v>
      </c>
      <c r="V8" s="55">
        <v>50.91</v>
      </c>
      <c r="W8" s="55">
        <v>9.5850000000000009</v>
      </c>
      <c r="X8" s="59" t="s">
        <v>225</v>
      </c>
      <c r="Y8" s="59" t="s">
        <v>201</v>
      </c>
      <c r="Z8" s="51" t="s">
        <v>187</v>
      </c>
      <c r="AA8" s="51" t="s">
        <v>226</v>
      </c>
      <c r="AB8" s="51" t="s">
        <v>227</v>
      </c>
      <c r="AC8" s="51"/>
    </row>
    <row r="9" spans="1:29" ht="30" x14ac:dyDescent="0.25">
      <c r="A9" s="51" t="s">
        <v>191</v>
      </c>
      <c r="B9" s="52">
        <v>44230</v>
      </c>
      <c r="C9" s="53">
        <v>0.94079226851851805</v>
      </c>
      <c r="D9" s="54" t="s">
        <v>222</v>
      </c>
      <c r="E9" s="54" t="s">
        <v>193</v>
      </c>
      <c r="F9" s="54" t="s">
        <v>184</v>
      </c>
      <c r="G9" s="54" t="s">
        <v>194</v>
      </c>
      <c r="H9" s="54" t="s">
        <v>195</v>
      </c>
      <c r="I9" s="54" t="s">
        <v>196</v>
      </c>
      <c r="J9" s="54" t="s">
        <v>195</v>
      </c>
      <c r="K9" s="54" t="s">
        <v>197</v>
      </c>
      <c r="L9" s="54" t="s">
        <v>195</v>
      </c>
      <c r="M9" s="54"/>
      <c r="N9" s="54" t="s">
        <v>223</v>
      </c>
      <c r="O9" s="55">
        <v>79.984999999999999</v>
      </c>
      <c r="P9" s="56">
        <v>24.22</v>
      </c>
      <c r="Q9" s="55">
        <v>55.765000000000001</v>
      </c>
      <c r="R9" s="57" t="s">
        <v>191</v>
      </c>
      <c r="S9" s="58" t="s">
        <v>212</v>
      </c>
      <c r="T9" s="54" t="s">
        <v>185</v>
      </c>
      <c r="U9" s="55">
        <v>65676</v>
      </c>
      <c r="V9" s="55">
        <v>50.52</v>
      </c>
      <c r="W9" s="55">
        <v>46.18</v>
      </c>
      <c r="X9" s="59" t="s">
        <v>213</v>
      </c>
      <c r="Y9" s="59" t="s">
        <v>201</v>
      </c>
      <c r="Z9" s="51" t="s">
        <v>187</v>
      </c>
      <c r="AA9" s="51" t="s">
        <v>226</v>
      </c>
      <c r="AB9" s="51" t="s">
        <v>227</v>
      </c>
      <c r="AC9" s="51"/>
    </row>
    <row r="10" spans="1:29" ht="30" x14ac:dyDescent="0.25">
      <c r="A10" s="51" t="s">
        <v>191</v>
      </c>
      <c r="B10" s="52">
        <v>44230</v>
      </c>
      <c r="C10" s="53">
        <v>0.94965915509259302</v>
      </c>
      <c r="D10" s="54" t="s">
        <v>228</v>
      </c>
      <c r="E10" s="54" t="s">
        <v>193</v>
      </c>
      <c r="F10" s="54" t="s">
        <v>184</v>
      </c>
      <c r="G10" s="54" t="s">
        <v>194</v>
      </c>
      <c r="H10" s="54" t="s">
        <v>195</v>
      </c>
      <c r="I10" s="54" t="s">
        <v>196</v>
      </c>
      <c r="J10" s="54" t="s">
        <v>195</v>
      </c>
      <c r="K10" s="54" t="s">
        <v>197</v>
      </c>
      <c r="L10" s="54" t="s">
        <v>195</v>
      </c>
      <c r="M10" s="54"/>
      <c r="N10" s="54" t="s">
        <v>229</v>
      </c>
      <c r="O10" s="55">
        <v>80</v>
      </c>
      <c r="P10" s="56">
        <v>24.7</v>
      </c>
      <c r="Q10" s="55">
        <v>55.3</v>
      </c>
      <c r="R10" s="57" t="s">
        <v>191</v>
      </c>
      <c r="S10" s="58" t="s">
        <v>224</v>
      </c>
      <c r="T10" s="54" t="s">
        <v>185</v>
      </c>
      <c r="U10" s="55">
        <v>66183</v>
      </c>
      <c r="V10" s="55">
        <v>50.91</v>
      </c>
      <c r="W10" s="55">
        <v>41.325000000000003</v>
      </c>
      <c r="X10" s="59" t="s">
        <v>225</v>
      </c>
      <c r="Y10" s="59" t="s">
        <v>201</v>
      </c>
      <c r="Z10" s="51" t="s">
        <v>187</v>
      </c>
      <c r="AA10" s="51" t="s">
        <v>230</v>
      </c>
      <c r="AB10" s="51" t="s">
        <v>231</v>
      </c>
      <c r="AC10" s="51"/>
    </row>
    <row r="11" spans="1:29" ht="30" x14ac:dyDescent="0.25">
      <c r="A11" s="51" t="s">
        <v>191</v>
      </c>
      <c r="B11" s="52">
        <v>44230</v>
      </c>
      <c r="C11" s="53">
        <v>0.94965915509259302</v>
      </c>
      <c r="D11" s="54" t="s">
        <v>228</v>
      </c>
      <c r="E11" s="54" t="s">
        <v>193</v>
      </c>
      <c r="F11" s="54" t="s">
        <v>184</v>
      </c>
      <c r="G11" s="54" t="s">
        <v>194</v>
      </c>
      <c r="H11" s="54" t="s">
        <v>195</v>
      </c>
      <c r="I11" s="54" t="s">
        <v>196</v>
      </c>
      <c r="J11" s="54" t="s">
        <v>195</v>
      </c>
      <c r="K11" s="54" t="s">
        <v>197</v>
      </c>
      <c r="L11" s="54" t="s">
        <v>195</v>
      </c>
      <c r="M11" s="54"/>
      <c r="N11" s="54" t="s">
        <v>229</v>
      </c>
      <c r="O11" s="55">
        <v>80</v>
      </c>
      <c r="P11" s="56">
        <v>24.7</v>
      </c>
      <c r="Q11" s="55">
        <v>55.3</v>
      </c>
      <c r="R11" s="57" t="s">
        <v>191</v>
      </c>
      <c r="S11" s="58" t="s">
        <v>232</v>
      </c>
      <c r="T11" s="54" t="s">
        <v>185</v>
      </c>
      <c r="U11" s="55">
        <v>67314</v>
      </c>
      <c r="V11" s="55">
        <v>51.78</v>
      </c>
      <c r="W11" s="55">
        <v>13.975</v>
      </c>
      <c r="X11" s="59" t="s">
        <v>233</v>
      </c>
      <c r="Y11" s="59" t="s">
        <v>201</v>
      </c>
      <c r="Z11" s="51" t="s">
        <v>187</v>
      </c>
      <c r="AA11" s="51" t="s">
        <v>230</v>
      </c>
      <c r="AB11" s="51" t="s">
        <v>231</v>
      </c>
      <c r="AC11" s="51"/>
    </row>
    <row r="12" spans="1:29" ht="30" x14ac:dyDescent="0.25">
      <c r="A12" s="51" t="s">
        <v>191</v>
      </c>
      <c r="B12" s="52">
        <v>44230</v>
      </c>
      <c r="C12" s="53">
        <v>0.95525824074074095</v>
      </c>
      <c r="D12" s="54" t="s">
        <v>234</v>
      </c>
      <c r="E12" s="54" t="s">
        <v>193</v>
      </c>
      <c r="F12" s="54" t="s">
        <v>184</v>
      </c>
      <c r="G12" s="54" t="s">
        <v>194</v>
      </c>
      <c r="H12" s="54" t="s">
        <v>195</v>
      </c>
      <c r="I12" s="54" t="s">
        <v>196</v>
      </c>
      <c r="J12" s="54" t="s">
        <v>195</v>
      </c>
      <c r="K12" s="54" t="s">
        <v>197</v>
      </c>
      <c r="L12" s="54" t="s">
        <v>195</v>
      </c>
      <c r="M12" s="54"/>
      <c r="N12" s="54" t="s">
        <v>235</v>
      </c>
      <c r="O12" s="55">
        <v>79.909000000000006</v>
      </c>
      <c r="P12" s="56">
        <v>26.88</v>
      </c>
      <c r="Q12" s="55">
        <v>53.029000000000003</v>
      </c>
      <c r="R12" s="57" t="s">
        <v>191</v>
      </c>
      <c r="S12" s="58" t="s">
        <v>236</v>
      </c>
      <c r="T12" s="54" t="s">
        <v>185</v>
      </c>
      <c r="U12" s="55">
        <v>46735</v>
      </c>
      <c r="V12" s="55">
        <v>35.950000000000003</v>
      </c>
      <c r="W12" s="55">
        <v>2.1989999999999998</v>
      </c>
      <c r="X12" s="59" t="s">
        <v>237</v>
      </c>
      <c r="Y12" s="59" t="s">
        <v>201</v>
      </c>
      <c r="Z12" s="51" t="s">
        <v>187</v>
      </c>
      <c r="AA12" s="51" t="s">
        <v>238</v>
      </c>
      <c r="AB12" s="51" t="s">
        <v>239</v>
      </c>
      <c r="AC12" s="51"/>
    </row>
    <row r="13" spans="1:29" ht="30" x14ac:dyDescent="0.25">
      <c r="A13" s="51" t="s">
        <v>191</v>
      </c>
      <c r="B13" s="52">
        <v>44230</v>
      </c>
      <c r="C13" s="53">
        <v>0.95525824074074095</v>
      </c>
      <c r="D13" s="54" t="s">
        <v>234</v>
      </c>
      <c r="E13" s="54" t="s">
        <v>193</v>
      </c>
      <c r="F13" s="54" t="s">
        <v>184</v>
      </c>
      <c r="G13" s="54" t="s">
        <v>194</v>
      </c>
      <c r="H13" s="54" t="s">
        <v>195</v>
      </c>
      <c r="I13" s="54" t="s">
        <v>196</v>
      </c>
      <c r="J13" s="54" t="s">
        <v>195</v>
      </c>
      <c r="K13" s="54" t="s">
        <v>197</v>
      </c>
      <c r="L13" s="54" t="s">
        <v>195</v>
      </c>
      <c r="M13" s="54"/>
      <c r="N13" s="54" t="s">
        <v>235</v>
      </c>
      <c r="O13" s="55">
        <v>79.909000000000006</v>
      </c>
      <c r="P13" s="56">
        <v>26.88</v>
      </c>
      <c r="Q13" s="55">
        <v>53.029000000000003</v>
      </c>
      <c r="R13" s="57" t="s">
        <v>191</v>
      </c>
      <c r="S13" s="58" t="s">
        <v>240</v>
      </c>
      <c r="T13" s="54" t="s">
        <v>185</v>
      </c>
      <c r="U13" s="55">
        <v>66079</v>
      </c>
      <c r="V13" s="55">
        <v>50.83</v>
      </c>
      <c r="W13" s="55">
        <v>50.83</v>
      </c>
      <c r="X13" s="59" t="s">
        <v>241</v>
      </c>
      <c r="Y13" s="59" t="s">
        <v>201</v>
      </c>
      <c r="Z13" s="51" t="s">
        <v>187</v>
      </c>
      <c r="AA13" s="51" t="s">
        <v>238</v>
      </c>
      <c r="AB13" s="51" t="s">
        <v>239</v>
      </c>
      <c r="AC13" s="51"/>
    </row>
    <row r="14" spans="1:29" ht="30" x14ac:dyDescent="0.25">
      <c r="A14" s="51" t="s">
        <v>191</v>
      </c>
      <c r="B14" s="52">
        <v>44230</v>
      </c>
      <c r="C14" s="53">
        <v>0.96587055555555601</v>
      </c>
      <c r="D14" s="54" t="s">
        <v>242</v>
      </c>
      <c r="E14" s="54" t="s">
        <v>193</v>
      </c>
      <c r="F14" s="54" t="s">
        <v>184</v>
      </c>
      <c r="G14" s="54" t="s">
        <v>194</v>
      </c>
      <c r="H14" s="54" t="s">
        <v>195</v>
      </c>
      <c r="I14" s="54" t="s">
        <v>196</v>
      </c>
      <c r="J14" s="54" t="s">
        <v>195</v>
      </c>
      <c r="K14" s="54" t="s">
        <v>197</v>
      </c>
      <c r="L14" s="54" t="s">
        <v>195</v>
      </c>
      <c r="M14" s="54"/>
      <c r="N14" s="54" t="s">
        <v>243</v>
      </c>
      <c r="O14" s="55">
        <v>79.971000000000004</v>
      </c>
      <c r="P14" s="56">
        <v>23.74</v>
      </c>
      <c r="Q14" s="55">
        <v>56.231000000000002</v>
      </c>
      <c r="R14" s="57" t="s">
        <v>191</v>
      </c>
      <c r="S14" s="58" t="s">
        <v>232</v>
      </c>
      <c r="T14" s="54" t="s">
        <v>185</v>
      </c>
      <c r="U14" s="55">
        <v>67314</v>
      </c>
      <c r="V14" s="55">
        <v>51.78</v>
      </c>
      <c r="W14" s="55">
        <v>37.805</v>
      </c>
      <c r="X14" s="59" t="s">
        <v>233</v>
      </c>
      <c r="Y14" s="59" t="s">
        <v>201</v>
      </c>
      <c r="Z14" s="51" t="s">
        <v>187</v>
      </c>
      <c r="AA14" s="51" t="s">
        <v>244</v>
      </c>
      <c r="AB14" s="51" t="s">
        <v>245</v>
      </c>
      <c r="AC14" s="51"/>
    </row>
    <row r="15" spans="1:29" ht="30" x14ac:dyDescent="0.25">
      <c r="A15" s="51" t="s">
        <v>191</v>
      </c>
      <c r="B15" s="52">
        <v>44230</v>
      </c>
      <c r="C15" s="53">
        <v>0.96587055555555601</v>
      </c>
      <c r="D15" s="54" t="s">
        <v>242</v>
      </c>
      <c r="E15" s="54" t="s">
        <v>193</v>
      </c>
      <c r="F15" s="54" t="s">
        <v>184</v>
      </c>
      <c r="G15" s="54" t="s">
        <v>194</v>
      </c>
      <c r="H15" s="54" t="s">
        <v>195</v>
      </c>
      <c r="I15" s="54" t="s">
        <v>196</v>
      </c>
      <c r="J15" s="54" t="s">
        <v>195</v>
      </c>
      <c r="K15" s="54" t="s">
        <v>197</v>
      </c>
      <c r="L15" s="54" t="s">
        <v>195</v>
      </c>
      <c r="M15" s="54"/>
      <c r="N15" s="54" t="s">
        <v>243</v>
      </c>
      <c r="O15" s="55">
        <v>79.971000000000004</v>
      </c>
      <c r="P15" s="56">
        <v>23.74</v>
      </c>
      <c r="Q15" s="55">
        <v>56.231000000000002</v>
      </c>
      <c r="R15" s="57" t="s">
        <v>191</v>
      </c>
      <c r="S15" s="58" t="s">
        <v>246</v>
      </c>
      <c r="T15" s="54" t="s">
        <v>185</v>
      </c>
      <c r="U15" s="55">
        <v>49309</v>
      </c>
      <c r="V15" s="55">
        <v>37.93</v>
      </c>
      <c r="W15" s="55">
        <v>18.425999999999998</v>
      </c>
      <c r="X15" s="59" t="s">
        <v>247</v>
      </c>
      <c r="Y15" s="59" t="s">
        <v>201</v>
      </c>
      <c r="Z15" s="51" t="s">
        <v>187</v>
      </c>
      <c r="AA15" s="51" t="s">
        <v>244</v>
      </c>
      <c r="AB15" s="51" t="s">
        <v>245</v>
      </c>
      <c r="AC15" s="51"/>
    </row>
    <row r="16" spans="1:29" ht="30" x14ac:dyDescent="0.25">
      <c r="A16" s="51" t="s">
        <v>191</v>
      </c>
      <c r="B16" s="52">
        <v>44230</v>
      </c>
      <c r="C16" s="53">
        <v>0.96762068287036995</v>
      </c>
      <c r="D16" s="54" t="s">
        <v>248</v>
      </c>
      <c r="E16" s="54" t="s">
        <v>193</v>
      </c>
      <c r="F16" s="54" t="s">
        <v>184</v>
      </c>
      <c r="G16" s="54" t="s">
        <v>194</v>
      </c>
      <c r="H16" s="54" t="s">
        <v>195</v>
      </c>
      <c r="I16" s="54" t="s">
        <v>196</v>
      </c>
      <c r="J16" s="54" t="s">
        <v>195</v>
      </c>
      <c r="K16" s="54" t="s">
        <v>197</v>
      </c>
      <c r="L16" s="54" t="s">
        <v>195</v>
      </c>
      <c r="M16" s="54"/>
      <c r="N16" s="54" t="s">
        <v>249</v>
      </c>
      <c r="O16" s="55">
        <v>79.98</v>
      </c>
      <c r="P16" s="56">
        <v>26.57</v>
      </c>
      <c r="Q16" s="55">
        <v>53.41</v>
      </c>
      <c r="R16" s="57" t="s">
        <v>191</v>
      </c>
      <c r="S16" s="58" t="s">
        <v>250</v>
      </c>
      <c r="T16" s="54" t="s">
        <v>185</v>
      </c>
      <c r="U16" s="55">
        <v>50193</v>
      </c>
      <c r="V16" s="55">
        <v>38.61</v>
      </c>
      <c r="W16" s="55">
        <v>33.905999999999999</v>
      </c>
      <c r="X16" s="59" t="s">
        <v>251</v>
      </c>
      <c r="Y16" s="59" t="s">
        <v>201</v>
      </c>
      <c r="Z16" s="51" t="s">
        <v>187</v>
      </c>
      <c r="AA16" s="51" t="s">
        <v>252</v>
      </c>
      <c r="AB16" s="51" t="s">
        <v>253</v>
      </c>
      <c r="AC16" s="51"/>
    </row>
    <row r="17" spans="1:29" ht="30" x14ac:dyDescent="0.25">
      <c r="A17" s="51" t="s">
        <v>191</v>
      </c>
      <c r="B17" s="52">
        <v>44230</v>
      </c>
      <c r="C17" s="53">
        <v>0.96762068287036995</v>
      </c>
      <c r="D17" s="54" t="s">
        <v>248</v>
      </c>
      <c r="E17" s="54" t="s">
        <v>193</v>
      </c>
      <c r="F17" s="54" t="s">
        <v>184</v>
      </c>
      <c r="G17" s="54" t="s">
        <v>194</v>
      </c>
      <c r="H17" s="54" t="s">
        <v>195</v>
      </c>
      <c r="I17" s="54" t="s">
        <v>196</v>
      </c>
      <c r="J17" s="54" t="s">
        <v>195</v>
      </c>
      <c r="K17" s="54" t="s">
        <v>197</v>
      </c>
      <c r="L17" s="54" t="s">
        <v>195</v>
      </c>
      <c r="M17" s="54"/>
      <c r="N17" s="54" t="s">
        <v>249</v>
      </c>
      <c r="O17" s="55">
        <v>79.98</v>
      </c>
      <c r="P17" s="56">
        <v>26.57</v>
      </c>
      <c r="Q17" s="55">
        <v>53.41</v>
      </c>
      <c r="R17" s="57" t="s">
        <v>191</v>
      </c>
      <c r="S17" s="58" t="s">
        <v>246</v>
      </c>
      <c r="T17" s="54" t="s">
        <v>185</v>
      </c>
      <c r="U17" s="55">
        <v>49309</v>
      </c>
      <c r="V17" s="55">
        <v>37.93</v>
      </c>
      <c r="W17" s="55">
        <v>19.504000000000001</v>
      </c>
      <c r="X17" s="59" t="s">
        <v>247</v>
      </c>
      <c r="Y17" s="59" t="s">
        <v>201</v>
      </c>
      <c r="Z17" s="51" t="s">
        <v>187</v>
      </c>
      <c r="AA17" s="51" t="s">
        <v>252</v>
      </c>
      <c r="AB17" s="51" t="s">
        <v>253</v>
      </c>
      <c r="AC17" s="51"/>
    </row>
    <row r="18" spans="1:29" ht="30" x14ac:dyDescent="0.25">
      <c r="A18" s="51" t="s">
        <v>191</v>
      </c>
      <c r="B18" s="52">
        <v>44230</v>
      </c>
      <c r="C18" s="53">
        <v>0.96918828703703697</v>
      </c>
      <c r="D18" s="54" t="s">
        <v>254</v>
      </c>
      <c r="E18" s="54" t="s">
        <v>193</v>
      </c>
      <c r="F18" s="54" t="s">
        <v>184</v>
      </c>
      <c r="G18" s="54" t="s">
        <v>194</v>
      </c>
      <c r="H18" s="54" t="s">
        <v>195</v>
      </c>
      <c r="I18" s="54" t="s">
        <v>196</v>
      </c>
      <c r="J18" s="54" t="s">
        <v>195</v>
      </c>
      <c r="K18" s="54" t="s">
        <v>197</v>
      </c>
      <c r="L18" s="54" t="s">
        <v>195</v>
      </c>
      <c r="M18" s="54"/>
      <c r="N18" s="54" t="s">
        <v>255</v>
      </c>
      <c r="O18" s="55">
        <v>79.921999999999997</v>
      </c>
      <c r="P18" s="56">
        <v>24.84</v>
      </c>
      <c r="Q18" s="55">
        <v>55.082000000000001</v>
      </c>
      <c r="R18" s="57" t="s">
        <v>191</v>
      </c>
      <c r="S18" s="58" t="s">
        <v>256</v>
      </c>
      <c r="T18" s="54" t="s">
        <v>185</v>
      </c>
      <c r="U18" s="55">
        <v>66183</v>
      </c>
      <c r="V18" s="55">
        <v>50.91</v>
      </c>
      <c r="W18" s="55">
        <v>50.378</v>
      </c>
      <c r="X18" s="59" t="s">
        <v>257</v>
      </c>
      <c r="Y18" s="59" t="s">
        <v>201</v>
      </c>
      <c r="Z18" s="51" t="s">
        <v>187</v>
      </c>
      <c r="AA18" s="51" t="s">
        <v>258</v>
      </c>
      <c r="AB18" s="51" t="s">
        <v>259</v>
      </c>
      <c r="AC18" s="51"/>
    </row>
    <row r="19" spans="1:29" ht="30" x14ac:dyDescent="0.25">
      <c r="A19" s="51" t="s">
        <v>191</v>
      </c>
      <c r="B19" s="52">
        <v>44230</v>
      </c>
      <c r="C19" s="53">
        <v>0.96918828703703697</v>
      </c>
      <c r="D19" s="54" t="s">
        <v>254</v>
      </c>
      <c r="E19" s="54" t="s">
        <v>193</v>
      </c>
      <c r="F19" s="54" t="s">
        <v>184</v>
      </c>
      <c r="G19" s="54" t="s">
        <v>194</v>
      </c>
      <c r="H19" s="54" t="s">
        <v>195</v>
      </c>
      <c r="I19" s="54" t="s">
        <v>196</v>
      </c>
      <c r="J19" s="54" t="s">
        <v>195</v>
      </c>
      <c r="K19" s="54" t="s">
        <v>197</v>
      </c>
      <c r="L19" s="54" t="s">
        <v>195</v>
      </c>
      <c r="M19" s="54"/>
      <c r="N19" s="54" t="s">
        <v>255</v>
      </c>
      <c r="O19" s="55">
        <v>79.921999999999997</v>
      </c>
      <c r="P19" s="56">
        <v>24.84</v>
      </c>
      <c r="Q19" s="55">
        <v>55.082000000000001</v>
      </c>
      <c r="R19" s="57" t="s">
        <v>191</v>
      </c>
      <c r="S19" s="58" t="s">
        <v>250</v>
      </c>
      <c r="T19" s="54" t="s">
        <v>185</v>
      </c>
      <c r="U19" s="55">
        <v>50193</v>
      </c>
      <c r="V19" s="55">
        <v>38.61</v>
      </c>
      <c r="W19" s="55">
        <v>4.7039999999999997</v>
      </c>
      <c r="X19" s="59" t="s">
        <v>251</v>
      </c>
      <c r="Y19" s="59" t="s">
        <v>201</v>
      </c>
      <c r="Z19" s="51" t="s">
        <v>187</v>
      </c>
      <c r="AA19" s="51" t="s">
        <v>258</v>
      </c>
      <c r="AB19" s="51" t="s">
        <v>259</v>
      </c>
      <c r="AC19" s="51"/>
    </row>
    <row r="20" spans="1:29" ht="30" x14ac:dyDescent="0.25">
      <c r="A20" s="51" t="s">
        <v>191</v>
      </c>
      <c r="B20" s="52">
        <v>44230</v>
      </c>
      <c r="C20" s="53">
        <v>0.97132252314814804</v>
      </c>
      <c r="D20" s="54" t="s">
        <v>260</v>
      </c>
      <c r="E20" s="54" t="s">
        <v>193</v>
      </c>
      <c r="F20" s="54" t="s">
        <v>184</v>
      </c>
      <c r="G20" s="54" t="s">
        <v>194</v>
      </c>
      <c r="H20" s="54" t="s">
        <v>195</v>
      </c>
      <c r="I20" s="54" t="s">
        <v>196</v>
      </c>
      <c r="J20" s="54" t="s">
        <v>195</v>
      </c>
      <c r="K20" s="54" t="s">
        <v>197</v>
      </c>
      <c r="L20" s="54" t="s">
        <v>195</v>
      </c>
      <c r="M20" s="54"/>
      <c r="N20" s="54" t="s">
        <v>261</v>
      </c>
      <c r="O20" s="55">
        <v>79.888000000000005</v>
      </c>
      <c r="P20" s="56">
        <v>24.53</v>
      </c>
      <c r="Q20" s="55">
        <v>55.357999999999997</v>
      </c>
      <c r="R20" s="57" t="s">
        <v>191</v>
      </c>
      <c r="S20" s="58" t="s">
        <v>256</v>
      </c>
      <c r="T20" s="54" t="s">
        <v>185</v>
      </c>
      <c r="U20" s="55">
        <v>66183</v>
      </c>
      <c r="V20" s="55">
        <v>50.91</v>
      </c>
      <c r="W20" s="55">
        <v>0.53200000000000003</v>
      </c>
      <c r="X20" s="59" t="s">
        <v>257</v>
      </c>
      <c r="Y20" s="59" t="s">
        <v>201</v>
      </c>
      <c r="Z20" s="51" t="s">
        <v>187</v>
      </c>
      <c r="AA20" s="51" t="s">
        <v>262</v>
      </c>
      <c r="AB20" s="51" t="s">
        <v>263</v>
      </c>
      <c r="AC20" s="51"/>
    </row>
    <row r="21" spans="1:29" ht="30" x14ac:dyDescent="0.25">
      <c r="A21" s="51" t="s">
        <v>191</v>
      </c>
      <c r="B21" s="52">
        <v>44230</v>
      </c>
      <c r="C21" s="53">
        <v>0.97132252314814804</v>
      </c>
      <c r="D21" s="54" t="s">
        <v>260</v>
      </c>
      <c r="E21" s="54" t="s">
        <v>193</v>
      </c>
      <c r="F21" s="54" t="s">
        <v>184</v>
      </c>
      <c r="G21" s="54" t="s">
        <v>194</v>
      </c>
      <c r="H21" s="54" t="s">
        <v>195</v>
      </c>
      <c r="I21" s="54" t="s">
        <v>196</v>
      </c>
      <c r="J21" s="54" t="s">
        <v>195</v>
      </c>
      <c r="K21" s="54" t="s">
        <v>197</v>
      </c>
      <c r="L21" s="54" t="s">
        <v>195</v>
      </c>
      <c r="M21" s="54"/>
      <c r="N21" s="54" t="s">
        <v>261</v>
      </c>
      <c r="O21" s="55">
        <v>79.888000000000005</v>
      </c>
      <c r="P21" s="56">
        <v>24.53</v>
      </c>
      <c r="Q21" s="55">
        <v>55.357999999999997</v>
      </c>
      <c r="R21" s="57" t="s">
        <v>191</v>
      </c>
      <c r="S21" s="58" t="s">
        <v>264</v>
      </c>
      <c r="T21" s="54" t="s">
        <v>185</v>
      </c>
      <c r="U21" s="55">
        <v>65624</v>
      </c>
      <c r="V21" s="55">
        <v>50.48</v>
      </c>
      <c r="W21" s="55">
        <v>50.48</v>
      </c>
      <c r="X21" s="59" t="s">
        <v>265</v>
      </c>
      <c r="Y21" s="59" t="s">
        <v>201</v>
      </c>
      <c r="Z21" s="51" t="s">
        <v>187</v>
      </c>
      <c r="AA21" s="51" t="s">
        <v>262</v>
      </c>
      <c r="AB21" s="51" t="s">
        <v>263</v>
      </c>
      <c r="AC21" s="51"/>
    </row>
    <row r="22" spans="1:29" ht="30" x14ac:dyDescent="0.25">
      <c r="A22" s="51" t="s">
        <v>191</v>
      </c>
      <c r="B22" s="52">
        <v>44230</v>
      </c>
      <c r="C22" s="53">
        <v>0.97132252314814804</v>
      </c>
      <c r="D22" s="54" t="s">
        <v>260</v>
      </c>
      <c r="E22" s="54" t="s">
        <v>193</v>
      </c>
      <c r="F22" s="54" t="s">
        <v>184</v>
      </c>
      <c r="G22" s="54" t="s">
        <v>194</v>
      </c>
      <c r="H22" s="54" t="s">
        <v>195</v>
      </c>
      <c r="I22" s="54" t="s">
        <v>196</v>
      </c>
      <c r="J22" s="54" t="s">
        <v>195</v>
      </c>
      <c r="K22" s="54" t="s">
        <v>197</v>
      </c>
      <c r="L22" s="54" t="s">
        <v>195</v>
      </c>
      <c r="M22" s="54"/>
      <c r="N22" s="54" t="s">
        <v>261</v>
      </c>
      <c r="O22" s="55">
        <v>79.888000000000005</v>
      </c>
      <c r="P22" s="56">
        <v>24.53</v>
      </c>
      <c r="Q22" s="55">
        <v>55.357999999999997</v>
      </c>
      <c r="R22" s="57" t="s">
        <v>191</v>
      </c>
      <c r="S22" s="58" t="s">
        <v>220</v>
      </c>
      <c r="T22" s="54" t="s">
        <v>185</v>
      </c>
      <c r="U22" s="55">
        <v>65299</v>
      </c>
      <c r="V22" s="55">
        <v>50.23</v>
      </c>
      <c r="W22" s="55">
        <v>4.3460000000000001</v>
      </c>
      <c r="X22" s="59" t="s">
        <v>221</v>
      </c>
      <c r="Y22" s="59" t="s">
        <v>201</v>
      </c>
      <c r="Z22" s="51" t="s">
        <v>187</v>
      </c>
      <c r="AA22" s="51" t="s">
        <v>262</v>
      </c>
      <c r="AB22" s="51" t="s">
        <v>263</v>
      </c>
      <c r="AC22" s="51"/>
    </row>
    <row r="23" spans="1:29" ht="30" x14ac:dyDescent="0.25">
      <c r="A23" s="51" t="s">
        <v>191</v>
      </c>
      <c r="B23" s="52">
        <v>44230</v>
      </c>
      <c r="C23" s="53">
        <v>0.97360159722222195</v>
      </c>
      <c r="D23" s="54" t="s">
        <v>266</v>
      </c>
      <c r="E23" s="54" t="s">
        <v>193</v>
      </c>
      <c r="F23" s="54" t="s">
        <v>184</v>
      </c>
      <c r="G23" s="54" t="s">
        <v>194</v>
      </c>
      <c r="H23" s="54" t="s">
        <v>195</v>
      </c>
      <c r="I23" s="54" t="s">
        <v>196</v>
      </c>
      <c r="J23" s="54" t="s">
        <v>195</v>
      </c>
      <c r="K23" s="54" t="s">
        <v>197</v>
      </c>
      <c r="L23" s="54" t="s">
        <v>195</v>
      </c>
      <c r="M23" s="54"/>
      <c r="N23" s="54" t="s">
        <v>267</v>
      </c>
      <c r="O23" s="55">
        <v>79.843999999999994</v>
      </c>
      <c r="P23" s="56">
        <v>24.913</v>
      </c>
      <c r="Q23" s="55">
        <v>54.930999999999997</v>
      </c>
      <c r="R23" s="57" t="s">
        <v>191</v>
      </c>
      <c r="S23" s="58" t="s">
        <v>268</v>
      </c>
      <c r="T23" s="54" t="s">
        <v>185</v>
      </c>
      <c r="U23" s="55">
        <v>66456</v>
      </c>
      <c r="V23" s="55">
        <v>51.12</v>
      </c>
      <c r="W23" s="55">
        <v>12.861000000000001</v>
      </c>
      <c r="X23" s="59" t="s">
        <v>269</v>
      </c>
      <c r="Y23" s="59" t="s">
        <v>201</v>
      </c>
      <c r="Z23" s="51" t="s">
        <v>187</v>
      </c>
      <c r="AA23" s="51" t="s">
        <v>270</v>
      </c>
      <c r="AB23" s="51" t="s">
        <v>271</v>
      </c>
      <c r="AC23" s="51"/>
    </row>
    <row r="24" spans="1:29" ht="30" x14ac:dyDescent="0.25">
      <c r="A24" s="51" t="s">
        <v>191</v>
      </c>
      <c r="B24" s="52">
        <v>44230</v>
      </c>
      <c r="C24" s="53">
        <v>0.97360159722222195</v>
      </c>
      <c r="D24" s="54" t="s">
        <v>266</v>
      </c>
      <c r="E24" s="54" t="s">
        <v>193</v>
      </c>
      <c r="F24" s="54" t="s">
        <v>184</v>
      </c>
      <c r="G24" s="54" t="s">
        <v>194</v>
      </c>
      <c r="H24" s="54" t="s">
        <v>195</v>
      </c>
      <c r="I24" s="54" t="s">
        <v>196</v>
      </c>
      <c r="J24" s="54" t="s">
        <v>195</v>
      </c>
      <c r="K24" s="54" t="s">
        <v>197</v>
      </c>
      <c r="L24" s="54" t="s">
        <v>195</v>
      </c>
      <c r="M24" s="54"/>
      <c r="N24" s="54" t="s">
        <v>267</v>
      </c>
      <c r="O24" s="55">
        <v>79.843999999999994</v>
      </c>
      <c r="P24" s="56">
        <v>24.913</v>
      </c>
      <c r="Q24" s="55">
        <v>54.930999999999997</v>
      </c>
      <c r="R24" s="57" t="s">
        <v>191</v>
      </c>
      <c r="S24" s="58" t="s">
        <v>220</v>
      </c>
      <c r="T24" s="54" t="s">
        <v>185</v>
      </c>
      <c r="U24" s="55">
        <v>65299</v>
      </c>
      <c r="V24" s="55">
        <v>50.23</v>
      </c>
      <c r="W24" s="55">
        <v>42.07</v>
      </c>
      <c r="X24" s="59" t="s">
        <v>221</v>
      </c>
      <c r="Y24" s="59" t="s">
        <v>201</v>
      </c>
      <c r="Z24" s="51" t="s">
        <v>187</v>
      </c>
      <c r="AA24" s="51" t="s">
        <v>270</v>
      </c>
      <c r="AB24" s="51" t="s">
        <v>271</v>
      </c>
      <c r="AC24" s="51"/>
    </row>
    <row r="25" spans="1:29" ht="30" x14ac:dyDescent="0.25">
      <c r="A25" s="51" t="s">
        <v>191</v>
      </c>
      <c r="B25" s="52">
        <v>44230</v>
      </c>
      <c r="C25" s="53">
        <v>0.97502914351851899</v>
      </c>
      <c r="D25" s="54" t="s">
        <v>272</v>
      </c>
      <c r="E25" s="54" t="s">
        <v>193</v>
      </c>
      <c r="F25" s="54" t="s">
        <v>184</v>
      </c>
      <c r="G25" s="54" t="s">
        <v>194</v>
      </c>
      <c r="H25" s="54" t="s">
        <v>195</v>
      </c>
      <c r="I25" s="54" t="s">
        <v>196</v>
      </c>
      <c r="J25" s="54" t="s">
        <v>195</v>
      </c>
      <c r="K25" s="54" t="s">
        <v>197</v>
      </c>
      <c r="L25" s="54" t="s">
        <v>195</v>
      </c>
      <c r="M25" s="54"/>
      <c r="N25" s="54" t="s">
        <v>273</v>
      </c>
      <c r="O25" s="55">
        <v>79.998000000000005</v>
      </c>
      <c r="P25" s="56">
        <v>24.148</v>
      </c>
      <c r="Q25" s="55">
        <v>55.85</v>
      </c>
      <c r="R25" s="57" t="s">
        <v>191</v>
      </c>
      <c r="S25" s="58" t="s">
        <v>236</v>
      </c>
      <c r="T25" s="54" t="s">
        <v>185</v>
      </c>
      <c r="U25" s="55">
        <v>46735</v>
      </c>
      <c r="V25" s="55">
        <v>35.950000000000003</v>
      </c>
      <c r="W25" s="55">
        <v>17.591000000000001</v>
      </c>
      <c r="X25" s="59" t="s">
        <v>237</v>
      </c>
      <c r="Y25" s="59" t="s">
        <v>201</v>
      </c>
      <c r="Z25" s="51" t="s">
        <v>187</v>
      </c>
      <c r="AA25" s="51" t="s">
        <v>274</v>
      </c>
      <c r="AB25" s="51" t="s">
        <v>275</v>
      </c>
      <c r="AC25" s="51"/>
    </row>
    <row r="26" spans="1:29" ht="30" x14ac:dyDescent="0.25">
      <c r="A26" s="51" t="s">
        <v>191</v>
      </c>
      <c r="B26" s="52">
        <v>44230</v>
      </c>
      <c r="C26" s="53">
        <v>0.97502914351851899</v>
      </c>
      <c r="D26" s="54" t="s">
        <v>272</v>
      </c>
      <c r="E26" s="54" t="s">
        <v>193</v>
      </c>
      <c r="F26" s="54" t="s">
        <v>184</v>
      </c>
      <c r="G26" s="54" t="s">
        <v>194</v>
      </c>
      <c r="H26" s="54" t="s">
        <v>195</v>
      </c>
      <c r="I26" s="54" t="s">
        <v>196</v>
      </c>
      <c r="J26" s="54" t="s">
        <v>195</v>
      </c>
      <c r="K26" s="54" t="s">
        <v>197</v>
      </c>
      <c r="L26" s="54" t="s">
        <v>195</v>
      </c>
      <c r="M26" s="54"/>
      <c r="N26" s="54" t="s">
        <v>273</v>
      </c>
      <c r="O26" s="55">
        <v>79.998000000000005</v>
      </c>
      <c r="P26" s="56">
        <v>24.148</v>
      </c>
      <c r="Q26" s="55">
        <v>55.85</v>
      </c>
      <c r="R26" s="57" t="s">
        <v>191</v>
      </c>
      <c r="S26" s="58" t="s">
        <v>268</v>
      </c>
      <c r="T26" s="54" t="s">
        <v>185</v>
      </c>
      <c r="U26" s="55">
        <v>66456</v>
      </c>
      <c r="V26" s="55">
        <v>51.12</v>
      </c>
      <c r="W26" s="55">
        <v>38.259</v>
      </c>
      <c r="X26" s="59" t="s">
        <v>269</v>
      </c>
      <c r="Y26" s="59" t="s">
        <v>201</v>
      </c>
      <c r="Z26" s="51" t="s">
        <v>187</v>
      </c>
      <c r="AA26" s="51" t="s">
        <v>274</v>
      </c>
      <c r="AB26" s="51" t="s">
        <v>275</v>
      </c>
      <c r="AC26" s="51"/>
    </row>
    <row r="27" spans="1:29" ht="30" x14ac:dyDescent="0.25">
      <c r="A27" s="51" t="s">
        <v>191</v>
      </c>
      <c r="B27" s="52">
        <v>44231</v>
      </c>
      <c r="C27" s="53">
        <v>0.25504319444444401</v>
      </c>
      <c r="D27" s="54" t="s">
        <v>276</v>
      </c>
      <c r="E27" s="54" t="s">
        <v>193</v>
      </c>
      <c r="F27" s="54" t="s">
        <v>184</v>
      </c>
      <c r="G27" s="54" t="s">
        <v>194</v>
      </c>
      <c r="H27" s="54" t="s">
        <v>195</v>
      </c>
      <c r="I27" s="54" t="s">
        <v>196</v>
      </c>
      <c r="J27" s="54" t="s">
        <v>195</v>
      </c>
      <c r="K27" s="54" t="s">
        <v>197</v>
      </c>
      <c r="L27" s="54" t="s">
        <v>195</v>
      </c>
      <c r="M27" s="54"/>
      <c r="N27" s="54" t="s">
        <v>277</v>
      </c>
      <c r="O27" s="55">
        <v>79.95</v>
      </c>
      <c r="P27" s="56">
        <v>23.6</v>
      </c>
      <c r="Q27" s="55">
        <v>56.35</v>
      </c>
      <c r="R27" s="57" t="s">
        <v>191</v>
      </c>
      <c r="S27" s="58" t="s">
        <v>204</v>
      </c>
      <c r="T27" s="54" t="s">
        <v>185</v>
      </c>
      <c r="U27" s="55">
        <v>65052</v>
      </c>
      <c r="V27" s="55">
        <v>50.04</v>
      </c>
      <c r="W27" s="55">
        <v>47.41</v>
      </c>
      <c r="X27" s="59" t="s">
        <v>205</v>
      </c>
      <c r="Y27" s="59" t="s">
        <v>201</v>
      </c>
      <c r="Z27" s="51" t="s">
        <v>187</v>
      </c>
      <c r="AA27" s="51" t="s">
        <v>278</v>
      </c>
      <c r="AB27" s="51" t="s">
        <v>279</v>
      </c>
      <c r="AC27" s="51"/>
    </row>
    <row r="28" spans="1:29" ht="30" x14ac:dyDescent="0.25">
      <c r="A28" s="51" t="s">
        <v>191</v>
      </c>
      <c r="B28" s="52">
        <v>44231</v>
      </c>
      <c r="C28" s="53">
        <v>0.25504319444444401</v>
      </c>
      <c r="D28" s="54" t="s">
        <v>276</v>
      </c>
      <c r="E28" s="54" t="s">
        <v>193</v>
      </c>
      <c r="F28" s="54" t="s">
        <v>184</v>
      </c>
      <c r="G28" s="54" t="s">
        <v>194</v>
      </c>
      <c r="H28" s="54" t="s">
        <v>195</v>
      </c>
      <c r="I28" s="54" t="s">
        <v>196</v>
      </c>
      <c r="J28" s="54" t="s">
        <v>195</v>
      </c>
      <c r="K28" s="54" t="s">
        <v>197</v>
      </c>
      <c r="L28" s="54" t="s">
        <v>195</v>
      </c>
      <c r="M28" s="54"/>
      <c r="N28" s="54" t="s">
        <v>277</v>
      </c>
      <c r="O28" s="55">
        <v>79.95</v>
      </c>
      <c r="P28" s="56">
        <v>23.6</v>
      </c>
      <c r="Q28" s="55">
        <v>56.35</v>
      </c>
      <c r="R28" s="57" t="s">
        <v>191</v>
      </c>
      <c r="S28" s="58" t="s">
        <v>280</v>
      </c>
      <c r="T28" s="54" t="s">
        <v>185</v>
      </c>
      <c r="U28" s="55">
        <v>65169</v>
      </c>
      <c r="V28" s="55">
        <v>50.13</v>
      </c>
      <c r="W28" s="55">
        <v>8.94</v>
      </c>
      <c r="X28" s="59" t="s">
        <v>281</v>
      </c>
      <c r="Y28" s="59" t="s">
        <v>201</v>
      </c>
      <c r="Z28" s="51" t="s">
        <v>187</v>
      </c>
      <c r="AA28" s="51" t="s">
        <v>278</v>
      </c>
      <c r="AB28" s="51" t="s">
        <v>279</v>
      </c>
      <c r="AC28" s="51"/>
    </row>
    <row r="29" spans="1:29" ht="30" x14ac:dyDescent="0.25">
      <c r="A29" s="51" t="s">
        <v>191</v>
      </c>
      <c r="B29" s="52">
        <v>44231</v>
      </c>
      <c r="C29" s="53">
        <v>0.25703326388888897</v>
      </c>
      <c r="D29" s="54" t="s">
        <v>282</v>
      </c>
      <c r="E29" s="54" t="s">
        <v>193</v>
      </c>
      <c r="F29" s="54" t="s">
        <v>184</v>
      </c>
      <c r="G29" s="54" t="s">
        <v>194</v>
      </c>
      <c r="H29" s="54" t="s">
        <v>195</v>
      </c>
      <c r="I29" s="54" t="s">
        <v>196</v>
      </c>
      <c r="J29" s="54" t="s">
        <v>195</v>
      </c>
      <c r="K29" s="54" t="s">
        <v>197</v>
      </c>
      <c r="L29" s="54" t="s">
        <v>195</v>
      </c>
      <c r="M29" s="54"/>
      <c r="N29" s="54" t="s">
        <v>283</v>
      </c>
      <c r="O29" s="55">
        <v>76.858999999999995</v>
      </c>
      <c r="P29" s="56">
        <v>22</v>
      </c>
      <c r="Q29" s="55">
        <v>54.859000000000002</v>
      </c>
      <c r="R29" s="57" t="s">
        <v>191</v>
      </c>
      <c r="S29" s="58" t="s">
        <v>284</v>
      </c>
      <c r="T29" s="54" t="s">
        <v>185</v>
      </c>
      <c r="U29" s="55">
        <v>66196</v>
      </c>
      <c r="V29" s="55">
        <v>50.92</v>
      </c>
      <c r="W29" s="55">
        <v>13.669</v>
      </c>
      <c r="X29" s="59" t="s">
        <v>285</v>
      </c>
      <c r="Y29" s="59" t="s">
        <v>201</v>
      </c>
      <c r="Z29" s="51" t="s">
        <v>187</v>
      </c>
      <c r="AA29" s="51" t="s">
        <v>286</v>
      </c>
      <c r="AB29" s="51" t="s">
        <v>287</v>
      </c>
      <c r="AC29" s="51"/>
    </row>
    <row r="30" spans="1:29" ht="30" x14ac:dyDescent="0.25">
      <c r="A30" s="51" t="s">
        <v>191</v>
      </c>
      <c r="B30" s="52">
        <v>44231</v>
      </c>
      <c r="C30" s="53">
        <v>0.25703326388888897</v>
      </c>
      <c r="D30" s="54" t="s">
        <v>282</v>
      </c>
      <c r="E30" s="54" t="s">
        <v>193</v>
      </c>
      <c r="F30" s="54" t="s">
        <v>184</v>
      </c>
      <c r="G30" s="54" t="s">
        <v>194</v>
      </c>
      <c r="H30" s="54" t="s">
        <v>195</v>
      </c>
      <c r="I30" s="54" t="s">
        <v>196</v>
      </c>
      <c r="J30" s="54" t="s">
        <v>195</v>
      </c>
      <c r="K30" s="54" t="s">
        <v>197</v>
      </c>
      <c r="L30" s="54" t="s">
        <v>195</v>
      </c>
      <c r="M30" s="54"/>
      <c r="N30" s="54" t="s">
        <v>283</v>
      </c>
      <c r="O30" s="55">
        <v>76.858999999999995</v>
      </c>
      <c r="P30" s="56">
        <v>22</v>
      </c>
      <c r="Q30" s="55">
        <v>54.859000000000002</v>
      </c>
      <c r="R30" s="57" t="s">
        <v>191</v>
      </c>
      <c r="S30" s="58" t="s">
        <v>280</v>
      </c>
      <c r="T30" s="54" t="s">
        <v>185</v>
      </c>
      <c r="U30" s="55">
        <v>65169</v>
      </c>
      <c r="V30" s="55">
        <v>50.13</v>
      </c>
      <c r="W30" s="55">
        <v>41.19</v>
      </c>
      <c r="X30" s="59" t="s">
        <v>281</v>
      </c>
      <c r="Y30" s="59" t="s">
        <v>201</v>
      </c>
      <c r="Z30" s="51" t="s">
        <v>187</v>
      </c>
      <c r="AA30" s="51" t="s">
        <v>286</v>
      </c>
      <c r="AB30" s="51" t="s">
        <v>287</v>
      </c>
      <c r="AC30" s="51"/>
    </row>
    <row r="31" spans="1:29" ht="30" x14ac:dyDescent="0.25">
      <c r="A31" s="51" t="s">
        <v>191</v>
      </c>
      <c r="B31" s="52">
        <v>44231</v>
      </c>
      <c r="C31" s="53">
        <v>0.25830604166666699</v>
      </c>
      <c r="D31" s="54" t="s">
        <v>288</v>
      </c>
      <c r="E31" s="54" t="s">
        <v>193</v>
      </c>
      <c r="F31" s="54" t="s">
        <v>184</v>
      </c>
      <c r="G31" s="54" t="s">
        <v>194</v>
      </c>
      <c r="H31" s="54" t="s">
        <v>195</v>
      </c>
      <c r="I31" s="54" t="s">
        <v>196</v>
      </c>
      <c r="J31" s="54" t="s">
        <v>195</v>
      </c>
      <c r="K31" s="54" t="s">
        <v>197</v>
      </c>
      <c r="L31" s="54" t="s">
        <v>195</v>
      </c>
      <c r="M31" s="54"/>
      <c r="N31" s="54" t="s">
        <v>289</v>
      </c>
      <c r="O31" s="55">
        <v>79.915000000000006</v>
      </c>
      <c r="P31" s="56">
        <v>22</v>
      </c>
      <c r="Q31" s="55">
        <v>57.914999999999999</v>
      </c>
      <c r="R31" s="57" t="s">
        <v>191</v>
      </c>
      <c r="S31" s="58" t="s">
        <v>290</v>
      </c>
      <c r="T31" s="54" t="s">
        <v>185</v>
      </c>
      <c r="U31" s="55">
        <v>68367</v>
      </c>
      <c r="V31" s="55">
        <v>52.59</v>
      </c>
      <c r="W31" s="55">
        <v>20.664000000000001</v>
      </c>
      <c r="X31" s="59" t="s">
        <v>291</v>
      </c>
      <c r="Y31" s="59" t="s">
        <v>201</v>
      </c>
      <c r="Z31" s="51" t="s">
        <v>187</v>
      </c>
      <c r="AA31" s="51" t="s">
        <v>292</v>
      </c>
      <c r="AB31" s="51" t="s">
        <v>293</v>
      </c>
      <c r="AC31" s="51"/>
    </row>
    <row r="32" spans="1:29" ht="30" x14ac:dyDescent="0.25">
      <c r="A32" s="51" t="s">
        <v>191</v>
      </c>
      <c r="B32" s="52">
        <v>44231</v>
      </c>
      <c r="C32" s="53">
        <v>0.25830604166666699</v>
      </c>
      <c r="D32" s="54" t="s">
        <v>288</v>
      </c>
      <c r="E32" s="54" t="s">
        <v>193</v>
      </c>
      <c r="F32" s="54" t="s">
        <v>184</v>
      </c>
      <c r="G32" s="54" t="s">
        <v>194</v>
      </c>
      <c r="H32" s="54" t="s">
        <v>195</v>
      </c>
      <c r="I32" s="54" t="s">
        <v>196</v>
      </c>
      <c r="J32" s="54" t="s">
        <v>195</v>
      </c>
      <c r="K32" s="54" t="s">
        <v>197</v>
      </c>
      <c r="L32" s="54" t="s">
        <v>195</v>
      </c>
      <c r="M32" s="54"/>
      <c r="N32" s="54" t="s">
        <v>289</v>
      </c>
      <c r="O32" s="55">
        <v>79.915000000000006</v>
      </c>
      <c r="P32" s="56">
        <v>22</v>
      </c>
      <c r="Q32" s="55">
        <v>57.914999999999999</v>
      </c>
      <c r="R32" s="57" t="s">
        <v>191</v>
      </c>
      <c r="S32" s="58" t="s">
        <v>284</v>
      </c>
      <c r="T32" s="54" t="s">
        <v>185</v>
      </c>
      <c r="U32" s="55">
        <v>66196</v>
      </c>
      <c r="V32" s="55">
        <v>50.92</v>
      </c>
      <c r="W32" s="55">
        <v>37.250999999999998</v>
      </c>
      <c r="X32" s="59" t="s">
        <v>285</v>
      </c>
      <c r="Y32" s="59" t="s">
        <v>201</v>
      </c>
      <c r="Z32" s="51" t="s">
        <v>187</v>
      </c>
      <c r="AA32" s="51" t="s">
        <v>292</v>
      </c>
      <c r="AB32" s="51" t="s">
        <v>293</v>
      </c>
      <c r="AC32" s="51"/>
    </row>
    <row r="33" spans="1:29" ht="30" x14ac:dyDescent="0.25">
      <c r="A33" s="51" t="s">
        <v>191</v>
      </c>
      <c r="B33" s="52">
        <v>44231</v>
      </c>
      <c r="C33" s="53">
        <v>0.27694629629629602</v>
      </c>
      <c r="D33" s="54" t="s">
        <v>294</v>
      </c>
      <c r="E33" s="54" t="s">
        <v>193</v>
      </c>
      <c r="F33" s="54" t="s">
        <v>184</v>
      </c>
      <c r="G33" s="54" t="s">
        <v>194</v>
      </c>
      <c r="H33" s="54" t="s">
        <v>195</v>
      </c>
      <c r="I33" s="54" t="s">
        <v>196</v>
      </c>
      <c r="J33" s="54" t="s">
        <v>195</v>
      </c>
      <c r="K33" s="54" t="s">
        <v>197</v>
      </c>
      <c r="L33" s="54" t="s">
        <v>195</v>
      </c>
      <c r="M33" s="54"/>
      <c r="N33" s="54" t="s">
        <v>295</v>
      </c>
      <c r="O33" s="55">
        <v>79.855000000000004</v>
      </c>
      <c r="P33" s="56">
        <v>23</v>
      </c>
      <c r="Q33" s="55">
        <v>56.854999999999997</v>
      </c>
      <c r="R33" s="57" t="s">
        <v>191</v>
      </c>
      <c r="S33" s="58" t="s">
        <v>290</v>
      </c>
      <c r="T33" s="54" t="s">
        <v>185</v>
      </c>
      <c r="U33" s="55">
        <v>68367</v>
      </c>
      <c r="V33" s="55">
        <v>52.59</v>
      </c>
      <c r="W33" s="55">
        <v>31.925999999999998</v>
      </c>
      <c r="X33" s="59" t="s">
        <v>291</v>
      </c>
      <c r="Y33" s="59" t="s">
        <v>201</v>
      </c>
      <c r="Z33" s="51" t="s">
        <v>187</v>
      </c>
      <c r="AA33" s="51" t="s">
        <v>296</v>
      </c>
      <c r="AB33" s="51" t="s">
        <v>297</v>
      </c>
      <c r="AC33" s="51"/>
    </row>
    <row r="34" spans="1:29" ht="30" x14ac:dyDescent="0.25">
      <c r="A34" s="51" t="s">
        <v>191</v>
      </c>
      <c r="B34" s="52">
        <v>44231</v>
      </c>
      <c r="C34" s="53">
        <v>0.27694629629629602</v>
      </c>
      <c r="D34" s="54" t="s">
        <v>294</v>
      </c>
      <c r="E34" s="54" t="s">
        <v>193</v>
      </c>
      <c r="F34" s="54" t="s">
        <v>184</v>
      </c>
      <c r="G34" s="54" t="s">
        <v>194</v>
      </c>
      <c r="H34" s="54" t="s">
        <v>195</v>
      </c>
      <c r="I34" s="54" t="s">
        <v>196</v>
      </c>
      <c r="J34" s="54" t="s">
        <v>195</v>
      </c>
      <c r="K34" s="54" t="s">
        <v>197</v>
      </c>
      <c r="L34" s="54" t="s">
        <v>195</v>
      </c>
      <c r="M34" s="54"/>
      <c r="N34" s="54" t="s">
        <v>295</v>
      </c>
      <c r="O34" s="55">
        <v>79.855000000000004</v>
      </c>
      <c r="P34" s="56">
        <v>23</v>
      </c>
      <c r="Q34" s="55">
        <v>56.854999999999997</v>
      </c>
      <c r="R34" s="57" t="s">
        <v>191</v>
      </c>
      <c r="S34" s="58" t="s">
        <v>298</v>
      </c>
      <c r="T34" s="54" t="s">
        <v>185</v>
      </c>
      <c r="U34" s="55">
        <v>49699</v>
      </c>
      <c r="V34" s="55">
        <v>38.229999999999997</v>
      </c>
      <c r="W34" s="55">
        <v>24.928999999999998</v>
      </c>
      <c r="X34" s="59" t="s">
        <v>299</v>
      </c>
      <c r="Y34" s="59" t="s">
        <v>201</v>
      </c>
      <c r="Z34" s="51" t="s">
        <v>187</v>
      </c>
      <c r="AA34" s="51" t="s">
        <v>296</v>
      </c>
      <c r="AB34" s="51" t="s">
        <v>297</v>
      </c>
      <c r="AC34" s="51"/>
    </row>
    <row r="35" spans="1:29" ht="30" x14ac:dyDescent="0.25">
      <c r="A35" s="51" t="s">
        <v>191</v>
      </c>
      <c r="B35" s="52">
        <v>44231</v>
      </c>
      <c r="C35" s="53">
        <v>0.28003483796296302</v>
      </c>
      <c r="D35" s="54" t="s">
        <v>300</v>
      </c>
      <c r="E35" s="54" t="s">
        <v>193</v>
      </c>
      <c r="F35" s="54" t="s">
        <v>184</v>
      </c>
      <c r="G35" s="54" t="s">
        <v>194</v>
      </c>
      <c r="H35" s="54" t="s">
        <v>195</v>
      </c>
      <c r="I35" s="54" t="s">
        <v>196</v>
      </c>
      <c r="J35" s="54" t="s">
        <v>195</v>
      </c>
      <c r="K35" s="54" t="s">
        <v>197</v>
      </c>
      <c r="L35" s="54" t="s">
        <v>195</v>
      </c>
      <c r="M35" s="54"/>
      <c r="N35" s="54" t="s">
        <v>301</v>
      </c>
      <c r="O35" s="55">
        <v>76.953999999999994</v>
      </c>
      <c r="P35" s="56">
        <v>22</v>
      </c>
      <c r="Q35" s="55">
        <v>54.954000000000001</v>
      </c>
      <c r="R35" s="57" t="s">
        <v>191</v>
      </c>
      <c r="S35" s="58" t="s">
        <v>298</v>
      </c>
      <c r="T35" s="54" t="s">
        <v>185</v>
      </c>
      <c r="U35" s="55">
        <v>49699</v>
      </c>
      <c r="V35" s="55">
        <v>38.229999999999997</v>
      </c>
      <c r="W35" s="55">
        <v>13.301</v>
      </c>
      <c r="X35" s="59" t="s">
        <v>299</v>
      </c>
      <c r="Y35" s="59" t="s">
        <v>201</v>
      </c>
      <c r="Z35" s="51" t="s">
        <v>187</v>
      </c>
      <c r="AA35" s="51" t="s">
        <v>302</v>
      </c>
      <c r="AB35" s="51" t="s">
        <v>303</v>
      </c>
      <c r="AC35" s="51"/>
    </row>
    <row r="36" spans="1:29" ht="30" x14ac:dyDescent="0.25">
      <c r="A36" s="51" t="s">
        <v>191</v>
      </c>
      <c r="B36" s="52">
        <v>44231</v>
      </c>
      <c r="C36" s="53">
        <v>0.28003483796296302</v>
      </c>
      <c r="D36" s="54" t="s">
        <v>300</v>
      </c>
      <c r="E36" s="54" t="s">
        <v>193</v>
      </c>
      <c r="F36" s="54" t="s">
        <v>184</v>
      </c>
      <c r="G36" s="54" t="s">
        <v>194</v>
      </c>
      <c r="H36" s="54" t="s">
        <v>195</v>
      </c>
      <c r="I36" s="54" t="s">
        <v>196</v>
      </c>
      <c r="J36" s="54" t="s">
        <v>195</v>
      </c>
      <c r="K36" s="54" t="s">
        <v>197</v>
      </c>
      <c r="L36" s="54" t="s">
        <v>195</v>
      </c>
      <c r="M36" s="54"/>
      <c r="N36" s="54" t="s">
        <v>301</v>
      </c>
      <c r="O36" s="55">
        <v>76.953999999999994</v>
      </c>
      <c r="P36" s="56">
        <v>22</v>
      </c>
      <c r="Q36" s="55">
        <v>54.954000000000001</v>
      </c>
      <c r="R36" s="57" t="s">
        <v>191</v>
      </c>
      <c r="S36" s="58" t="s">
        <v>304</v>
      </c>
      <c r="T36" s="54" t="s">
        <v>185</v>
      </c>
      <c r="U36" s="55">
        <v>66053</v>
      </c>
      <c r="V36" s="55">
        <v>50.81</v>
      </c>
      <c r="W36" s="55">
        <v>41.652999999999999</v>
      </c>
      <c r="X36" s="59" t="s">
        <v>305</v>
      </c>
      <c r="Y36" s="59" t="s">
        <v>201</v>
      </c>
      <c r="Z36" s="51" t="s">
        <v>187</v>
      </c>
      <c r="AA36" s="51" t="s">
        <v>302</v>
      </c>
      <c r="AB36" s="51" t="s">
        <v>303</v>
      </c>
      <c r="AC36" s="51"/>
    </row>
    <row r="37" spans="1:29" ht="30" x14ac:dyDescent="0.25">
      <c r="A37" s="51" t="s">
        <v>191</v>
      </c>
      <c r="B37" s="52">
        <v>44231</v>
      </c>
      <c r="C37" s="53">
        <v>0.28388939814814801</v>
      </c>
      <c r="D37" s="54" t="s">
        <v>306</v>
      </c>
      <c r="E37" s="54" t="s">
        <v>193</v>
      </c>
      <c r="F37" s="54" t="s">
        <v>184</v>
      </c>
      <c r="G37" s="54" t="s">
        <v>194</v>
      </c>
      <c r="H37" s="54" t="s">
        <v>195</v>
      </c>
      <c r="I37" s="54" t="s">
        <v>196</v>
      </c>
      <c r="J37" s="54" t="s">
        <v>195</v>
      </c>
      <c r="K37" s="54" t="s">
        <v>197</v>
      </c>
      <c r="L37" s="54" t="s">
        <v>195</v>
      </c>
      <c r="M37" s="54"/>
      <c r="N37" s="54" t="s">
        <v>307</v>
      </c>
      <c r="O37" s="55">
        <v>79.971000000000004</v>
      </c>
      <c r="P37" s="56">
        <v>23</v>
      </c>
      <c r="Q37" s="55">
        <v>56.970999999999997</v>
      </c>
      <c r="R37" s="57" t="s">
        <v>191</v>
      </c>
      <c r="S37" s="58" t="s">
        <v>308</v>
      </c>
      <c r="T37" s="54" t="s">
        <v>185</v>
      </c>
      <c r="U37" s="55">
        <v>65442</v>
      </c>
      <c r="V37" s="55">
        <v>50.34</v>
      </c>
      <c r="W37" s="55">
        <v>4.1420000000000003</v>
      </c>
      <c r="X37" s="59" t="s">
        <v>309</v>
      </c>
      <c r="Y37" s="59" t="s">
        <v>201</v>
      </c>
      <c r="Z37" s="51" t="s">
        <v>187</v>
      </c>
      <c r="AA37" s="51" t="s">
        <v>310</v>
      </c>
      <c r="AB37" s="51" t="s">
        <v>311</v>
      </c>
      <c r="AC37" s="51"/>
    </row>
    <row r="38" spans="1:29" ht="30" x14ac:dyDescent="0.25">
      <c r="A38" s="51" t="s">
        <v>191</v>
      </c>
      <c r="B38" s="52">
        <v>44231</v>
      </c>
      <c r="C38" s="53">
        <v>0.28388939814814801</v>
      </c>
      <c r="D38" s="54" t="s">
        <v>306</v>
      </c>
      <c r="E38" s="54" t="s">
        <v>193</v>
      </c>
      <c r="F38" s="54" t="s">
        <v>184</v>
      </c>
      <c r="G38" s="54" t="s">
        <v>194</v>
      </c>
      <c r="H38" s="54" t="s">
        <v>195</v>
      </c>
      <c r="I38" s="54" t="s">
        <v>196</v>
      </c>
      <c r="J38" s="54" t="s">
        <v>195</v>
      </c>
      <c r="K38" s="54" t="s">
        <v>197</v>
      </c>
      <c r="L38" s="54" t="s">
        <v>195</v>
      </c>
      <c r="M38" s="54"/>
      <c r="N38" s="54" t="s">
        <v>307</v>
      </c>
      <c r="O38" s="55">
        <v>79.971000000000004</v>
      </c>
      <c r="P38" s="56">
        <v>23</v>
      </c>
      <c r="Q38" s="55">
        <v>56.970999999999997</v>
      </c>
      <c r="R38" s="57" t="s">
        <v>191</v>
      </c>
      <c r="S38" s="58" t="s">
        <v>312</v>
      </c>
      <c r="T38" s="54" t="s">
        <v>185</v>
      </c>
      <c r="U38" s="55">
        <v>66209</v>
      </c>
      <c r="V38" s="55">
        <v>50.93</v>
      </c>
      <c r="W38" s="55">
        <v>16.449000000000002</v>
      </c>
      <c r="X38" s="59" t="s">
        <v>313</v>
      </c>
      <c r="Y38" s="59" t="s">
        <v>201</v>
      </c>
      <c r="Z38" s="51" t="s">
        <v>187</v>
      </c>
      <c r="AA38" s="51" t="s">
        <v>310</v>
      </c>
      <c r="AB38" s="51" t="s">
        <v>311</v>
      </c>
      <c r="AC38" s="51"/>
    </row>
    <row r="39" spans="1:29" ht="30" x14ac:dyDescent="0.25">
      <c r="A39" s="51" t="s">
        <v>191</v>
      </c>
      <c r="B39" s="52">
        <v>44231</v>
      </c>
      <c r="C39" s="53">
        <v>0.28388939814814801</v>
      </c>
      <c r="D39" s="54" t="s">
        <v>306</v>
      </c>
      <c r="E39" s="54" t="s">
        <v>193</v>
      </c>
      <c r="F39" s="54" t="s">
        <v>184</v>
      </c>
      <c r="G39" s="54" t="s">
        <v>194</v>
      </c>
      <c r="H39" s="54" t="s">
        <v>195</v>
      </c>
      <c r="I39" s="54" t="s">
        <v>196</v>
      </c>
      <c r="J39" s="54" t="s">
        <v>195</v>
      </c>
      <c r="K39" s="54" t="s">
        <v>197</v>
      </c>
      <c r="L39" s="54" t="s">
        <v>195</v>
      </c>
      <c r="M39" s="54"/>
      <c r="N39" s="54" t="s">
        <v>307</v>
      </c>
      <c r="O39" s="55">
        <v>79.971000000000004</v>
      </c>
      <c r="P39" s="56">
        <v>23</v>
      </c>
      <c r="Q39" s="55">
        <v>56.970999999999997</v>
      </c>
      <c r="R39" s="57" t="s">
        <v>191</v>
      </c>
      <c r="S39" s="58" t="s">
        <v>314</v>
      </c>
      <c r="T39" s="54" t="s">
        <v>185</v>
      </c>
      <c r="U39" s="55">
        <v>47294</v>
      </c>
      <c r="V39" s="55">
        <v>36.380000000000003</v>
      </c>
      <c r="W39" s="55">
        <v>36.380000000000003</v>
      </c>
      <c r="X39" s="59" t="s">
        <v>315</v>
      </c>
      <c r="Y39" s="59" t="s">
        <v>201</v>
      </c>
      <c r="Z39" s="51" t="s">
        <v>187</v>
      </c>
      <c r="AA39" s="51" t="s">
        <v>310</v>
      </c>
      <c r="AB39" s="51" t="s">
        <v>311</v>
      </c>
      <c r="AC39" s="51"/>
    </row>
    <row r="40" spans="1:29" ht="30" x14ac:dyDescent="0.25">
      <c r="A40" s="51" t="s">
        <v>191</v>
      </c>
      <c r="B40" s="52">
        <v>44231</v>
      </c>
      <c r="C40" s="53">
        <v>0.285685069444444</v>
      </c>
      <c r="D40" s="54" t="s">
        <v>316</v>
      </c>
      <c r="E40" s="54" t="s">
        <v>193</v>
      </c>
      <c r="F40" s="54" t="s">
        <v>184</v>
      </c>
      <c r="G40" s="54" t="s">
        <v>194</v>
      </c>
      <c r="H40" s="54" t="s">
        <v>195</v>
      </c>
      <c r="I40" s="54" t="s">
        <v>196</v>
      </c>
      <c r="J40" s="54" t="s">
        <v>195</v>
      </c>
      <c r="K40" s="54" t="s">
        <v>197</v>
      </c>
      <c r="L40" s="54" t="s">
        <v>195</v>
      </c>
      <c r="M40" s="54"/>
      <c r="N40" s="54" t="s">
        <v>317</v>
      </c>
      <c r="O40" s="55">
        <v>76.88</v>
      </c>
      <c r="P40" s="56">
        <v>22</v>
      </c>
      <c r="Q40" s="55">
        <v>54.88</v>
      </c>
      <c r="R40" s="57" t="s">
        <v>191</v>
      </c>
      <c r="S40" s="58" t="s">
        <v>318</v>
      </c>
      <c r="T40" s="54" t="s">
        <v>185</v>
      </c>
      <c r="U40" s="55">
        <v>64168</v>
      </c>
      <c r="V40" s="55">
        <v>49.36</v>
      </c>
      <c r="W40" s="55">
        <v>20.399000000000001</v>
      </c>
      <c r="X40" s="59" t="s">
        <v>319</v>
      </c>
      <c r="Y40" s="59" t="s">
        <v>201</v>
      </c>
      <c r="Z40" s="51" t="s">
        <v>187</v>
      </c>
      <c r="AA40" s="51" t="s">
        <v>320</v>
      </c>
      <c r="AB40" s="51" t="s">
        <v>321</v>
      </c>
      <c r="AC40" s="51"/>
    </row>
    <row r="41" spans="1:29" ht="30" x14ac:dyDescent="0.25">
      <c r="A41" s="51" t="s">
        <v>191</v>
      </c>
      <c r="B41" s="52">
        <v>44231</v>
      </c>
      <c r="C41" s="53">
        <v>0.285685069444444</v>
      </c>
      <c r="D41" s="54" t="s">
        <v>316</v>
      </c>
      <c r="E41" s="54" t="s">
        <v>193</v>
      </c>
      <c r="F41" s="54" t="s">
        <v>184</v>
      </c>
      <c r="G41" s="54" t="s">
        <v>194</v>
      </c>
      <c r="H41" s="54" t="s">
        <v>195</v>
      </c>
      <c r="I41" s="54" t="s">
        <v>196</v>
      </c>
      <c r="J41" s="54" t="s">
        <v>195</v>
      </c>
      <c r="K41" s="54" t="s">
        <v>197</v>
      </c>
      <c r="L41" s="54" t="s">
        <v>195</v>
      </c>
      <c r="M41" s="54"/>
      <c r="N41" s="54" t="s">
        <v>317</v>
      </c>
      <c r="O41" s="55">
        <v>76.88</v>
      </c>
      <c r="P41" s="56">
        <v>22</v>
      </c>
      <c r="Q41" s="55">
        <v>54.88</v>
      </c>
      <c r="R41" s="57" t="s">
        <v>191</v>
      </c>
      <c r="S41" s="58" t="s">
        <v>312</v>
      </c>
      <c r="T41" s="54" t="s">
        <v>185</v>
      </c>
      <c r="U41" s="55">
        <v>66209</v>
      </c>
      <c r="V41" s="55">
        <v>50.93</v>
      </c>
      <c r="W41" s="55">
        <v>34.481000000000002</v>
      </c>
      <c r="X41" s="59" t="s">
        <v>313</v>
      </c>
      <c r="Y41" s="59" t="s">
        <v>201</v>
      </c>
      <c r="Z41" s="51" t="s">
        <v>187</v>
      </c>
      <c r="AA41" s="51" t="s">
        <v>320</v>
      </c>
      <c r="AB41" s="51" t="s">
        <v>321</v>
      </c>
      <c r="AC41" s="51"/>
    </row>
    <row r="42" spans="1:29" ht="30" x14ac:dyDescent="0.25">
      <c r="A42" s="51" t="s">
        <v>191</v>
      </c>
      <c r="B42" s="52">
        <v>44231</v>
      </c>
      <c r="C42" s="53">
        <v>0.29509130787037002</v>
      </c>
      <c r="D42" s="54" t="s">
        <v>322</v>
      </c>
      <c r="E42" s="54" t="s">
        <v>193</v>
      </c>
      <c r="F42" s="54" t="s">
        <v>184</v>
      </c>
      <c r="G42" s="54" t="s">
        <v>194</v>
      </c>
      <c r="H42" s="54" t="s">
        <v>195</v>
      </c>
      <c r="I42" s="54" t="s">
        <v>196</v>
      </c>
      <c r="J42" s="54" t="s">
        <v>195</v>
      </c>
      <c r="K42" s="54" t="s">
        <v>197</v>
      </c>
      <c r="L42" s="54" t="s">
        <v>195</v>
      </c>
      <c r="M42" s="54"/>
      <c r="N42" s="54" t="s">
        <v>323</v>
      </c>
      <c r="O42" s="55">
        <v>76.840999999999994</v>
      </c>
      <c r="P42" s="56">
        <v>22</v>
      </c>
      <c r="Q42" s="55">
        <v>54.841000000000001</v>
      </c>
      <c r="R42" s="57" t="s">
        <v>191</v>
      </c>
      <c r="S42" s="58" t="s">
        <v>318</v>
      </c>
      <c r="T42" s="54" t="s">
        <v>185</v>
      </c>
      <c r="U42" s="55">
        <v>64168</v>
      </c>
      <c r="V42" s="55">
        <v>49.36</v>
      </c>
      <c r="W42" s="55">
        <v>28.960999999999999</v>
      </c>
      <c r="X42" s="59" t="s">
        <v>319</v>
      </c>
      <c r="Y42" s="59" t="s">
        <v>201</v>
      </c>
      <c r="Z42" s="51" t="s">
        <v>187</v>
      </c>
      <c r="AA42" s="51" t="s">
        <v>324</v>
      </c>
      <c r="AB42" s="51" t="s">
        <v>325</v>
      </c>
      <c r="AC42" s="51"/>
    </row>
    <row r="43" spans="1:29" ht="30" x14ac:dyDescent="0.25">
      <c r="A43" s="51" t="s">
        <v>191</v>
      </c>
      <c r="B43" s="52">
        <v>44231</v>
      </c>
      <c r="C43" s="53">
        <v>0.29509130787037002</v>
      </c>
      <c r="D43" s="54" t="s">
        <v>322</v>
      </c>
      <c r="E43" s="54" t="s">
        <v>193</v>
      </c>
      <c r="F43" s="54" t="s">
        <v>184</v>
      </c>
      <c r="G43" s="54" t="s">
        <v>194</v>
      </c>
      <c r="H43" s="54" t="s">
        <v>195</v>
      </c>
      <c r="I43" s="54" t="s">
        <v>196</v>
      </c>
      <c r="J43" s="54" t="s">
        <v>195</v>
      </c>
      <c r="K43" s="54" t="s">
        <v>197</v>
      </c>
      <c r="L43" s="54" t="s">
        <v>195</v>
      </c>
      <c r="M43" s="54"/>
      <c r="N43" s="54" t="s">
        <v>323</v>
      </c>
      <c r="O43" s="55">
        <v>76.840999999999994</v>
      </c>
      <c r="P43" s="56">
        <v>22</v>
      </c>
      <c r="Q43" s="55">
        <v>54.841000000000001</v>
      </c>
      <c r="R43" s="57" t="s">
        <v>191</v>
      </c>
      <c r="S43" s="58" t="s">
        <v>326</v>
      </c>
      <c r="T43" s="54" t="s">
        <v>185</v>
      </c>
      <c r="U43" s="55">
        <v>64857</v>
      </c>
      <c r="V43" s="55">
        <v>49.89</v>
      </c>
      <c r="W43" s="55">
        <v>25.88</v>
      </c>
      <c r="X43" s="59" t="s">
        <v>327</v>
      </c>
      <c r="Y43" s="59" t="s">
        <v>201</v>
      </c>
      <c r="Z43" s="51" t="s">
        <v>187</v>
      </c>
      <c r="AA43" s="51" t="s">
        <v>324</v>
      </c>
      <c r="AB43" s="51" t="s">
        <v>325</v>
      </c>
      <c r="AC43" s="51"/>
    </row>
    <row r="44" spans="1:29" ht="30" x14ac:dyDescent="0.25">
      <c r="A44" s="51" t="s">
        <v>191</v>
      </c>
      <c r="B44" s="52">
        <v>44231</v>
      </c>
      <c r="C44" s="53">
        <v>0.300693321759259</v>
      </c>
      <c r="D44" s="54" t="s">
        <v>328</v>
      </c>
      <c r="E44" s="54" t="s">
        <v>193</v>
      </c>
      <c r="F44" s="54" t="s">
        <v>184</v>
      </c>
      <c r="G44" s="54" t="s">
        <v>194</v>
      </c>
      <c r="H44" s="54" t="s">
        <v>195</v>
      </c>
      <c r="I44" s="54" t="s">
        <v>196</v>
      </c>
      <c r="J44" s="54" t="s">
        <v>195</v>
      </c>
      <c r="K44" s="54" t="s">
        <v>197</v>
      </c>
      <c r="L44" s="54" t="s">
        <v>195</v>
      </c>
      <c r="M44" s="54"/>
      <c r="N44" s="54" t="s">
        <v>329</v>
      </c>
      <c r="O44" s="55">
        <v>79.927000000000007</v>
      </c>
      <c r="P44" s="56">
        <v>23.27</v>
      </c>
      <c r="Q44" s="55">
        <v>56.656999999999996</v>
      </c>
      <c r="R44" s="57" t="s">
        <v>191</v>
      </c>
      <c r="S44" s="58" t="s">
        <v>330</v>
      </c>
      <c r="T44" s="54" t="s">
        <v>185</v>
      </c>
      <c r="U44" s="55">
        <v>49829</v>
      </c>
      <c r="V44" s="55">
        <v>38.33</v>
      </c>
      <c r="W44" s="55">
        <v>32.646999999999998</v>
      </c>
      <c r="X44" s="59" t="s">
        <v>331</v>
      </c>
      <c r="Y44" s="59" t="s">
        <v>201</v>
      </c>
      <c r="Z44" s="51" t="s">
        <v>187</v>
      </c>
      <c r="AA44" s="51" t="s">
        <v>332</v>
      </c>
      <c r="AB44" s="51" t="s">
        <v>333</v>
      </c>
      <c r="AC44" s="51"/>
    </row>
    <row r="45" spans="1:29" ht="30" x14ac:dyDescent="0.25">
      <c r="A45" s="51" t="s">
        <v>191</v>
      </c>
      <c r="B45" s="52">
        <v>44231</v>
      </c>
      <c r="C45" s="53">
        <v>0.300693321759259</v>
      </c>
      <c r="D45" s="54" t="s">
        <v>328</v>
      </c>
      <c r="E45" s="54" t="s">
        <v>193</v>
      </c>
      <c r="F45" s="54" t="s">
        <v>184</v>
      </c>
      <c r="G45" s="54" t="s">
        <v>194</v>
      </c>
      <c r="H45" s="54" t="s">
        <v>195</v>
      </c>
      <c r="I45" s="54" t="s">
        <v>196</v>
      </c>
      <c r="J45" s="54" t="s">
        <v>195</v>
      </c>
      <c r="K45" s="54" t="s">
        <v>197</v>
      </c>
      <c r="L45" s="54" t="s">
        <v>195</v>
      </c>
      <c r="M45" s="54"/>
      <c r="N45" s="54" t="s">
        <v>329</v>
      </c>
      <c r="O45" s="55">
        <v>79.927000000000007</v>
      </c>
      <c r="P45" s="56">
        <v>23.27</v>
      </c>
      <c r="Q45" s="55">
        <v>56.656999999999996</v>
      </c>
      <c r="R45" s="57" t="s">
        <v>191</v>
      </c>
      <c r="S45" s="58" t="s">
        <v>326</v>
      </c>
      <c r="T45" s="54" t="s">
        <v>185</v>
      </c>
      <c r="U45" s="55">
        <v>64857</v>
      </c>
      <c r="V45" s="55">
        <v>49.89</v>
      </c>
      <c r="W45" s="55">
        <v>24.01</v>
      </c>
      <c r="X45" s="59" t="s">
        <v>327</v>
      </c>
      <c r="Y45" s="59" t="s">
        <v>201</v>
      </c>
      <c r="Z45" s="51" t="s">
        <v>187</v>
      </c>
      <c r="AA45" s="51" t="s">
        <v>332</v>
      </c>
      <c r="AB45" s="51" t="s">
        <v>333</v>
      </c>
      <c r="AC45" s="51"/>
    </row>
    <row r="46" spans="1:29" ht="30" x14ac:dyDescent="0.25">
      <c r="A46" s="51" t="s">
        <v>191</v>
      </c>
      <c r="B46" s="52">
        <v>44231</v>
      </c>
      <c r="C46" s="53">
        <v>0.30602655092592601</v>
      </c>
      <c r="D46" s="54" t="s">
        <v>334</v>
      </c>
      <c r="E46" s="54" t="s">
        <v>193</v>
      </c>
      <c r="F46" s="54" t="s">
        <v>184</v>
      </c>
      <c r="G46" s="54" t="s">
        <v>194</v>
      </c>
      <c r="H46" s="54" t="s">
        <v>195</v>
      </c>
      <c r="I46" s="54" t="s">
        <v>196</v>
      </c>
      <c r="J46" s="54" t="s">
        <v>195</v>
      </c>
      <c r="K46" s="54" t="s">
        <v>197</v>
      </c>
      <c r="L46" s="54" t="s">
        <v>195</v>
      </c>
      <c r="M46" s="54"/>
      <c r="N46" s="54" t="s">
        <v>335</v>
      </c>
      <c r="O46" s="55">
        <v>79.879000000000005</v>
      </c>
      <c r="P46" s="56">
        <v>23.98</v>
      </c>
      <c r="Q46" s="55">
        <v>55.899000000000001</v>
      </c>
      <c r="R46" s="57" t="s">
        <v>191</v>
      </c>
      <c r="S46" s="58" t="s">
        <v>330</v>
      </c>
      <c r="T46" s="54" t="s">
        <v>185</v>
      </c>
      <c r="U46" s="55">
        <v>49829</v>
      </c>
      <c r="V46" s="55">
        <v>38.33</v>
      </c>
      <c r="W46" s="55">
        <v>5.6829999999999998</v>
      </c>
      <c r="X46" s="59" t="s">
        <v>331</v>
      </c>
      <c r="Y46" s="59" t="s">
        <v>201</v>
      </c>
      <c r="Z46" s="51" t="s">
        <v>187</v>
      </c>
      <c r="AA46" s="51" t="s">
        <v>336</v>
      </c>
      <c r="AB46" s="51" t="s">
        <v>337</v>
      </c>
      <c r="AC46" s="51"/>
    </row>
    <row r="47" spans="1:29" ht="30" x14ac:dyDescent="0.25">
      <c r="A47" s="51" t="s">
        <v>191</v>
      </c>
      <c r="B47" s="52">
        <v>44231</v>
      </c>
      <c r="C47" s="53">
        <v>0.30602655092592601</v>
      </c>
      <c r="D47" s="54" t="s">
        <v>334</v>
      </c>
      <c r="E47" s="54" t="s">
        <v>193</v>
      </c>
      <c r="F47" s="54" t="s">
        <v>184</v>
      </c>
      <c r="G47" s="54" t="s">
        <v>194</v>
      </c>
      <c r="H47" s="54" t="s">
        <v>195</v>
      </c>
      <c r="I47" s="54" t="s">
        <v>196</v>
      </c>
      <c r="J47" s="54" t="s">
        <v>195</v>
      </c>
      <c r="K47" s="54" t="s">
        <v>197</v>
      </c>
      <c r="L47" s="54" t="s">
        <v>195</v>
      </c>
      <c r="M47" s="54"/>
      <c r="N47" s="54" t="s">
        <v>335</v>
      </c>
      <c r="O47" s="55">
        <v>79.879000000000005</v>
      </c>
      <c r="P47" s="56">
        <v>23.98</v>
      </c>
      <c r="Q47" s="55">
        <v>55.899000000000001</v>
      </c>
      <c r="R47" s="57" t="s">
        <v>191</v>
      </c>
      <c r="S47" s="58" t="s">
        <v>338</v>
      </c>
      <c r="T47" s="54" t="s">
        <v>185</v>
      </c>
      <c r="U47" s="55">
        <v>65611</v>
      </c>
      <c r="V47" s="55">
        <v>50.47</v>
      </c>
      <c r="W47" s="55">
        <v>0.46600000000000003</v>
      </c>
      <c r="X47" s="59" t="s">
        <v>339</v>
      </c>
      <c r="Y47" s="59" t="s">
        <v>201</v>
      </c>
      <c r="Z47" s="51" t="s">
        <v>187</v>
      </c>
      <c r="AA47" s="51" t="s">
        <v>336</v>
      </c>
      <c r="AB47" s="51" t="s">
        <v>337</v>
      </c>
      <c r="AC47" s="51"/>
    </row>
    <row r="48" spans="1:29" ht="30" x14ac:dyDescent="0.25">
      <c r="A48" s="51" t="s">
        <v>191</v>
      </c>
      <c r="B48" s="52">
        <v>44231</v>
      </c>
      <c r="C48" s="53">
        <v>0.30602655092592601</v>
      </c>
      <c r="D48" s="54" t="s">
        <v>334</v>
      </c>
      <c r="E48" s="54" t="s">
        <v>193</v>
      </c>
      <c r="F48" s="54" t="s">
        <v>184</v>
      </c>
      <c r="G48" s="54" t="s">
        <v>194</v>
      </c>
      <c r="H48" s="54" t="s">
        <v>195</v>
      </c>
      <c r="I48" s="54" t="s">
        <v>196</v>
      </c>
      <c r="J48" s="54" t="s">
        <v>195</v>
      </c>
      <c r="K48" s="54" t="s">
        <v>197</v>
      </c>
      <c r="L48" s="54" t="s">
        <v>195</v>
      </c>
      <c r="M48" s="54"/>
      <c r="N48" s="54" t="s">
        <v>335</v>
      </c>
      <c r="O48" s="55">
        <v>79.879000000000005</v>
      </c>
      <c r="P48" s="56">
        <v>23.98</v>
      </c>
      <c r="Q48" s="55">
        <v>55.899000000000001</v>
      </c>
      <c r="R48" s="57" t="s">
        <v>191</v>
      </c>
      <c r="S48" s="58" t="s">
        <v>340</v>
      </c>
      <c r="T48" s="54" t="s">
        <v>185</v>
      </c>
      <c r="U48" s="55">
        <v>64675</v>
      </c>
      <c r="V48" s="55">
        <v>49.75</v>
      </c>
      <c r="W48" s="55">
        <v>49.75</v>
      </c>
      <c r="X48" s="59" t="s">
        <v>341</v>
      </c>
      <c r="Y48" s="59" t="s">
        <v>201</v>
      </c>
      <c r="Z48" s="51" t="s">
        <v>187</v>
      </c>
      <c r="AA48" s="51" t="s">
        <v>336</v>
      </c>
      <c r="AB48" s="51" t="s">
        <v>337</v>
      </c>
      <c r="AC48" s="51"/>
    </row>
    <row r="49" spans="1:29" ht="30" x14ac:dyDescent="0.25">
      <c r="A49" s="51" t="s">
        <v>191</v>
      </c>
      <c r="B49" s="52">
        <v>44231</v>
      </c>
      <c r="C49" s="53">
        <v>0.31428168981481502</v>
      </c>
      <c r="D49" s="54" t="s">
        <v>342</v>
      </c>
      <c r="E49" s="54" t="s">
        <v>193</v>
      </c>
      <c r="F49" s="54" t="s">
        <v>184</v>
      </c>
      <c r="G49" s="54" t="s">
        <v>194</v>
      </c>
      <c r="H49" s="54" t="s">
        <v>195</v>
      </c>
      <c r="I49" s="54" t="s">
        <v>196</v>
      </c>
      <c r="J49" s="54" t="s">
        <v>195</v>
      </c>
      <c r="K49" s="54" t="s">
        <v>197</v>
      </c>
      <c r="L49" s="54" t="s">
        <v>195</v>
      </c>
      <c r="M49" s="54"/>
      <c r="N49" s="54" t="s">
        <v>343</v>
      </c>
      <c r="O49" s="55">
        <v>79.891000000000005</v>
      </c>
      <c r="P49" s="56">
        <v>23</v>
      </c>
      <c r="Q49" s="55">
        <v>56.890999999999998</v>
      </c>
      <c r="R49" s="57" t="s">
        <v>191</v>
      </c>
      <c r="S49" s="58" t="s">
        <v>338</v>
      </c>
      <c r="T49" s="54" t="s">
        <v>185</v>
      </c>
      <c r="U49" s="55">
        <v>65611</v>
      </c>
      <c r="V49" s="55">
        <v>50.47</v>
      </c>
      <c r="W49" s="55">
        <v>50.003999999999998</v>
      </c>
      <c r="X49" s="59" t="s">
        <v>339</v>
      </c>
      <c r="Y49" s="59" t="s">
        <v>201</v>
      </c>
      <c r="Z49" s="51" t="s">
        <v>187</v>
      </c>
      <c r="AA49" s="51" t="s">
        <v>344</v>
      </c>
      <c r="AB49" s="51" t="s">
        <v>345</v>
      </c>
      <c r="AC49" s="51"/>
    </row>
    <row r="50" spans="1:29" ht="30" x14ac:dyDescent="0.25">
      <c r="A50" s="51" t="s">
        <v>191</v>
      </c>
      <c r="B50" s="52">
        <v>44231</v>
      </c>
      <c r="C50" s="53">
        <v>0.31428168981481502</v>
      </c>
      <c r="D50" s="54" t="s">
        <v>342</v>
      </c>
      <c r="E50" s="54" t="s">
        <v>193</v>
      </c>
      <c r="F50" s="54" t="s">
        <v>184</v>
      </c>
      <c r="G50" s="54" t="s">
        <v>194</v>
      </c>
      <c r="H50" s="54" t="s">
        <v>195</v>
      </c>
      <c r="I50" s="54" t="s">
        <v>196</v>
      </c>
      <c r="J50" s="54" t="s">
        <v>195</v>
      </c>
      <c r="K50" s="54" t="s">
        <v>197</v>
      </c>
      <c r="L50" s="54" t="s">
        <v>195</v>
      </c>
      <c r="M50" s="54"/>
      <c r="N50" s="54" t="s">
        <v>343</v>
      </c>
      <c r="O50" s="55">
        <v>79.891000000000005</v>
      </c>
      <c r="P50" s="56">
        <v>23</v>
      </c>
      <c r="Q50" s="55">
        <v>56.890999999999998</v>
      </c>
      <c r="R50" s="57" t="s">
        <v>191</v>
      </c>
      <c r="S50" s="58" t="s">
        <v>346</v>
      </c>
      <c r="T50" s="54" t="s">
        <v>185</v>
      </c>
      <c r="U50" s="55">
        <v>50596</v>
      </c>
      <c r="V50" s="55">
        <v>38.92</v>
      </c>
      <c r="W50" s="55">
        <v>6.8869999999999996</v>
      </c>
      <c r="X50" s="59" t="s">
        <v>347</v>
      </c>
      <c r="Y50" s="59" t="s">
        <v>201</v>
      </c>
      <c r="Z50" s="51" t="s">
        <v>187</v>
      </c>
      <c r="AA50" s="51" t="s">
        <v>344</v>
      </c>
      <c r="AB50" s="51" t="s">
        <v>345</v>
      </c>
      <c r="AC50" s="51"/>
    </row>
    <row r="51" spans="1:29" ht="30" x14ac:dyDescent="0.25">
      <c r="A51" s="51" t="s">
        <v>191</v>
      </c>
      <c r="B51" s="52">
        <v>44231</v>
      </c>
      <c r="C51" s="53">
        <v>0.32102038194444399</v>
      </c>
      <c r="D51" s="54" t="s">
        <v>348</v>
      </c>
      <c r="E51" s="54" t="s">
        <v>193</v>
      </c>
      <c r="F51" s="54" t="s">
        <v>184</v>
      </c>
      <c r="G51" s="54" t="s">
        <v>194</v>
      </c>
      <c r="H51" s="54" t="s">
        <v>195</v>
      </c>
      <c r="I51" s="54" t="s">
        <v>196</v>
      </c>
      <c r="J51" s="54" t="s">
        <v>195</v>
      </c>
      <c r="K51" s="54" t="s">
        <v>197</v>
      </c>
      <c r="L51" s="54" t="s">
        <v>195</v>
      </c>
      <c r="M51" s="54"/>
      <c r="N51" s="54" t="s">
        <v>349</v>
      </c>
      <c r="O51" s="55">
        <v>79.915000000000006</v>
      </c>
      <c r="P51" s="56">
        <v>24.56</v>
      </c>
      <c r="Q51" s="55">
        <v>55.354999999999997</v>
      </c>
      <c r="R51" s="57" t="s">
        <v>191</v>
      </c>
      <c r="S51" s="58" t="s">
        <v>350</v>
      </c>
      <c r="T51" s="54" t="s">
        <v>185</v>
      </c>
      <c r="U51" s="55">
        <v>65169</v>
      </c>
      <c r="V51" s="55">
        <v>50.13</v>
      </c>
      <c r="W51" s="55">
        <v>23.321999999999999</v>
      </c>
      <c r="X51" s="59" t="s">
        <v>351</v>
      </c>
      <c r="Y51" s="59" t="s">
        <v>201</v>
      </c>
      <c r="Z51" s="51" t="s">
        <v>187</v>
      </c>
      <c r="AA51" s="51" t="s">
        <v>352</v>
      </c>
      <c r="AB51" s="51" t="s">
        <v>353</v>
      </c>
      <c r="AC51" s="51"/>
    </row>
    <row r="52" spans="1:29" ht="30" x14ac:dyDescent="0.25">
      <c r="A52" s="51" t="s">
        <v>191</v>
      </c>
      <c r="B52" s="52">
        <v>44231</v>
      </c>
      <c r="C52" s="53">
        <v>0.32102038194444399</v>
      </c>
      <c r="D52" s="54" t="s">
        <v>348</v>
      </c>
      <c r="E52" s="54" t="s">
        <v>193</v>
      </c>
      <c r="F52" s="54" t="s">
        <v>184</v>
      </c>
      <c r="G52" s="54" t="s">
        <v>194</v>
      </c>
      <c r="H52" s="54" t="s">
        <v>195</v>
      </c>
      <c r="I52" s="54" t="s">
        <v>196</v>
      </c>
      <c r="J52" s="54" t="s">
        <v>195</v>
      </c>
      <c r="K52" s="54" t="s">
        <v>197</v>
      </c>
      <c r="L52" s="54" t="s">
        <v>195</v>
      </c>
      <c r="M52" s="54"/>
      <c r="N52" s="54" t="s">
        <v>349</v>
      </c>
      <c r="O52" s="55">
        <v>79.915000000000006</v>
      </c>
      <c r="P52" s="56">
        <v>24.56</v>
      </c>
      <c r="Q52" s="55">
        <v>55.354999999999997</v>
      </c>
      <c r="R52" s="57" t="s">
        <v>191</v>
      </c>
      <c r="S52" s="58" t="s">
        <v>346</v>
      </c>
      <c r="T52" s="54" t="s">
        <v>185</v>
      </c>
      <c r="U52" s="55">
        <v>50596</v>
      </c>
      <c r="V52" s="55">
        <v>38.92</v>
      </c>
      <c r="W52" s="55">
        <v>32.033000000000001</v>
      </c>
      <c r="X52" s="59" t="s">
        <v>347</v>
      </c>
      <c r="Y52" s="59" t="s">
        <v>201</v>
      </c>
      <c r="Z52" s="51" t="s">
        <v>187</v>
      </c>
      <c r="AA52" s="51" t="s">
        <v>352</v>
      </c>
      <c r="AB52" s="51" t="s">
        <v>353</v>
      </c>
      <c r="AC52" s="51"/>
    </row>
    <row r="53" spans="1:29" hidden="1" x14ac:dyDescent="0.25"/>
    <row r="54" spans="1:29" hidden="1" x14ac:dyDescent="0.25"/>
    <row r="55" spans="1:29" hidden="1" x14ac:dyDescent="0.25"/>
    <row r="56" spans="1:29" hidden="1" x14ac:dyDescent="0.25"/>
    <row r="57" spans="1:29" hidden="1" x14ac:dyDescent="0.25"/>
    <row r="58" spans="1:29" hidden="1" x14ac:dyDescent="0.25"/>
    <row r="59" spans="1:29" hidden="1" x14ac:dyDescent="0.25"/>
    <row r="60" spans="1:29" hidden="1" x14ac:dyDescent="0.25"/>
    <row r="61" spans="1:29" hidden="1" x14ac:dyDescent="0.25"/>
    <row r="62" spans="1:29" hidden="1" x14ac:dyDescent="0.25"/>
  </sheetData>
  <autoFilter ref="A1:AB62" xr:uid="{761F2B2E-9FB1-4F53-9B02-EF8F3AF16932}">
    <filterColumn colId="7">
      <filters>
        <filter val="06.315.338/0177-80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2021-02-08T19:03:31Z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