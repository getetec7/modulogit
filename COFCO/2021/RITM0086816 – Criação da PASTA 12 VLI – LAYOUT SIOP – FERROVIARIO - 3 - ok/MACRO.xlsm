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RITM0086816 – Criação da PASTA 12 VLI – LAYOUT SIOP – FERROVIARIO - 3 - ok\"/>
    </mc:Choice>
  </mc:AlternateContent>
  <xr:revisionPtr revIDLastSave="0" documentId="13_ncr:1_{791E2A0B-B75C-42AC-9314-E207F37B58C5}" xr6:coauthVersionLast="46" xr6:coauthVersionMax="46" xr10:uidLastSave="{00000000-0000-0000-0000-000000000000}"/>
  <bookViews>
    <workbookView xWindow="-120" yWindow="-120" windowWidth="24240" windowHeight="17790" tabRatio="381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4" r:id="rId4"/>
  </pivotCaches>
</workbook>
</file>

<file path=xl/calcChain.xml><?xml version="1.0" encoding="utf-8"?>
<calcChain xmlns="http://schemas.openxmlformats.org/spreadsheetml/2006/main">
  <c r="H11" i="12" l="1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M2" i="10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<sst xmlns="http://schemas.openxmlformats.org/spreadsheetml/2006/main" count="2009" uniqueCount="353">
  <si>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</si>
  <si>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</si>
  <si>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</si>
  <si>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</si>
  <si>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</si>
  <si>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</si>
  <si>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</si>
  <si>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</si>
  <si>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</si>
  <si>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</si>
  <si>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</si>
  <si>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</si>
  <si>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</si>
  <si>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</si>
  <si>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</si>
  <si>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</si>
  <si>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</si>
  <si>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</si>
  <si>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</si>
  <si>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</si>
  <si>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</si>
  <si>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</si>
  <si>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</si>
  <si>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</si>
  <si>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</si>
  <si>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</si>
  <si>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</si>
  <si>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</si>
  <si>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</si>
  <si>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</si>
  <si>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</si>
  <si>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</si>
  <si>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</si>
  <si>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</si>
  <si>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</si>
  <si>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</si>
  <si>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</si>
  <si>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</si>
  <si>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</si>
  <si>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</si>
  <si>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</si>
  <si>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</si>
  <si>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</si>
  <si>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</si>
  <si>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</si>
  <si>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</si>
  <si>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</si>
  <si>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</si>
  <si>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</si>
  <si>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</si>
  <si>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</si>
  <si>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</si>
  <si>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</si>
  <si>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</si>
  <si>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</si>
  <si>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</si>
  <si>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</si>
  <si>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</si>
  <si>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</si>
  <si>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</si>
  <si>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</si>
  <si>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</si>
  <si>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</si>
  <si>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</si>
  <si>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</si>
  <si>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</si>
  <si>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</si>
  <si>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</si>
  <si>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</si>
  <si>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</si>
  <si>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</si>
  <si>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</si>
  <si>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</si>
  <si>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</si>
  <si>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</si>
  <si>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</si>
  <si>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</si>
  <si>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</si>
  <si>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</si>
  <si>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</si>
  <si>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</si>
  <si>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</si>
  <si>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</si>
  <si>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</si>
  <si>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</si>
  <si>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</si>
  <si>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</si>
  <si>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</si>
  <si>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</si>
  <si>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</si>
  <si>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</si>
  <si>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</si>
  <si>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</si>
  <si>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</si>
  <si>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</si>
  <si>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</si>
  <si>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</si>
  <si>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</si>
  <si>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</si>
  <si>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</si>
  <si>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</si>
  <si>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</si>
  <si>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</si>
  <si>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</si>
  <si>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</si>
  <si>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</si>
  <si>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</si>
  <si>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</si>
  <si>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</si>
  <si>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</si>
  <si>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</si>
  <si>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</si>
  <si>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</si>
  <si>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</si>
  <si>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</si>
  <si>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</si>
  <si>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</si>
  <si>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</si>
  <si>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</si>
  <si>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</si>
  <si>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</si>
  <si>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</si>
  <si>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</si>
  <si>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</si>
  <si>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</si>
  <si>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</si>
  <si>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</si>
  <si>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</si>
  <si>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</si>
  <si>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</si>
  <si>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</si>
  <si>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</si>
  <si>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</si>
  <si>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</si>
  <si>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</si>
  <si>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</si>
  <si>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</si>
  <si>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</si>
  <si>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</si>
  <si>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</si>
  <si>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</si>
  <si>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</si>
  <si>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</si>
  <si>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</si>
  <si>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</si>
  <si>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</si>
  <si>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</si>
  <si>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</si>
  <si>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</si>
  <si>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</si>
  <si>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</si>
  <si>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</si>
  <si>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</si>
  <si>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</si>
  <si>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</si>
  <si>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</si>
  <si>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</si>
  <si>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</si>
  <si>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</si>
  <si>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</si>
  <si>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</si>
  <si>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</si>
  <si>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</si>
  <si>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</si>
  <si>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</si>
  <si>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</si>
  <si>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</si>
  <si>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</si>
  <si>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</si>
  <si>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</si>
  <si>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</si>
  <si>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</si>
  <si>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</si>
  <si>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</si>
  <si>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</si>
  <si>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</si>
  <si>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</si>
  <si>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</si>
  <si>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</si>
  <si>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</si>
  <si>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</si>
  <si>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</si>
  <si>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</si>
  <si>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</si>
  <si>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COFCO INTERNATIONAL BRASIL S.A - CANARANA</t>
  </si>
  <si>
    <t>06.315.338/0181-66</t>
  </si>
  <si>
    <t>TIUB</t>
  </si>
  <si>
    <t>20210124-TIUB-000003</t>
  </si>
  <si>
    <t>C-199</t>
  </si>
  <si>
    <t>Soja</t>
  </si>
  <si>
    <t>COFCO INTERNATIONAL BRASIL S A - CANARANA</t>
  </si>
  <si>
    <t>COFCO INTERNATIONAL BRASIL S.A</t>
  </si>
  <si>
    <t>HFE0602043</t>
  </si>
  <si>
    <t>27822</t>
  </si>
  <si>
    <t>1</t>
  </si>
  <si>
    <t>51210106315338018166550010000278221289000649</t>
  </si>
  <si>
    <t>TIPLAM - Porto Inácio Antonio Mesquita - Santos</t>
  </si>
  <si>
    <t>112</t>
  </si>
  <si>
    <t>128580</t>
  </si>
  <si>
    <t>27821</t>
  </si>
  <si>
    <t>51210106315338018166550010000278211289000641</t>
  </si>
  <si>
    <t>20210124-TIUB-000002</t>
  </si>
  <si>
    <t>HFE0539112</t>
  </si>
  <si>
    <t>27825</t>
  </si>
  <si>
    <t>51210106315338018166550010000278251365360681</t>
  </si>
  <si>
    <t>128582</t>
  </si>
  <si>
    <t>27824</t>
  </si>
  <si>
    <t>51210106315338018166550010000278241474551545</t>
  </si>
  <si>
    <t>20210124-TIUB-000004</t>
  </si>
  <si>
    <t>HFE0599093</t>
  </si>
  <si>
    <t>128583</t>
  </si>
  <si>
    <t>27826</t>
  </si>
  <si>
    <t>51210106315338018166550010000278261933930669</t>
  </si>
  <si>
    <t>20210124-TIUB-000005</t>
  </si>
  <si>
    <t>HFE0589756</t>
  </si>
  <si>
    <t>27830</t>
  </si>
  <si>
    <t>51210106315338018166550010000278301268979761</t>
  </si>
  <si>
    <t>128584</t>
  </si>
  <si>
    <t>27827</t>
  </si>
  <si>
    <t>51210106315338018166550010000278271888431317</t>
  </si>
  <si>
    <t>20210124-TIUB-000006</t>
  </si>
  <si>
    <t>HFE0543331</t>
  </si>
  <si>
    <t>128585</t>
  </si>
  <si>
    <t>27832</t>
  </si>
  <si>
    <t>51210106315338018166550010000278321925430684</t>
  </si>
  <si>
    <t>27833</t>
  </si>
  <si>
    <t>51210106315338018166550010000278331139131148</t>
  </si>
  <si>
    <t>20210124-TIUB-000007</t>
  </si>
  <si>
    <t>HFE0629570</t>
  </si>
  <si>
    <t>27835</t>
  </si>
  <si>
    <t>51210106315338018166550010000278351838390856</t>
  </si>
  <si>
    <t>128586</t>
  </si>
  <si>
    <t>20210124-TIUB-000008</t>
  </si>
  <si>
    <t>HFE0568791</t>
  </si>
  <si>
    <t>27836</t>
  </si>
  <si>
    <t>51210106315338018166550010000278361139131140</t>
  </si>
  <si>
    <t>128587</t>
  </si>
  <si>
    <t>20210124-TIUB-000009</t>
  </si>
  <si>
    <t>HFE0544019</t>
  </si>
  <si>
    <t>128588</t>
  </si>
  <si>
    <t>27838</t>
  </si>
  <si>
    <t>51210106315338018166550010000278381790527638</t>
  </si>
  <si>
    <t>27837</t>
  </si>
  <si>
    <t>51210106315338018166550010000278371730383594</t>
  </si>
  <si>
    <t>20210124-TIUB-000010</t>
  </si>
  <si>
    <t>HFE0544361</t>
  </si>
  <si>
    <t>27839</t>
  </si>
  <si>
    <t>51210106315338018166550010000278391413448224</t>
  </si>
  <si>
    <t>128589</t>
  </si>
  <si>
    <t>20210124-TIUB-000011</t>
  </si>
  <si>
    <t>HFE0602761</t>
  </si>
  <si>
    <t>27840</t>
  </si>
  <si>
    <t>51210106315338018166550010000278401472510640</t>
  </si>
  <si>
    <t>128591</t>
  </si>
  <si>
    <t>27841</t>
  </si>
  <si>
    <t>51210106315338018166550010000278411560493974</t>
  </si>
  <si>
    <t>20210124-TIUB-000012</t>
  </si>
  <si>
    <t>HFE0591106</t>
  </si>
  <si>
    <t>128592</t>
  </si>
  <si>
    <t>27842</t>
  </si>
  <si>
    <t>51210106315338018166550010000278421605378025</t>
  </si>
  <si>
    <t>20210124-TIUB-000013</t>
  </si>
  <si>
    <t>HFE0591092</t>
  </si>
  <si>
    <t>27846</t>
  </si>
  <si>
    <t>51210106315338018166550010000278461407603536</t>
  </si>
  <si>
    <t>128593</t>
  </si>
  <si>
    <t>27843</t>
  </si>
  <si>
    <t>51210106315338018166550010000278431189632384</t>
  </si>
  <si>
    <t>20210124-TIUB-000014</t>
  </si>
  <si>
    <t>HFE0593265</t>
  </si>
  <si>
    <t>128594</t>
  </si>
  <si>
    <t>27847</t>
  </si>
  <si>
    <t>51210106315338018166550010000278471060106690</t>
  </si>
  <si>
    <t>20210124-TIUB-000016</t>
  </si>
  <si>
    <t>HFE0627135</t>
  </si>
  <si>
    <t>128595</t>
  </si>
  <si>
    <t>27848</t>
  </si>
  <si>
    <t>51210106315338018166550010000278481407603530</t>
  </si>
  <si>
    <t>27850</t>
  </si>
  <si>
    <t>51210106315338018166550010000278501298364083</t>
  </si>
  <si>
    <t>20210124-TIUB-000017</t>
  </si>
  <si>
    <t>HFE0598691</t>
  </si>
  <si>
    <t>27851</t>
  </si>
  <si>
    <t>51210106315338018166550010000278511218215326</t>
  </si>
  <si>
    <t>128596</t>
  </si>
  <si>
    <t>20210124-TIUB-000018</t>
  </si>
  <si>
    <t>HFE0563790</t>
  </si>
  <si>
    <t>27852</t>
  </si>
  <si>
    <t>51210106315338018166550010000278521451221985</t>
  </si>
  <si>
    <t>128597</t>
  </si>
  <si>
    <t>27853</t>
  </si>
  <si>
    <t>51210106315338018166550010000278531323800769</t>
  </si>
  <si>
    <t>20210124-TIUB-000019</t>
  </si>
  <si>
    <t>HFE0604313</t>
  </si>
  <si>
    <t>128598</t>
  </si>
  <si>
    <t>27854</t>
  </si>
  <si>
    <t>51210106315338018166550010000278541250876652</t>
  </si>
  <si>
    <t>20210124-TIUB-000020</t>
  </si>
  <si>
    <t>HFE0603228</t>
  </si>
  <si>
    <t>27856</t>
  </si>
  <si>
    <t>51210106315338018166550010000278561924306086</t>
  </si>
  <si>
    <t>128599</t>
  </si>
  <si>
    <t>27855</t>
  </si>
  <si>
    <t>51210106315338018166550010000278551892556212</t>
  </si>
  <si>
    <t>20210124-TIUB-000021</t>
  </si>
  <si>
    <t>HFE0566861</t>
  </si>
  <si>
    <t>27857</t>
  </si>
  <si>
    <t>51210106315338018166550010000278571139131140</t>
  </si>
  <si>
    <t>128600</t>
  </si>
  <si>
    <t>20210124-TIUB-000022</t>
  </si>
  <si>
    <t>HFE0591874</t>
  </si>
  <si>
    <t>27862</t>
  </si>
  <si>
    <t>51210106315338018166550010000278621139131140</t>
  </si>
  <si>
    <t>128601</t>
  </si>
  <si>
    <t>20210124-TIUB-000076</t>
  </si>
  <si>
    <t>HFE0538302</t>
  </si>
  <si>
    <t>27845</t>
  </si>
  <si>
    <t>51210106315338018166550010000278451912988256</t>
  </si>
  <si>
    <t>128622</t>
  </si>
  <si>
    <t>27849</t>
  </si>
  <si>
    <t>51210106315338018166550010000278491672035739</t>
  </si>
  <si>
    <t>20210124-TIUB-000075</t>
  </si>
  <si>
    <t>HFE0593117</t>
  </si>
  <si>
    <t>27860</t>
  </si>
  <si>
    <t>51210106315338018166550010000278601930956243</t>
  </si>
  <si>
    <t>128623</t>
  </si>
  <si>
    <t>27863</t>
  </si>
  <si>
    <t>51210106315338018166550010000278631428948576</t>
  </si>
  <si>
    <t>20210124-TIUB-000074</t>
  </si>
  <si>
    <t>HFE0543829</t>
  </si>
  <si>
    <t>128624</t>
  </si>
  <si>
    <t>27865</t>
  </si>
  <si>
    <t>51210106315338018166550010000278651572352230</t>
  </si>
  <si>
    <t>20210124-TIUB-000073</t>
  </si>
  <si>
    <t>HFE0538621</t>
  </si>
  <si>
    <t>27870</t>
  </si>
  <si>
    <t>51210106315338018166550010000278701746770414</t>
  </si>
  <si>
    <t>128625</t>
  </si>
  <si>
    <t>20210124-TIUB-000072</t>
  </si>
  <si>
    <t>HFE0602434</t>
  </si>
  <si>
    <t>128628</t>
  </si>
  <si>
    <t>27831</t>
  </si>
  <si>
    <t>51210106315338018166550010000278311139131143</t>
  </si>
  <si>
    <t>27872</t>
  </si>
  <si>
    <t>51210106315338018166550010000278721058792444</t>
  </si>
  <si>
    <t>20210124-TIUB-000070</t>
  </si>
  <si>
    <t>HFE0605069</t>
  </si>
  <si>
    <t>27880</t>
  </si>
  <si>
    <t>51210106315338018166550010000278801267077413</t>
  </si>
  <si>
    <t>128629</t>
  </si>
  <si>
    <t>P</t>
  </si>
  <si>
    <t>00.924.429/0001-75</t>
  </si>
  <si>
    <t>02.476.026/0008-02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</si>
</sst>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7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0" fontId="0" fillId="8" borderId="8" xfId="0" applyFill="1" applyBorder="1" applyAlignment="1">
      <alignment horizontal="right" wrapText="1"/>
    </xf>
    <xf numFmtId="1" fontId="0" fillId="7" borderId="8" xfId="0" applyNumberFormat="1" applyFill="1" applyBorder="1"/>
    <xf numFmtId="0" fontId="21" fillId="0" borderId="0" xfId="0" applyFont="1"/>
    <xf numFmtId="169" fontId="13" fillId="0" borderId="0" xfId="7" applyNumberFormat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0" borderId="0" xfId="0" applyNumberFormat="1" applyFont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28.378932175925" createdVersion="6" refreshedVersion="6" minRefreshableVersion="3" recordCount="61" xr:uid="{00000000-000A-0000-FFFF-FFFF31000000}">
  <cacheSource type="worksheet">
    <worksheetSource name="=tbl_dinamica"/>
  </cacheSource>
  <cacheFields count="28">
    <cacheField name="C1" numFmtId="0">
      <sharedItems/>
    </cacheField>
    <cacheField name="C2" numFmtId="14">
      <sharedItems containsSemiMixedTypes="0" containsNonDate="0" containsDate="1" containsString="0" minDate="2021-01-24T00:00:00" maxDate="2021-01-25T00:00:00"/>
    </cacheField>
    <cacheField name="C3" numFmtId="20">
      <sharedItems containsSemiMixedTypes="0" containsNonDate="0" containsDate="1" containsString="0" minDate="1899-12-30T18:09:35" maxDate="1899-12-30T22:05:21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4">
        <s v="COFCO INTERNATIONAL BRASIL S.A - CANARANA"/>
        <s v="06.315.338/0181-66" u="1"/>
        <s v="COFCO INTERNATIONAL BRASIL S.A. - UBERLANDIA" u="1"/>
        <s v="COFCO BRASIL S.A. - JATAI" u="1"/>
      </sharedItems>
    </cacheField>
    <cacheField name="C8" numFmtId="0">
      <sharedItems count="2">
        <s v="06.315.338/0181-66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92.429000000000002" maxValue="98.727999999999994"/>
    </cacheField>
    <cacheField name="C16" numFmtId="167">
      <sharedItems containsSemiMixedTypes="0" containsString="0" containsNumber="1" minValue="23" maxValue="24.01"/>
    </cacheField>
    <cacheField name="C17" numFmtId="167">
      <sharedItems containsSemiMixedTypes="0" containsString="0" containsNumber="1" minValue="69.429000000000002" maxValue="75.427999999999997"/>
    </cacheField>
    <cacheField name="C18" numFmtId="168">
      <sharedItems/>
    </cacheField>
    <cacheField name="C19" numFmtId="49">
      <sharedItems/>
    </cacheField>
    <cacheField name="C20" numFmtId="0">
      <sharedItems/>
    </cacheField>
    <cacheField name="C21" numFmtId="167">
      <sharedItems containsSemiMixedTypes="0" containsString="0" containsNumber="1" minValue="66366.3" maxValue="73258.899999999994"/>
    </cacheField>
    <cacheField name="C22" numFmtId="167">
      <sharedItems containsSemiMixedTypes="0" containsString="0" containsNumber="1" minValue="46.41" maxValue="51.23"/>
    </cacheField>
    <cacheField name="C23" numFmtId="167">
      <sharedItems containsSemiMixedTypes="0" containsString="0" containsNumber="1" minValue="0.48199999999999998" maxValue="51.04"/>
    </cacheField>
    <cacheField name="C24" numFmtId="49">
      <sharedItems/>
    </cacheField>
    <cacheField name="C25" numFmtId="49">
      <sharedItems/>
    </cacheField>
    <cacheField name="C26" numFmtId="0">
      <sharedItems/>
    </cacheField>
    <cacheField name="C27" numFmtId="0">
      <sharedItems/>
    </cacheField>
    <cacheField name="C28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s v="TIUB"/>
    <d v="2021-01-24T00:00:00"/>
    <d v="1899-12-30T18:09:35"/>
    <s v="20210124-TIUB-000003"/>
    <s v="C-199"/>
    <s v="Soja"/>
    <x v="0"/>
    <x v="0"/>
    <s v="COFCO INTERNATIONAL BRASIL S A - CANARANA"/>
    <s v="06.315.338/0181-66"/>
    <s v="COFCO INTERNATIONAL BRASIL S.A"/>
    <s v="06.315.338/0181-66"/>
    <m/>
    <s v="HFE0602043"/>
    <n v="93.677000000000007"/>
    <n v="23.3"/>
    <n v="70.376999999999995"/>
    <s v="TIUB"/>
    <s v="27822"/>
    <s v="1"/>
    <n v="67210"/>
    <n v="47"/>
    <n v="23.036999999999999"/>
    <s v="51210106315338018166550010000278221289000649"/>
    <s v="TIPLAM - Porto Inácio Antonio Mesquita - Santos"/>
    <s v="112"/>
    <s v="128580"/>
    <m/>
  </r>
  <r>
    <s v="TIUB"/>
    <d v="2021-01-24T00:00:00"/>
    <d v="1899-12-30T18:09:35"/>
    <s v="20210124-TIUB-000003"/>
    <s v="C-199"/>
    <s v="Soja"/>
    <x v="0"/>
    <x v="0"/>
    <s v="COFCO INTERNATIONAL BRASIL S A - CANARANA"/>
    <s v="06.315.338/0181-66"/>
    <s v="COFCO INTERNATIONAL BRASIL S.A"/>
    <s v="06.315.338/0181-66"/>
    <m/>
    <s v="HFE0602043"/>
    <n v="93.677000000000007"/>
    <n v="23.3"/>
    <n v="70.376999999999995"/>
    <s v="TIUB"/>
    <s v="27821"/>
    <s v="1"/>
    <n v="67696.2"/>
    <n v="47.34"/>
    <n v="47.34"/>
    <s v="51210106315338018166550010000278211289000641"/>
    <s v="TIPLAM - Porto Inácio Antonio Mesquita - Santos"/>
    <s v="112"/>
    <s v="128580"/>
    <m/>
  </r>
  <r>
    <s v="TIUB"/>
    <d v="2021-01-24T00:00:00"/>
    <d v="1899-12-30T18:14:39"/>
    <s v="20210124-TIUB-000002"/>
    <s v="C-199"/>
    <s v="Soja"/>
    <x v="0"/>
    <x v="0"/>
    <s v="COFCO INTERNATIONAL BRASIL S A - CANARANA"/>
    <s v="06.315.338/0181-66"/>
    <s v="COFCO INTERNATIONAL BRASIL S.A"/>
    <s v="06.315.338/0181-66"/>
    <m/>
    <s v="HFE0539112"/>
    <n v="94.108999999999995"/>
    <n v="23"/>
    <n v="71.108999999999995"/>
    <s v="TIUB"/>
    <s v="27825"/>
    <s v="1"/>
    <n v="70127.199999999997"/>
    <n v="49.04"/>
    <n v="23.989000000000001"/>
    <s v="51210106315338018166550010000278251365360681"/>
    <s v="TIPLAM - Porto Inácio Antonio Mesquita - Santos"/>
    <s v="112"/>
    <s v="128582"/>
    <m/>
  </r>
  <r>
    <s v="TIUB"/>
    <d v="2021-01-24T00:00:00"/>
    <d v="1899-12-30T18:14:39"/>
    <s v="20210124-TIUB-000002"/>
    <s v="C-199"/>
    <s v="Soja"/>
    <x v="0"/>
    <x v="0"/>
    <s v="COFCO INTERNATIONAL BRASIL S A - CANARANA"/>
    <s v="06.315.338/0181-66"/>
    <s v="COFCO INTERNATIONAL BRASIL S.A"/>
    <s v="06.315.338/0181-66"/>
    <m/>
    <s v="HFE0539112"/>
    <n v="94.108999999999995"/>
    <n v="23"/>
    <n v="71.108999999999995"/>
    <s v="TIUB"/>
    <s v="27824"/>
    <s v="1"/>
    <n v="67410.2"/>
    <n v="47.14"/>
    <n v="47.12"/>
    <s v="51210106315338018166550010000278241474551545"/>
    <s v="TIPLAM - Porto Inácio Antonio Mesquita - Santos"/>
    <s v="112"/>
    <s v="128582"/>
    <m/>
  </r>
  <r>
    <s v="TIUB"/>
    <d v="2021-01-24T00:00:00"/>
    <d v="1899-12-30T18:22:44"/>
    <s v="20210124-TIUB-000004"/>
    <s v="C-199"/>
    <s v="Soja"/>
    <x v="0"/>
    <x v="0"/>
    <s v="COFCO INTERNATIONAL BRASIL S A - CANARANA"/>
    <s v="06.315.338/0181-66"/>
    <s v="COFCO INTERNATIONAL BRASIL S.A"/>
    <s v="06.315.338/0181-66"/>
    <m/>
    <s v="HFE0599093"/>
    <n v="95.111999999999995"/>
    <n v="23"/>
    <n v="72.111999999999995"/>
    <s v="TIUB"/>
    <s v="27825"/>
    <s v="1"/>
    <n v="70127.199999999997"/>
    <n v="49.04"/>
    <n v="25.030999999999999"/>
    <s v="51210106315338018166550010000278251365360681"/>
    <s v="TIPLAM - Porto Inácio Antonio Mesquita - Santos"/>
    <s v="112"/>
    <s v="128583"/>
    <m/>
  </r>
  <r>
    <s v="TIUB"/>
    <d v="2021-01-24T00:00:00"/>
    <d v="1899-12-30T18:22:44"/>
    <s v="20210124-TIUB-000004"/>
    <s v="C-199"/>
    <s v="Soja"/>
    <x v="0"/>
    <x v="0"/>
    <s v="COFCO INTERNATIONAL BRASIL S A - CANARANA"/>
    <s v="06.315.338/0181-66"/>
    <s v="COFCO INTERNATIONAL BRASIL S.A"/>
    <s v="06.315.338/0181-66"/>
    <m/>
    <s v="HFE0599093"/>
    <n v="95.111999999999995"/>
    <n v="23"/>
    <n v="72.111999999999995"/>
    <s v="TIUB"/>
    <s v="27826"/>
    <s v="1"/>
    <n v="70899.399999999994"/>
    <n v="49.58"/>
    <n v="47.081000000000003"/>
    <s v="51210106315338018166550010000278261933930669"/>
    <s v="TIPLAM - Porto Inácio Antonio Mesquita - Santos"/>
    <s v="112"/>
    <s v="128583"/>
    <m/>
  </r>
  <r>
    <s v="TIUB"/>
    <d v="2021-01-24T00:00:00"/>
    <d v="1899-12-30T18:33:36"/>
    <s v="20210124-TIUB-000005"/>
    <s v="C-199"/>
    <s v="Soja"/>
    <x v="0"/>
    <x v="0"/>
    <s v="COFCO INTERNATIONAL BRASIL S A - CANARANA"/>
    <s v="06.315.338/0181-66"/>
    <s v="COFCO INTERNATIONAL BRASIL S.A"/>
    <s v="06.315.338/0181-66"/>
    <m/>
    <s v="HFE0589756"/>
    <n v="97.665999999999997"/>
    <n v="23.3"/>
    <n v="74.366"/>
    <s v="TIUB"/>
    <s v="27830"/>
    <s v="1"/>
    <n v="72372.3"/>
    <n v="50.61"/>
    <n v="27.366"/>
    <s v="51210106315338018166550010000278301268979761"/>
    <s v="TIPLAM - Porto Inácio Antonio Mesquita - Santos"/>
    <s v="112"/>
    <s v="128584"/>
    <m/>
  </r>
  <r>
    <s v="TIUB"/>
    <d v="2021-01-24T00:00:00"/>
    <d v="1899-12-30T18:33:36"/>
    <s v="20210124-TIUB-000005"/>
    <s v="C-199"/>
    <s v="Soja"/>
    <x v="0"/>
    <x v="0"/>
    <s v="COFCO INTERNATIONAL BRASIL S A - CANARANA"/>
    <s v="06.315.338/0181-66"/>
    <s v="COFCO INTERNATIONAL BRASIL S.A"/>
    <s v="06.315.338/0181-66"/>
    <m/>
    <s v="HFE0589756"/>
    <n v="97.665999999999997"/>
    <n v="23.3"/>
    <n v="74.366"/>
    <s v="TIUB"/>
    <s v="27827"/>
    <s v="1"/>
    <n v="67238.600000000006"/>
    <n v="47.02"/>
    <n v="47"/>
    <s v="51210106315338018166550010000278271888431317"/>
    <s v="TIPLAM - Porto Inácio Antonio Mesquita - Santos"/>
    <s v="112"/>
    <s v="128584"/>
    <m/>
  </r>
  <r>
    <s v="TIUB"/>
    <d v="2021-01-24T00:00:00"/>
    <d v="1899-12-30T18:36:21"/>
    <s v="20210124-TIUB-000006"/>
    <s v="C-199"/>
    <s v="Soja"/>
    <x v="0"/>
    <x v="0"/>
    <s v="COFCO INTERNATIONAL BRASIL S A - CANARANA"/>
    <s v="06.315.338/0181-66"/>
    <s v="COFCO INTERNATIONAL BRASIL S.A"/>
    <s v="06.315.338/0181-66"/>
    <m/>
    <s v="HFE0543331"/>
    <n v="96.57"/>
    <n v="23.3"/>
    <n v="73.27"/>
    <s v="TIUB"/>
    <s v="27830"/>
    <s v="1"/>
    <n v="72372.3"/>
    <n v="50.61"/>
    <n v="23.244"/>
    <s v="51210106315338018166550010000278301268979761"/>
    <s v="TIPLAM - Porto Inácio Antonio Mesquita - Santos"/>
    <s v="112"/>
    <s v="128585"/>
    <m/>
  </r>
  <r>
    <s v="TIUB"/>
    <d v="2021-01-24T00:00:00"/>
    <d v="1899-12-30T18:36:21"/>
    <s v="20210124-TIUB-000006"/>
    <s v="C-199"/>
    <s v="Soja"/>
    <x v="0"/>
    <x v="0"/>
    <s v="COFCO INTERNATIONAL BRASIL S A - CANARANA"/>
    <s v="06.315.338/0181-66"/>
    <s v="COFCO INTERNATIONAL BRASIL S.A"/>
    <s v="06.315.338/0181-66"/>
    <m/>
    <s v="HFE0543331"/>
    <n v="96.57"/>
    <n v="23.3"/>
    <n v="73.27"/>
    <s v="TIUB"/>
    <s v="27832"/>
    <s v="1"/>
    <n v="70813.600000000006"/>
    <n v="49.52"/>
    <n v="49.52"/>
    <s v="51210106315338018166550010000278321925430684"/>
    <s v="TIPLAM - Porto Inácio Antonio Mesquita - Santos"/>
    <s v="112"/>
    <s v="128585"/>
    <m/>
  </r>
  <r>
    <s v="TIUB"/>
    <d v="2021-01-24T00:00:00"/>
    <d v="1899-12-30T18:36:21"/>
    <s v="20210124-TIUB-000006"/>
    <s v="C-199"/>
    <s v="Soja"/>
    <x v="0"/>
    <x v="0"/>
    <s v="COFCO INTERNATIONAL BRASIL S A - CANARANA"/>
    <s v="06.315.338/0181-66"/>
    <s v="COFCO INTERNATIONAL BRASIL S.A"/>
    <s v="06.315.338/0181-66"/>
    <m/>
    <s v="HFE0543331"/>
    <n v="96.57"/>
    <n v="23.3"/>
    <n v="73.27"/>
    <s v="TIUB"/>
    <s v="27833"/>
    <s v="1"/>
    <n v="73216"/>
    <n v="51.2"/>
    <n v="0.50600000000000001"/>
    <s v="51210106315338018166550010000278331139131148"/>
    <s v="TIPLAM - Porto Inácio Antonio Mesquita - Santos"/>
    <s v="112"/>
    <s v="128585"/>
    <m/>
  </r>
  <r>
    <s v="TIUB"/>
    <d v="2021-01-24T00:00:00"/>
    <d v="1899-12-30T18:38:53"/>
    <s v="20210124-TIUB-000007"/>
    <s v="C-199"/>
    <s v="Soja"/>
    <x v="0"/>
    <x v="0"/>
    <s v="COFCO INTERNATIONAL BRASIL S A - CANARANA"/>
    <s v="06.315.338/0181-66"/>
    <s v="COFCO INTERNATIONAL BRASIL S.A"/>
    <s v="06.315.338/0181-66"/>
    <m/>
    <s v="HFE0629570"/>
    <n v="97.765000000000001"/>
    <n v="23.3"/>
    <n v="74.465000000000003"/>
    <s v="TIUB"/>
    <s v="27835"/>
    <s v="1"/>
    <n v="73030.100000000006"/>
    <n v="51.07"/>
    <n v="23.931000000000001"/>
    <s v="51210106315338018166550010000278351838390856"/>
    <s v="TIPLAM - Porto Inácio Antonio Mesquita - Santos"/>
    <s v="112"/>
    <s v="128586"/>
    <m/>
  </r>
  <r>
    <s v="TIUB"/>
    <d v="2021-01-24T00:00:00"/>
    <d v="1899-12-30T18:38:53"/>
    <s v="20210124-TIUB-000007"/>
    <s v="C-199"/>
    <s v="Soja"/>
    <x v="0"/>
    <x v="0"/>
    <s v="COFCO INTERNATIONAL BRASIL S A - CANARANA"/>
    <s v="06.315.338/0181-66"/>
    <s v="COFCO INTERNATIONAL BRASIL S.A"/>
    <s v="06.315.338/0181-66"/>
    <m/>
    <s v="HFE0629570"/>
    <n v="97.765000000000001"/>
    <n v="23.3"/>
    <n v="74.465000000000003"/>
    <s v="TIUB"/>
    <s v="27833"/>
    <s v="1"/>
    <n v="73216"/>
    <n v="51.2"/>
    <n v="50.533999999999999"/>
    <s v="51210106315338018166550010000278331139131148"/>
    <s v="TIPLAM - Porto Inácio Antonio Mesquita - Santos"/>
    <s v="112"/>
    <s v="128586"/>
    <m/>
  </r>
  <r>
    <s v="TIUB"/>
    <d v="2021-01-24T00:00:00"/>
    <d v="1899-12-30T18:40:12"/>
    <s v="20210124-TIUB-000008"/>
    <s v="C-199"/>
    <s v="Soja"/>
    <x v="0"/>
    <x v="0"/>
    <s v="COFCO INTERNATIONAL BRASIL S A - CANARANA"/>
    <s v="06.315.338/0181-66"/>
    <s v="COFCO INTERNATIONAL BRASIL S.A"/>
    <s v="06.315.338/0181-66"/>
    <m/>
    <s v="HFE0568791"/>
    <n v="93.037000000000006"/>
    <n v="23"/>
    <n v="70.037000000000006"/>
    <s v="TIUB"/>
    <s v="27836"/>
    <s v="1"/>
    <n v="71185.399999999994"/>
    <n v="49.78"/>
    <n v="42.898000000000003"/>
    <s v="51210106315338018166550010000278361139131140"/>
    <s v="TIPLAM - Porto Inácio Antonio Mesquita - Santos"/>
    <s v="112"/>
    <s v="128587"/>
    <m/>
  </r>
  <r>
    <s v="TIUB"/>
    <d v="2021-01-24T00:00:00"/>
    <d v="1899-12-30T18:40:12"/>
    <s v="20210124-TIUB-000008"/>
    <s v="C-199"/>
    <s v="Soja"/>
    <x v="0"/>
    <x v="0"/>
    <s v="COFCO INTERNATIONAL BRASIL S A - CANARANA"/>
    <s v="06.315.338/0181-66"/>
    <s v="COFCO INTERNATIONAL BRASIL S.A"/>
    <s v="06.315.338/0181-66"/>
    <m/>
    <s v="HFE0568791"/>
    <n v="93.037000000000006"/>
    <n v="23"/>
    <n v="70.037000000000006"/>
    <s v="TIUB"/>
    <s v="27835"/>
    <s v="1"/>
    <n v="73030.100000000006"/>
    <n v="51.07"/>
    <n v="27.138999999999999"/>
    <s v="51210106315338018166550010000278351838390856"/>
    <s v="TIPLAM - Porto Inácio Antonio Mesquita - Santos"/>
    <s v="112"/>
    <s v="128587"/>
    <m/>
  </r>
  <r>
    <s v="TIUB"/>
    <d v="2021-01-24T00:00:00"/>
    <d v="1899-12-30T18:41:57"/>
    <s v="20210124-TIUB-000009"/>
    <s v="C-199"/>
    <s v="Soja"/>
    <x v="0"/>
    <x v="0"/>
    <s v="COFCO INTERNATIONAL BRASIL S A - CANARANA"/>
    <s v="06.315.338/0181-66"/>
    <s v="COFCO INTERNATIONAL BRASIL S.A"/>
    <s v="06.315.338/0181-66"/>
    <m/>
    <s v="HFE0544019"/>
    <n v="93.92"/>
    <n v="23.3"/>
    <n v="70.62"/>
    <s v="TIUB"/>
    <s v="27836"/>
    <s v="1"/>
    <n v="71185.399999999994"/>
    <n v="49.78"/>
    <n v="6.8819999999999997"/>
    <s v="51210106315338018166550010000278361139131140"/>
    <s v="TIPLAM - Porto Inácio Antonio Mesquita - Santos"/>
    <s v="112"/>
    <s v="128588"/>
    <m/>
  </r>
  <r>
    <s v="TIUB"/>
    <d v="2021-01-24T00:00:00"/>
    <d v="1899-12-30T18:41:57"/>
    <s v="20210124-TIUB-000009"/>
    <s v="C-199"/>
    <s v="Soja"/>
    <x v="0"/>
    <x v="0"/>
    <s v="COFCO INTERNATIONAL BRASIL S A - CANARANA"/>
    <s v="06.315.338/0181-66"/>
    <s v="COFCO INTERNATIONAL BRASIL S.A"/>
    <s v="06.315.338/0181-66"/>
    <m/>
    <s v="HFE0544019"/>
    <n v="93.92"/>
    <n v="23.3"/>
    <n v="70.62"/>
    <s v="TIUB"/>
    <s v="27838"/>
    <s v="1"/>
    <n v="71357"/>
    <n v="49.9"/>
    <n v="13.178000000000001"/>
    <s v="51210106315338018166550010000278381790527638"/>
    <s v="TIPLAM - Porto Inácio Antonio Mesquita - Santos"/>
    <s v="112"/>
    <s v="128588"/>
    <m/>
  </r>
  <r>
    <s v="TIUB"/>
    <d v="2021-01-24T00:00:00"/>
    <d v="1899-12-30T18:41:57"/>
    <s v="20210124-TIUB-000009"/>
    <s v="C-199"/>
    <s v="Soja"/>
    <x v="0"/>
    <x v="0"/>
    <s v="COFCO INTERNATIONAL BRASIL S A - CANARANA"/>
    <s v="06.315.338/0181-66"/>
    <s v="COFCO INTERNATIONAL BRASIL S.A"/>
    <s v="06.315.338/0181-66"/>
    <m/>
    <s v="HFE0544019"/>
    <n v="93.92"/>
    <n v="23.3"/>
    <n v="70.62"/>
    <s v="TIUB"/>
    <s v="27837"/>
    <s v="1"/>
    <n v="72300.800000000003"/>
    <n v="50.56"/>
    <n v="50.56"/>
    <s v="51210106315338018166550010000278371730383594"/>
    <s v="TIPLAM - Porto Inácio Antonio Mesquita - Santos"/>
    <s v="112"/>
    <s v="128588"/>
    <m/>
  </r>
  <r>
    <s v="TIUB"/>
    <d v="2021-01-24T00:00:00"/>
    <d v="1899-12-30T18:44:54"/>
    <s v="20210124-TIUB-000010"/>
    <s v="C-199"/>
    <s v="Soja"/>
    <x v="0"/>
    <x v="0"/>
    <s v="COFCO INTERNATIONAL BRASIL S A - CANARANA"/>
    <s v="06.315.338/0181-66"/>
    <s v="COFCO INTERNATIONAL BRASIL S.A"/>
    <s v="06.315.338/0181-66"/>
    <m/>
    <s v="HFE0544361"/>
    <n v="96.033000000000001"/>
    <n v="23.3"/>
    <n v="72.733000000000004"/>
    <s v="TIUB"/>
    <s v="27839"/>
    <s v="1"/>
    <n v="67152.800000000003"/>
    <n v="46.96"/>
    <n v="36.011000000000003"/>
    <s v="51210106315338018166550010000278391413448224"/>
    <s v="TIPLAM - Porto Inácio Antonio Mesquita - Santos"/>
    <s v="112"/>
    <s v="128589"/>
    <m/>
  </r>
  <r>
    <s v="TIUB"/>
    <d v="2021-01-24T00:00:00"/>
    <d v="1899-12-30T18:44:54"/>
    <s v="20210124-TIUB-000010"/>
    <s v="C-199"/>
    <s v="Soja"/>
    <x v="0"/>
    <x v="0"/>
    <s v="COFCO INTERNATIONAL BRASIL S A - CANARANA"/>
    <s v="06.315.338/0181-66"/>
    <s v="COFCO INTERNATIONAL BRASIL S.A"/>
    <s v="06.315.338/0181-66"/>
    <m/>
    <s v="HFE0544361"/>
    <n v="96.033000000000001"/>
    <n v="23.3"/>
    <n v="72.733000000000004"/>
    <s v="TIUB"/>
    <s v="27838"/>
    <s v="1"/>
    <n v="71357"/>
    <n v="49.9"/>
    <n v="36.722000000000001"/>
    <s v="51210106315338018166550010000278381790527638"/>
    <s v="TIPLAM - Porto Inácio Antonio Mesquita - Santos"/>
    <s v="112"/>
    <s v="128589"/>
    <m/>
  </r>
  <r>
    <s v="TIUB"/>
    <d v="2021-01-24T00:00:00"/>
    <d v="1899-12-30T18:46:26"/>
    <s v="20210124-TIUB-000011"/>
    <s v="C-199"/>
    <s v="Soja"/>
    <x v="0"/>
    <x v="0"/>
    <s v="COFCO INTERNATIONAL BRASIL S A - CANARANA"/>
    <s v="06.315.338/0181-66"/>
    <s v="COFCO INTERNATIONAL BRASIL S.A"/>
    <s v="06.315.338/0181-66"/>
    <m/>
    <s v="HFE0602761"/>
    <n v="94.804000000000002"/>
    <n v="23.3"/>
    <n v="71.504000000000005"/>
    <s v="TIUB"/>
    <s v="27840"/>
    <s v="1"/>
    <n v="67324.399999999994"/>
    <n v="47.08"/>
    <n v="47.06"/>
    <s v="51210106315338018166550010000278401472510640"/>
    <s v="TIPLAM - Porto Inácio Antonio Mesquita - Santos"/>
    <s v="112"/>
    <s v="128591"/>
    <m/>
  </r>
  <r>
    <s v="TIUB"/>
    <d v="2021-01-24T00:00:00"/>
    <d v="1899-12-30T18:46:26"/>
    <s v="20210124-TIUB-000011"/>
    <s v="C-199"/>
    <s v="Soja"/>
    <x v="0"/>
    <x v="0"/>
    <s v="COFCO INTERNATIONAL BRASIL S A - CANARANA"/>
    <s v="06.315.338/0181-66"/>
    <s v="COFCO INTERNATIONAL BRASIL S.A"/>
    <s v="06.315.338/0181-66"/>
    <m/>
    <s v="HFE0602761"/>
    <n v="94.804000000000002"/>
    <n v="23.3"/>
    <n v="71.504000000000005"/>
    <s v="TIUB"/>
    <s v="27841"/>
    <s v="1"/>
    <n v="69955.600000000006"/>
    <n v="48.92"/>
    <n v="13.494999999999999"/>
    <s v="51210106315338018166550010000278411560493974"/>
    <s v="TIPLAM - Porto Inácio Antonio Mesquita - Santos"/>
    <s v="112"/>
    <s v="128591"/>
    <m/>
  </r>
  <r>
    <s v="TIUB"/>
    <d v="2021-01-24T00:00:00"/>
    <d v="1899-12-30T18:46:26"/>
    <s v="20210124-TIUB-000011"/>
    <s v="C-199"/>
    <s v="Soja"/>
    <x v="0"/>
    <x v="0"/>
    <s v="COFCO INTERNATIONAL BRASIL S A - CANARANA"/>
    <s v="06.315.338/0181-66"/>
    <s v="COFCO INTERNATIONAL BRASIL S.A"/>
    <s v="06.315.338/0181-66"/>
    <m/>
    <s v="HFE0602761"/>
    <n v="94.804000000000002"/>
    <n v="23.3"/>
    <n v="71.504000000000005"/>
    <s v="TIUB"/>
    <s v="27839"/>
    <s v="1"/>
    <n v="67152.800000000003"/>
    <n v="46.96"/>
    <n v="10.949"/>
    <s v="51210106315338018166550010000278391413448224"/>
    <s v="TIPLAM - Porto Inácio Antonio Mesquita - Santos"/>
    <s v="112"/>
    <s v="128591"/>
    <m/>
  </r>
  <r>
    <s v="TIUB"/>
    <d v="2021-01-24T00:00:00"/>
    <d v="1899-12-30T18:47:45"/>
    <s v="20210124-TIUB-000012"/>
    <s v="C-199"/>
    <s v="Soja"/>
    <x v="0"/>
    <x v="0"/>
    <s v="COFCO INTERNATIONAL BRASIL S A - CANARANA"/>
    <s v="06.315.338/0181-66"/>
    <s v="COFCO INTERNATIONAL BRASIL S.A"/>
    <s v="06.315.338/0181-66"/>
    <m/>
    <s v="HFE0591106"/>
    <n v="98.388999999999996"/>
    <n v="23.3"/>
    <n v="75.088999999999999"/>
    <s v="TIUB"/>
    <s v="27841"/>
    <s v="1"/>
    <n v="69955.600000000006"/>
    <n v="48.92"/>
    <n v="35.424999999999997"/>
    <s v="51210106315338018166550010000278411560493974"/>
    <s v="TIPLAM - Porto Inácio Antonio Mesquita - Santos"/>
    <s v="112"/>
    <s v="128592"/>
    <m/>
  </r>
  <r>
    <s v="TIUB"/>
    <d v="2021-01-24T00:00:00"/>
    <d v="1899-12-30T18:47:45"/>
    <s v="20210124-TIUB-000012"/>
    <s v="C-199"/>
    <s v="Soja"/>
    <x v="0"/>
    <x v="0"/>
    <s v="COFCO INTERNATIONAL BRASIL S A - CANARANA"/>
    <s v="06.315.338/0181-66"/>
    <s v="COFCO INTERNATIONAL BRASIL S.A"/>
    <s v="06.315.338/0181-66"/>
    <m/>
    <s v="HFE0591106"/>
    <n v="98.388999999999996"/>
    <n v="23.3"/>
    <n v="75.088999999999999"/>
    <s v="TIUB"/>
    <s v="27842"/>
    <s v="1"/>
    <n v="69669.600000000006"/>
    <n v="48.72"/>
    <n v="39.664000000000001"/>
    <s v="51210106315338018166550010000278421605378025"/>
    <s v="TIPLAM - Porto Inácio Antonio Mesquita - Santos"/>
    <s v="112"/>
    <s v="128592"/>
    <m/>
  </r>
  <r>
    <s v="TIUB"/>
    <d v="2021-01-24T00:00:00"/>
    <d v="1899-12-30T18:49:47"/>
    <s v="20210124-TIUB-000013"/>
    <s v="C-199"/>
    <s v="Soja"/>
    <x v="0"/>
    <x v="0"/>
    <s v="COFCO INTERNATIONAL BRASIL S A - CANARANA"/>
    <s v="06.315.338/0181-66"/>
    <s v="COFCO INTERNATIONAL BRASIL S.A"/>
    <s v="06.315.338/0181-66"/>
    <m/>
    <s v="HFE0591092"/>
    <n v="94.100999999999999"/>
    <n v="23.3"/>
    <n v="70.801000000000002"/>
    <s v="TIUB"/>
    <s v="27846"/>
    <s v="1"/>
    <n v="71828.899999999994"/>
    <n v="50.23"/>
    <n v="11.305"/>
    <s v="51210106315338018166550010000278461407603536"/>
    <s v="TIPLAM - Porto Inácio Antonio Mesquita - Santos"/>
    <s v="112"/>
    <s v="128593"/>
    <m/>
  </r>
  <r>
    <s v="TIUB"/>
    <d v="2021-01-24T00:00:00"/>
    <d v="1899-12-30T18:49:47"/>
    <s v="20210124-TIUB-000013"/>
    <s v="C-199"/>
    <s v="Soja"/>
    <x v="0"/>
    <x v="0"/>
    <s v="COFCO INTERNATIONAL BRASIL S A - CANARANA"/>
    <s v="06.315.338/0181-66"/>
    <s v="COFCO INTERNATIONAL BRASIL S.A"/>
    <s v="06.315.338/0181-66"/>
    <m/>
    <s v="HFE0591092"/>
    <n v="94.100999999999999"/>
    <n v="23.3"/>
    <n v="70.801000000000002"/>
    <s v="TIUB"/>
    <s v="27842"/>
    <s v="1"/>
    <n v="69669.600000000006"/>
    <n v="48.72"/>
    <n v="9.0559999999999992"/>
    <s v="51210106315338018166550010000278421605378025"/>
    <s v="TIPLAM - Porto Inácio Antonio Mesquita - Santos"/>
    <s v="112"/>
    <s v="128593"/>
    <m/>
  </r>
  <r>
    <s v="TIUB"/>
    <d v="2021-01-24T00:00:00"/>
    <d v="1899-12-30T18:49:47"/>
    <s v="20210124-TIUB-000013"/>
    <s v="C-199"/>
    <s v="Soja"/>
    <x v="0"/>
    <x v="0"/>
    <s v="COFCO INTERNATIONAL BRASIL S A - CANARANA"/>
    <s v="06.315.338/0181-66"/>
    <s v="COFCO INTERNATIONAL BRASIL S.A"/>
    <s v="06.315.338/0181-66"/>
    <m/>
    <s v="HFE0591092"/>
    <n v="94.100999999999999"/>
    <n v="23.3"/>
    <n v="70.801000000000002"/>
    <s v="TIUB"/>
    <s v="27843"/>
    <s v="1"/>
    <n v="72129.2"/>
    <n v="50.44"/>
    <n v="50.44"/>
    <s v="51210106315338018166550010000278431189632384"/>
    <s v="TIPLAM - Porto Inácio Antonio Mesquita - Santos"/>
    <s v="112"/>
    <s v="128593"/>
    <m/>
  </r>
  <r>
    <s v="TIUB"/>
    <d v="2021-01-24T00:00:00"/>
    <d v="1899-12-30T18:52:36"/>
    <s v="20210124-TIUB-000014"/>
    <s v="C-199"/>
    <s v="Soja"/>
    <x v="0"/>
    <x v="0"/>
    <s v="COFCO INTERNATIONAL BRASIL S A - CANARANA"/>
    <s v="06.315.338/0181-66"/>
    <s v="COFCO INTERNATIONAL BRASIL S.A"/>
    <s v="06.315.338/0181-66"/>
    <m/>
    <s v="HFE0593265"/>
    <n v="98.007000000000005"/>
    <n v="23.3"/>
    <n v="74.706999999999994"/>
    <s v="TIUB"/>
    <s v="27846"/>
    <s v="1"/>
    <n v="71828.899999999994"/>
    <n v="50.23"/>
    <n v="38.924999999999997"/>
    <s v="51210106315338018166550010000278461407603536"/>
    <s v="TIPLAM - Porto Inácio Antonio Mesquita - Santos"/>
    <s v="112"/>
    <s v="128594"/>
    <m/>
  </r>
  <r>
    <s v="TIUB"/>
    <d v="2021-01-24T00:00:00"/>
    <d v="1899-12-30T18:52:36"/>
    <s v="20210124-TIUB-000014"/>
    <s v="C-199"/>
    <s v="Soja"/>
    <x v="0"/>
    <x v="0"/>
    <s v="COFCO INTERNATIONAL BRASIL S A - CANARANA"/>
    <s v="06.315.338/0181-66"/>
    <s v="COFCO INTERNATIONAL BRASIL S.A"/>
    <s v="06.315.338/0181-66"/>
    <m/>
    <s v="HFE0593265"/>
    <n v="98.007000000000005"/>
    <n v="23.3"/>
    <n v="74.706999999999994"/>
    <s v="TIUB"/>
    <s v="27847"/>
    <s v="1"/>
    <n v="72443.8"/>
    <n v="50.66"/>
    <n v="35.781999999999996"/>
    <s v="51210106315338018166550010000278471060106690"/>
    <s v="TIPLAM - Porto Inácio Antonio Mesquita - Santos"/>
    <s v="112"/>
    <s v="128594"/>
    <m/>
  </r>
  <r>
    <s v="TIUB"/>
    <d v="2021-01-24T00:00:00"/>
    <d v="1899-12-30T18:55:40"/>
    <s v="20210124-TIUB-000016"/>
    <s v="C-199"/>
    <s v="Soja"/>
    <x v="0"/>
    <x v="0"/>
    <s v="COFCO INTERNATIONAL BRASIL S A - CANARANA"/>
    <s v="06.315.338/0181-66"/>
    <s v="COFCO INTERNATIONAL BRASIL S.A"/>
    <s v="06.315.338/0181-66"/>
    <m/>
    <s v="HFE0627135"/>
    <n v="97.317999999999998"/>
    <n v="23.3"/>
    <n v="74.018000000000001"/>
    <s v="TIUB"/>
    <s v="27847"/>
    <s v="1"/>
    <n v="72443.8"/>
    <n v="50.66"/>
    <n v="14.878"/>
    <s v="51210106315338018166550010000278471060106690"/>
    <s v="TIPLAM - Porto Inácio Antonio Mesquita - Santos"/>
    <s v="112"/>
    <s v="128595"/>
    <m/>
  </r>
  <r>
    <s v="TIUB"/>
    <d v="2021-01-24T00:00:00"/>
    <d v="1899-12-30T18:55:40"/>
    <s v="20210124-TIUB-000016"/>
    <s v="C-199"/>
    <s v="Soja"/>
    <x v="0"/>
    <x v="0"/>
    <s v="COFCO INTERNATIONAL BRASIL S A - CANARANA"/>
    <s v="06.315.338/0181-66"/>
    <s v="COFCO INTERNATIONAL BRASIL S.A"/>
    <s v="06.315.338/0181-66"/>
    <m/>
    <s v="HFE0627135"/>
    <n v="97.317999999999998"/>
    <n v="23.3"/>
    <n v="74.018000000000001"/>
    <s v="TIUB"/>
    <s v="27848"/>
    <s v="1"/>
    <n v="71099.600000000006"/>
    <n v="49.72"/>
    <n v="49.72"/>
    <s v="51210106315338018166550010000278481407603530"/>
    <s v="TIPLAM - Porto Inácio Antonio Mesquita - Santos"/>
    <s v="112"/>
    <s v="128595"/>
    <m/>
  </r>
  <r>
    <s v="TIUB"/>
    <d v="2021-01-24T00:00:00"/>
    <d v="1899-12-30T18:55:40"/>
    <s v="20210124-TIUB-000016"/>
    <s v="C-199"/>
    <s v="Soja"/>
    <x v="0"/>
    <x v="0"/>
    <s v="COFCO INTERNATIONAL BRASIL S A - CANARANA"/>
    <s v="06.315.338/0181-66"/>
    <s v="COFCO INTERNATIONAL BRASIL S.A"/>
    <s v="06.315.338/0181-66"/>
    <m/>
    <s v="HFE0627135"/>
    <n v="97.317999999999998"/>
    <n v="23.3"/>
    <n v="74.018000000000001"/>
    <s v="TIUB"/>
    <s v="27850"/>
    <s v="1"/>
    <n v="66366.3"/>
    <n v="46.41"/>
    <n v="9.42"/>
    <s v="51210106315338018166550010000278501298364083"/>
    <s v="TIPLAM - Porto Inácio Antonio Mesquita - Santos"/>
    <s v="112"/>
    <s v="128595"/>
    <m/>
  </r>
  <r>
    <s v="TIUB"/>
    <d v="2021-01-24T00:00:00"/>
    <d v="1899-12-30T18:57:14"/>
    <s v="20210124-TIUB-000017"/>
    <s v="C-199"/>
    <s v="Soja"/>
    <x v="0"/>
    <x v="0"/>
    <s v="COFCO INTERNATIONAL BRASIL S A - CANARANA"/>
    <s v="06.315.338/0181-66"/>
    <s v="COFCO INTERNATIONAL BRASIL S.A"/>
    <s v="06.315.338/0181-66"/>
    <m/>
    <s v="HFE0598691"/>
    <n v="93.093000000000004"/>
    <n v="23"/>
    <n v="70.093000000000004"/>
    <s v="TIUB"/>
    <s v="27851"/>
    <s v="1"/>
    <n v="70155.8"/>
    <n v="49.06"/>
    <n v="33.103000000000002"/>
    <s v="51210106315338018166550010000278511218215326"/>
    <s v="TIPLAM - Porto Inácio Antonio Mesquita - Santos"/>
    <s v="112"/>
    <s v="128596"/>
    <m/>
  </r>
  <r>
    <s v="TIUB"/>
    <d v="2021-01-24T00:00:00"/>
    <d v="1899-12-30T18:57:14"/>
    <s v="20210124-TIUB-000017"/>
    <s v="C-199"/>
    <s v="Soja"/>
    <x v="0"/>
    <x v="0"/>
    <s v="COFCO INTERNATIONAL BRASIL S A - CANARANA"/>
    <s v="06.315.338/0181-66"/>
    <s v="COFCO INTERNATIONAL BRASIL S.A"/>
    <s v="06.315.338/0181-66"/>
    <m/>
    <s v="HFE0598691"/>
    <n v="93.093000000000004"/>
    <n v="23"/>
    <n v="70.093000000000004"/>
    <s v="TIUB"/>
    <s v="27850"/>
    <s v="1"/>
    <n v="66366.3"/>
    <n v="46.41"/>
    <n v="36.99"/>
    <s v="51210106315338018166550010000278501298364083"/>
    <s v="TIPLAM - Porto Inácio Antonio Mesquita - Santos"/>
    <s v="112"/>
    <s v="128596"/>
    <m/>
  </r>
  <r>
    <s v="TIUB"/>
    <d v="2021-01-24T00:00:00"/>
    <d v="1899-12-30T18:59:56"/>
    <s v="20210124-TIUB-000018"/>
    <s v="C-199"/>
    <s v="Soja"/>
    <x v="0"/>
    <x v="0"/>
    <s v="COFCO INTERNATIONAL BRASIL S A - CANARANA"/>
    <s v="06.315.338/0181-66"/>
    <s v="COFCO INTERNATIONAL BRASIL S.A"/>
    <s v="06.315.338/0181-66"/>
    <m/>
    <s v="HFE0563790"/>
    <n v="97.498999999999995"/>
    <n v="23.3"/>
    <n v="74.198999999999998"/>
    <s v="TIUB"/>
    <s v="27852"/>
    <s v="1"/>
    <n v="70184.399999999994"/>
    <n v="49.08"/>
    <n v="49.06"/>
    <s v="51210106315338018166550010000278521451221985"/>
    <s v="TIPLAM - Porto Inácio Antonio Mesquita - Santos"/>
    <s v="112"/>
    <s v="128597"/>
    <m/>
  </r>
  <r>
    <s v="TIUB"/>
    <d v="2021-01-24T00:00:00"/>
    <d v="1899-12-30T18:59:56"/>
    <s v="20210124-TIUB-000018"/>
    <s v="C-199"/>
    <s v="Soja"/>
    <x v="0"/>
    <x v="0"/>
    <s v="COFCO INTERNATIONAL BRASIL S A - CANARANA"/>
    <s v="06.315.338/0181-66"/>
    <s v="COFCO INTERNATIONAL BRASIL S.A"/>
    <s v="06.315.338/0181-66"/>
    <m/>
    <s v="HFE0563790"/>
    <n v="97.498999999999995"/>
    <n v="23.3"/>
    <n v="74.198999999999998"/>
    <s v="TIUB"/>
    <s v="27853"/>
    <s v="1"/>
    <n v="72329.399999999994"/>
    <n v="50.58"/>
    <n v="9.1820000000000004"/>
    <s v="51210106315338018166550010000278531323800769"/>
    <s v="TIPLAM - Porto Inácio Antonio Mesquita - Santos"/>
    <s v="112"/>
    <s v="128597"/>
    <m/>
  </r>
  <r>
    <s v="TIUB"/>
    <d v="2021-01-24T00:00:00"/>
    <d v="1899-12-30T18:59:56"/>
    <s v="20210124-TIUB-000018"/>
    <s v="C-199"/>
    <s v="Soja"/>
    <x v="0"/>
    <x v="0"/>
    <s v="COFCO INTERNATIONAL BRASIL S A - CANARANA"/>
    <s v="06.315.338/0181-66"/>
    <s v="COFCO INTERNATIONAL BRASIL S.A"/>
    <s v="06.315.338/0181-66"/>
    <m/>
    <s v="HFE0563790"/>
    <n v="97.498999999999995"/>
    <n v="23.3"/>
    <n v="74.198999999999998"/>
    <s v="TIUB"/>
    <s v="27851"/>
    <s v="1"/>
    <n v="70155.8"/>
    <n v="49.06"/>
    <n v="15.957000000000001"/>
    <s v="51210106315338018166550010000278511218215326"/>
    <s v="TIPLAM - Porto Inácio Antonio Mesquita - Santos"/>
    <s v="112"/>
    <s v="128597"/>
    <m/>
  </r>
  <r>
    <s v="TIUB"/>
    <d v="2021-01-24T00:00:00"/>
    <d v="1899-12-30T19:01:35"/>
    <s v="20210124-TIUB-000019"/>
    <s v="C-199"/>
    <s v="Soja"/>
    <x v="0"/>
    <x v="0"/>
    <s v="COFCO INTERNATIONAL BRASIL S A - CANARANA"/>
    <s v="06.315.338/0181-66"/>
    <s v="COFCO INTERNATIONAL BRASIL S.A"/>
    <s v="06.315.338/0181-66"/>
    <m/>
    <s v="HFE0604313"/>
    <n v="94.811000000000007"/>
    <n v="23.3"/>
    <n v="71.510999999999996"/>
    <s v="TIUB"/>
    <s v="27853"/>
    <s v="1"/>
    <n v="72329.399999999994"/>
    <n v="50.58"/>
    <n v="41.398000000000003"/>
    <s v="51210106315338018166550010000278531323800769"/>
    <s v="TIPLAM - Porto Inácio Antonio Mesquita - Santos"/>
    <s v="112"/>
    <s v="128598"/>
    <m/>
  </r>
  <r>
    <s v="TIUB"/>
    <d v="2021-01-24T00:00:00"/>
    <d v="1899-12-30T19:01:35"/>
    <s v="20210124-TIUB-000019"/>
    <s v="C-199"/>
    <s v="Soja"/>
    <x v="0"/>
    <x v="0"/>
    <s v="COFCO INTERNATIONAL BRASIL S A - CANARANA"/>
    <s v="06.315.338/0181-66"/>
    <s v="COFCO INTERNATIONAL BRASIL S.A"/>
    <s v="06.315.338/0181-66"/>
    <m/>
    <s v="HFE0604313"/>
    <n v="94.811000000000007"/>
    <n v="23.3"/>
    <n v="71.510999999999996"/>
    <s v="TIUB"/>
    <s v="27854"/>
    <s v="1"/>
    <n v="68997.5"/>
    <n v="48.25"/>
    <n v="30.113"/>
    <s v="51210106315338018166550010000278541250876652"/>
    <s v="TIPLAM - Porto Inácio Antonio Mesquita - Santos"/>
    <s v="112"/>
    <s v="128598"/>
    <m/>
  </r>
  <r>
    <s v="TIUB"/>
    <d v="2021-01-24T00:00:00"/>
    <d v="1899-12-30T19:02:48"/>
    <s v="20210124-TIUB-000020"/>
    <s v="C-199"/>
    <s v="Soja"/>
    <x v="0"/>
    <x v="0"/>
    <s v="COFCO INTERNATIONAL BRASIL S A - CANARANA"/>
    <s v="06.315.338/0181-66"/>
    <s v="COFCO INTERNATIONAL BRASIL S.A"/>
    <s v="06.315.338/0181-66"/>
    <m/>
    <s v="HFE0603228"/>
    <n v="96.396000000000001"/>
    <n v="23.3"/>
    <n v="73.096000000000004"/>
    <s v="TIUB"/>
    <s v="27856"/>
    <s v="1"/>
    <n v="71700.2"/>
    <n v="50.14"/>
    <n v="4.7489999999999997"/>
    <s v="51210106315338018166550010000278561924306086"/>
    <s v="TIPLAM - Porto Inácio Antonio Mesquita - Santos"/>
    <s v="112"/>
    <s v="128599"/>
    <m/>
  </r>
  <r>
    <s v="TIUB"/>
    <d v="2021-01-24T00:00:00"/>
    <d v="1899-12-30T19:02:48"/>
    <s v="20210124-TIUB-000020"/>
    <s v="C-199"/>
    <s v="Soja"/>
    <x v="0"/>
    <x v="0"/>
    <s v="COFCO INTERNATIONAL BRASIL S A - CANARANA"/>
    <s v="06.315.338/0181-66"/>
    <s v="COFCO INTERNATIONAL BRASIL S.A"/>
    <s v="06.315.338/0181-66"/>
    <m/>
    <s v="HFE0603228"/>
    <n v="96.396000000000001"/>
    <n v="23.3"/>
    <n v="73.096000000000004"/>
    <s v="TIUB"/>
    <s v="27855"/>
    <s v="1"/>
    <n v="71800.3"/>
    <n v="50.21"/>
    <n v="50.21"/>
    <s v="51210106315338018166550010000278551892556212"/>
    <s v="TIPLAM - Porto Inácio Antonio Mesquita - Santos"/>
    <s v="112"/>
    <s v="128599"/>
    <m/>
  </r>
  <r>
    <s v="TIUB"/>
    <d v="2021-01-24T00:00:00"/>
    <d v="1899-12-30T19:02:48"/>
    <s v="20210124-TIUB-000020"/>
    <s v="C-199"/>
    <s v="Soja"/>
    <x v="0"/>
    <x v="0"/>
    <s v="COFCO INTERNATIONAL BRASIL S A - CANARANA"/>
    <s v="06.315.338/0181-66"/>
    <s v="COFCO INTERNATIONAL BRASIL S.A"/>
    <s v="06.315.338/0181-66"/>
    <m/>
    <s v="HFE0603228"/>
    <n v="96.396000000000001"/>
    <n v="23.3"/>
    <n v="73.096000000000004"/>
    <s v="TIUB"/>
    <s v="27854"/>
    <s v="1"/>
    <n v="68997.5"/>
    <n v="48.25"/>
    <n v="18.137"/>
    <s v="51210106315338018166550010000278541250876652"/>
    <s v="TIPLAM - Porto Inácio Antonio Mesquita - Santos"/>
    <s v="112"/>
    <s v="128599"/>
    <m/>
  </r>
  <r>
    <s v="TIUB"/>
    <d v="2021-01-24T00:00:00"/>
    <d v="1899-12-30T19:07:18"/>
    <s v="20210124-TIUB-000021"/>
    <s v="C-199"/>
    <s v="Soja"/>
    <x v="0"/>
    <x v="0"/>
    <s v="COFCO INTERNATIONAL BRASIL S A - CANARANA"/>
    <s v="06.315.338/0181-66"/>
    <s v="COFCO INTERNATIONAL BRASIL S.A"/>
    <s v="06.315.338/0181-66"/>
    <m/>
    <s v="HFE0566861"/>
    <n v="92.429000000000002"/>
    <n v="23"/>
    <n v="69.429000000000002"/>
    <s v="TIUB"/>
    <s v="27857"/>
    <s v="1"/>
    <n v="71643"/>
    <n v="50.1"/>
    <n v="24.038"/>
    <s v="51210106315338018166550010000278571139131140"/>
    <s v="TIPLAM - Porto Inácio Antonio Mesquita - Santos"/>
    <s v="112"/>
    <s v="128600"/>
    <m/>
  </r>
  <r>
    <s v="TIUB"/>
    <d v="2021-01-24T00:00:00"/>
    <d v="1899-12-30T19:07:18"/>
    <s v="20210124-TIUB-000021"/>
    <s v="C-199"/>
    <s v="Soja"/>
    <x v="0"/>
    <x v="0"/>
    <s v="COFCO INTERNATIONAL BRASIL S A - CANARANA"/>
    <s v="06.315.338/0181-66"/>
    <s v="COFCO INTERNATIONAL BRASIL S.A"/>
    <s v="06.315.338/0181-66"/>
    <m/>
    <s v="HFE0566861"/>
    <n v="92.429000000000002"/>
    <n v="23"/>
    <n v="69.429000000000002"/>
    <s v="TIUB"/>
    <s v="27856"/>
    <s v="1"/>
    <n v="71700.2"/>
    <n v="50.14"/>
    <n v="45.390999999999998"/>
    <s v="51210106315338018166550010000278561924306086"/>
    <s v="TIPLAM - Porto Inácio Antonio Mesquita - Santos"/>
    <s v="112"/>
    <s v="128600"/>
    <m/>
  </r>
  <r>
    <s v="TIUB"/>
    <d v="2021-01-24T00:00:00"/>
    <d v="1899-12-30T19:08:52"/>
    <s v="20210124-TIUB-000022"/>
    <s v="C-199"/>
    <s v="Soja"/>
    <x v="0"/>
    <x v="0"/>
    <s v="COFCO INTERNATIONAL BRASIL S A - CANARANA"/>
    <s v="06.315.338/0181-66"/>
    <s v="COFCO INTERNATIONAL BRASIL S.A"/>
    <s v="06.315.338/0181-66"/>
    <m/>
    <s v="HFE0591874"/>
    <n v="98.727999999999994"/>
    <n v="23.3"/>
    <n v="75.427999999999997"/>
    <s v="TIUB"/>
    <s v="27862"/>
    <s v="1"/>
    <n v="73258.899999999994"/>
    <n v="51.23"/>
    <n v="49.366"/>
    <s v="51210106315338018166550010000278621139131140"/>
    <s v="TIPLAM - Porto Inácio Antonio Mesquita - Santos"/>
    <s v="112"/>
    <s v="128601"/>
    <m/>
  </r>
  <r>
    <s v="TIUB"/>
    <d v="2021-01-24T00:00:00"/>
    <d v="1899-12-30T19:08:52"/>
    <s v="20210124-TIUB-000022"/>
    <s v="C-199"/>
    <s v="Soja"/>
    <x v="0"/>
    <x v="0"/>
    <s v="COFCO INTERNATIONAL BRASIL S A - CANARANA"/>
    <s v="06.315.338/0181-66"/>
    <s v="COFCO INTERNATIONAL BRASIL S.A"/>
    <s v="06.315.338/0181-66"/>
    <m/>
    <s v="HFE0591874"/>
    <n v="98.727999999999994"/>
    <n v="23.3"/>
    <n v="75.427999999999997"/>
    <s v="TIUB"/>
    <s v="27857"/>
    <s v="1"/>
    <n v="71643"/>
    <n v="50.1"/>
    <n v="26.062000000000001"/>
    <s v="51210106315338018166550010000278571139131140"/>
    <s v="TIPLAM - Porto Inácio Antonio Mesquita - Santos"/>
    <s v="112"/>
    <s v="128601"/>
    <m/>
  </r>
  <r>
    <s v="TIUB"/>
    <d v="2021-01-24T00:00:00"/>
    <d v="1899-12-30T21:40:35"/>
    <s v="20210124-TIUB-000076"/>
    <s v="C-199"/>
    <s v="Soja"/>
    <x v="0"/>
    <x v="0"/>
    <s v="COFCO INTERNATIONAL BRASIL S A - CANARANA"/>
    <s v="06.315.338/0181-66"/>
    <s v="COFCO INTERNATIONAL BRASIL S.A"/>
    <s v="06.315.338/0181-66"/>
    <m/>
    <s v="HFE0538302"/>
    <n v="97.581000000000003"/>
    <n v="23"/>
    <n v="74.581000000000003"/>
    <s v="TIUB"/>
    <s v="27845"/>
    <s v="1"/>
    <n v="73173.100000000006"/>
    <n v="51.17"/>
    <n v="51.04"/>
    <s v="51210106315338018166550010000278451912988256"/>
    <s v="TIPLAM - Porto Inácio Antonio Mesquita - Santos"/>
    <s v="112"/>
    <s v="128622"/>
    <m/>
  </r>
  <r>
    <s v="TIUB"/>
    <d v="2021-01-24T00:00:00"/>
    <d v="1899-12-30T21:40:35"/>
    <s v="20210124-TIUB-000076"/>
    <s v="C-199"/>
    <s v="Soja"/>
    <x v="0"/>
    <x v="0"/>
    <s v="COFCO INTERNATIONAL BRASIL S A - CANARANA"/>
    <s v="06.315.338/0181-66"/>
    <s v="COFCO INTERNATIONAL BRASIL S.A"/>
    <s v="06.315.338/0181-66"/>
    <m/>
    <s v="HFE0538302"/>
    <n v="97.581000000000003"/>
    <n v="23"/>
    <n v="74.581000000000003"/>
    <s v="TIUB"/>
    <s v="27849"/>
    <s v="1"/>
    <n v="67910.7"/>
    <n v="47.49"/>
    <n v="23.541"/>
    <s v="51210106315338018166550010000278491672035739"/>
    <s v="TIPLAM - Porto Inácio Antonio Mesquita - Santos"/>
    <s v="112"/>
    <s v="128622"/>
    <m/>
  </r>
  <r>
    <s v="TIUB"/>
    <d v="2021-01-24T00:00:00"/>
    <d v="1899-12-30T21:42:09"/>
    <s v="20210124-TIUB-000075"/>
    <s v="C-199"/>
    <s v="Soja"/>
    <x v="0"/>
    <x v="0"/>
    <s v="COFCO INTERNATIONAL BRASIL S A - CANARANA"/>
    <s v="06.315.338/0181-66"/>
    <s v="COFCO INTERNATIONAL BRASIL S.A"/>
    <s v="06.315.338/0181-66"/>
    <m/>
    <s v="HFE0593117"/>
    <n v="98.491"/>
    <n v="23.3"/>
    <n v="75.191000000000003"/>
    <s v="TIUB"/>
    <s v="27860"/>
    <s v="1"/>
    <n v="72629.7"/>
    <n v="50.79"/>
    <n v="50.76"/>
    <s v="51210106315338018166550010000278601930956243"/>
    <s v="TIPLAM - Porto Inácio Antonio Mesquita - Santos"/>
    <s v="112"/>
    <s v="128623"/>
    <m/>
  </r>
  <r>
    <s v="TIUB"/>
    <d v="2021-01-24T00:00:00"/>
    <d v="1899-12-30T21:42:09"/>
    <s v="20210124-TIUB-000075"/>
    <s v="C-199"/>
    <s v="Soja"/>
    <x v="0"/>
    <x v="0"/>
    <s v="COFCO INTERNATIONAL BRASIL S A - CANARANA"/>
    <s v="06.315.338/0181-66"/>
    <s v="COFCO INTERNATIONAL BRASIL S.A"/>
    <s v="06.315.338/0181-66"/>
    <m/>
    <s v="HFE0593117"/>
    <n v="98.491"/>
    <n v="23.3"/>
    <n v="75.191000000000003"/>
    <s v="TIUB"/>
    <s v="27863"/>
    <s v="1"/>
    <n v="71542.899999999994"/>
    <n v="50.03"/>
    <n v="0.48199999999999998"/>
    <s v="51210106315338018166550010000278631428948576"/>
    <s v="TIPLAM - Porto Inácio Antonio Mesquita - Santos"/>
    <s v="112"/>
    <s v="128623"/>
    <m/>
  </r>
  <r>
    <s v="TIUB"/>
    <d v="2021-01-24T00:00:00"/>
    <d v="1899-12-30T21:42:09"/>
    <s v="20210124-TIUB-000075"/>
    <s v="C-199"/>
    <s v="Soja"/>
    <x v="0"/>
    <x v="0"/>
    <s v="COFCO INTERNATIONAL BRASIL S A - CANARANA"/>
    <s v="06.315.338/0181-66"/>
    <s v="COFCO INTERNATIONAL BRASIL S.A"/>
    <s v="06.315.338/0181-66"/>
    <m/>
    <s v="HFE0593117"/>
    <n v="98.491"/>
    <n v="23.3"/>
    <n v="75.191000000000003"/>
    <s v="TIUB"/>
    <s v="27849"/>
    <s v="1"/>
    <n v="67910.7"/>
    <n v="47.49"/>
    <n v="23.949000000000002"/>
    <s v="51210106315338018166550010000278491672035739"/>
    <s v="TIPLAM - Porto Inácio Antonio Mesquita - Santos"/>
    <s v="112"/>
    <s v="128623"/>
    <m/>
  </r>
  <r>
    <s v="TIUB"/>
    <d v="2021-01-24T00:00:00"/>
    <d v="1899-12-30T21:43:30"/>
    <s v="20210124-TIUB-000074"/>
    <s v="C-199"/>
    <s v="Soja"/>
    <x v="0"/>
    <x v="0"/>
    <s v="COFCO INTERNATIONAL BRASIL S A - CANARANA"/>
    <s v="06.315.338/0181-66"/>
    <s v="COFCO INTERNATIONAL BRASIL S.A"/>
    <s v="06.315.338/0181-66"/>
    <m/>
    <s v="HFE0543829"/>
    <n v="98.506"/>
    <n v="24.01"/>
    <n v="74.495999999999995"/>
    <s v="TIUB"/>
    <s v="27863"/>
    <s v="1"/>
    <n v="71542.899999999994"/>
    <n v="50.03"/>
    <n v="49.548000000000002"/>
    <s v="51210106315338018166550010000278631428948576"/>
    <s v="TIPLAM - Porto Inácio Antonio Mesquita - Santos"/>
    <s v="112"/>
    <s v="128624"/>
    <m/>
  </r>
  <r>
    <s v="TIUB"/>
    <d v="2021-01-24T00:00:00"/>
    <d v="1899-12-30T21:43:30"/>
    <s v="20210124-TIUB-000074"/>
    <s v="C-199"/>
    <s v="Soja"/>
    <x v="0"/>
    <x v="0"/>
    <s v="COFCO INTERNATIONAL BRASIL S A - CANARANA"/>
    <s v="06.315.338/0181-66"/>
    <s v="COFCO INTERNATIONAL BRASIL S.A"/>
    <s v="06.315.338/0181-66"/>
    <m/>
    <s v="HFE0543829"/>
    <n v="98.506"/>
    <n v="24.01"/>
    <n v="74.495999999999995"/>
    <s v="TIUB"/>
    <s v="27865"/>
    <s v="1"/>
    <n v="72744.100000000006"/>
    <n v="50.87"/>
    <n v="24.948"/>
    <s v="51210106315338018166550010000278651572352230"/>
    <s v="TIPLAM - Porto Inácio Antonio Mesquita - Santos"/>
    <s v="112"/>
    <s v="128624"/>
    <m/>
  </r>
  <r>
    <s v="TIUB"/>
    <d v="2021-01-24T00:00:00"/>
    <d v="1899-12-30T21:44:30"/>
    <s v="20210124-TIUB-000073"/>
    <s v="C-199"/>
    <s v="Soja"/>
    <x v="0"/>
    <x v="0"/>
    <s v="COFCO INTERNATIONAL BRASIL S A - CANARANA"/>
    <s v="06.315.338/0181-66"/>
    <s v="COFCO INTERNATIONAL BRASIL S.A"/>
    <s v="06.315.338/0181-66"/>
    <m/>
    <s v="HFE0538621"/>
    <n v="97.516000000000005"/>
    <n v="23"/>
    <n v="74.516000000000005"/>
    <s v="TIUB"/>
    <s v="27870"/>
    <s v="1"/>
    <n v="73015.8"/>
    <n v="51.06"/>
    <n v="48.594000000000001"/>
    <s v="51210106315338018166550010000278701746770414"/>
    <s v="TIPLAM - Porto Inácio Antonio Mesquita - Santos"/>
    <s v="112"/>
    <s v="128625"/>
    <m/>
  </r>
  <r>
    <s v="TIUB"/>
    <d v="2021-01-24T00:00:00"/>
    <d v="1899-12-30T21:44:30"/>
    <s v="20210124-TIUB-000073"/>
    <s v="C-199"/>
    <s v="Soja"/>
    <x v="0"/>
    <x v="0"/>
    <s v="COFCO INTERNATIONAL BRASIL S A - CANARANA"/>
    <s v="06.315.338/0181-66"/>
    <s v="COFCO INTERNATIONAL BRASIL S.A"/>
    <s v="06.315.338/0181-66"/>
    <m/>
    <s v="HFE0538621"/>
    <n v="97.516000000000005"/>
    <n v="23"/>
    <n v="74.516000000000005"/>
    <s v="TIUB"/>
    <s v="27865"/>
    <s v="1"/>
    <n v="72744.100000000006"/>
    <n v="50.87"/>
    <n v="25.922000000000001"/>
    <s v="51210106315338018166550010000278651572352230"/>
    <s v="TIPLAM - Porto Inácio Antonio Mesquita - Santos"/>
    <s v="112"/>
    <s v="128625"/>
    <m/>
  </r>
  <r>
    <s v="TIUB"/>
    <d v="2021-01-24T00:00:00"/>
    <d v="1899-12-30T22:04:32"/>
    <s v="20210124-TIUB-000072"/>
    <s v="C-199"/>
    <s v="Soja"/>
    <x v="0"/>
    <x v="0"/>
    <s v="COFCO INTERNATIONAL BRASIL S A - CANARANA"/>
    <s v="06.315.338/0181-66"/>
    <s v="COFCO INTERNATIONAL BRASIL S.A"/>
    <s v="06.315.338/0181-66"/>
    <m/>
    <s v="HFE0602434"/>
    <n v="96.009"/>
    <n v="23.3"/>
    <n v="72.709000000000003"/>
    <s v="TIUB"/>
    <s v="27870"/>
    <s v="1"/>
    <n v="73015.8"/>
    <n v="51.06"/>
    <n v="2.4460000000000002"/>
    <s v="51210106315338018166550010000278701746770414"/>
    <s v="TIPLAM - Porto Inácio Antonio Mesquita - Santos"/>
    <s v="112"/>
    <s v="128628"/>
    <m/>
  </r>
  <r>
    <s v="TIUB"/>
    <d v="2021-01-24T00:00:00"/>
    <d v="1899-12-30T22:04:32"/>
    <s v="20210124-TIUB-000072"/>
    <s v="C-199"/>
    <s v="Soja"/>
    <x v="0"/>
    <x v="0"/>
    <s v="COFCO INTERNATIONAL BRASIL S A - CANARANA"/>
    <s v="06.315.338/0181-66"/>
    <s v="COFCO INTERNATIONAL BRASIL S.A"/>
    <s v="06.315.338/0181-66"/>
    <m/>
    <s v="HFE0602434"/>
    <n v="96.009"/>
    <n v="23.3"/>
    <n v="72.709000000000003"/>
    <s v="TIUB"/>
    <s v="27831"/>
    <s v="1"/>
    <n v="67438.8"/>
    <n v="47.16"/>
    <n v="47.16"/>
    <s v="51210106315338018166550010000278311139131143"/>
    <s v="TIPLAM - Porto Inácio Antonio Mesquita - Santos"/>
    <s v="112"/>
    <s v="128628"/>
    <m/>
  </r>
  <r>
    <s v="TIUB"/>
    <d v="2021-01-24T00:00:00"/>
    <d v="1899-12-30T22:04:32"/>
    <s v="20210124-TIUB-000072"/>
    <s v="C-199"/>
    <s v="Soja"/>
    <x v="0"/>
    <x v="0"/>
    <s v="COFCO INTERNATIONAL BRASIL S A - CANARANA"/>
    <s v="06.315.338/0181-66"/>
    <s v="COFCO INTERNATIONAL BRASIL S.A"/>
    <s v="06.315.338/0181-66"/>
    <m/>
    <s v="HFE0602434"/>
    <n v="96.009"/>
    <n v="23.3"/>
    <n v="72.709000000000003"/>
    <s v="TIUB"/>
    <s v="27872"/>
    <s v="1"/>
    <n v="69397.899999999994"/>
    <n v="48.53"/>
    <n v="23.103000000000002"/>
    <s v="51210106315338018166550010000278721058792444"/>
    <s v="TIPLAM - Porto Inácio Antonio Mesquita - Santos"/>
    <s v="112"/>
    <s v="128628"/>
    <m/>
  </r>
  <r>
    <s v="TIUB"/>
    <d v="2021-01-24T00:00:00"/>
    <d v="1899-12-30T22:05:21"/>
    <s v="20210124-TIUB-000070"/>
    <s v="C-199"/>
    <s v="Soja"/>
    <x v="0"/>
    <x v="0"/>
    <s v="COFCO INTERNATIONAL BRASIL S A - CANARANA"/>
    <s v="06.315.338/0181-66"/>
    <s v="COFCO INTERNATIONAL BRASIL S.A"/>
    <s v="06.315.338/0181-66"/>
    <m/>
    <s v="HFE0605069"/>
    <n v="97.757000000000005"/>
    <n v="23.3"/>
    <n v="74.456999999999994"/>
    <s v="TIUB"/>
    <s v="27880"/>
    <s v="1"/>
    <n v="72415.199999999997"/>
    <n v="50.64"/>
    <n v="49.03"/>
    <s v="51210106315338018166550010000278801267077413"/>
    <s v="TIPLAM - Porto Inácio Antonio Mesquita - Santos"/>
    <s v="112"/>
    <s v="128629"/>
    <m/>
  </r>
  <r>
    <s v="TIUB"/>
    <d v="2021-01-24T00:00:00"/>
    <d v="1899-12-30T22:05:21"/>
    <s v="20210124-TIUB-000070"/>
    <s v="C-199"/>
    <s v="Soja"/>
    <x v="0"/>
    <x v="0"/>
    <s v="COFCO INTERNATIONAL BRASIL S A - CANARANA"/>
    <s v="06.315.338/0181-66"/>
    <s v="COFCO INTERNATIONAL BRASIL S.A"/>
    <s v="06.315.338/0181-66"/>
    <m/>
    <s v="HFE0605069"/>
    <n v="97.757000000000005"/>
    <n v="23.3"/>
    <n v="74.456999999999994"/>
    <s v="TIUB"/>
    <s v="27872"/>
    <s v="1"/>
    <n v="69397.899999999994"/>
    <n v="48.53"/>
    <n v="25.427"/>
    <s v="51210106315338018166550010000278721058792444"/>
    <s v="TIPLAM - Porto Inácio Antonio Mesquita - Santos"/>
    <s v="112"/>
    <s v="12862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4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6" firstHeaderRow="2" firstDataRow="2" firstDataCol="2"/>
  <pivotFields count="28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4"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2">
        <item m="1" x="1"/>
        <item x="0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</pivotFields>
  <rowFields count="2">
    <field x="7"/>
    <field x="6"/>
  </rowFields>
  <rowItems count="1">
    <i>
      <x v="1"/>
      <x v="3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71"/>
  <sheetViews>
    <sheetView tabSelected="1" topLeftCell="F1" zoomScale="85" zoomScaleNormal="85" workbookViewId="0">
      <pane ySplit="9" topLeftCell="A10" activePane="bottomLeft" state="frozen"/>
      <selection pane="bottomLeft" activeCell="M11" sqref="M11:M7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5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4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06315338018166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TIPLAM - Porto Inácio Antonio Mesquita - Santos</v>
      </c>
      <c r="C7" s="10" t="str">
        <f>IFERROR(VLOOKUP(B7,BASE!D2:F10,2,0),"")</f>
        <v>02.476.026/0008-02</v>
      </c>
      <c r="E7" s="16" t="s">
        <v>43</v>
      </c>
      <c r="F7" s="66" t="s">
        <v>351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4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CANARANA</v>
      </c>
      <c r="B10" s="24" t="s">
        <v>126</v>
      </c>
    </row>
    <row r="11" spans="1:17" x14ac:dyDescent="0.2">
      <c r="A11" s="31" t="s">
        <v>192</v>
      </c>
      <c r="C11" s="19">
        <v>0</v>
      </c>
      <c r="D11" s="19">
        <v>0</v>
      </c>
      <c r="E11" s="19">
        <v>0</v>
      </c>
      <c r="F11" s="65">
        <v>44220</v>
      </c>
      <c r="H11" s="10" t="str">
        <f t="shared" ref="H11:H42" si="0">MID(A11,4,7)</f>
        <v>0602043</v>
      </c>
      <c r="J11" s="63">
        <v>23037</v>
      </c>
      <c r="K11" s="10">
        <v>0</v>
      </c>
      <c r="L11" s="12">
        <v>27822</v>
      </c>
      <c r="M11" s="12" t="s">
        <v>194</v>
      </c>
      <c r="N11" s="63">
        <v>23037</v>
      </c>
      <c r="O11" s="10" t="s">
        <v>350</v>
      </c>
    </row>
    <row r="12" spans="1:17" x14ac:dyDescent="0.2">
      <c r="A12" s="31" t="s">
        <v>192</v>
      </c>
      <c r="C12" s="19">
        <v>0</v>
      </c>
      <c r="D12" s="19">
        <v>0</v>
      </c>
      <c r="E12" s="19">
        <v>0</v>
      </c>
      <c r="F12" s="65">
        <v>44220</v>
      </c>
      <c r="H12" s="10" t="str">
        <f t="shared" si="0"/>
        <v>0602043</v>
      </c>
      <c r="J12" s="63">
        <v>47340</v>
      </c>
      <c r="K12" s="10">
        <v>0</v>
      </c>
      <c r="L12" s="12">
        <v>27821</v>
      </c>
      <c r="M12" s="12" t="s">
        <v>194</v>
      </c>
      <c r="N12" s="63">
        <v>47340</v>
      </c>
      <c r="O12" s="10" t="s">
        <v>350</v>
      </c>
    </row>
    <row r="13" spans="1:17" x14ac:dyDescent="0.2">
      <c r="A13" s="31" t="s">
        <v>202</v>
      </c>
      <c r="C13" s="19">
        <v>0</v>
      </c>
      <c r="D13" s="19">
        <v>0</v>
      </c>
      <c r="E13" s="19">
        <v>0</v>
      </c>
      <c r="F13" s="65">
        <v>44220</v>
      </c>
      <c r="H13" s="10" t="str">
        <f t="shared" si="0"/>
        <v>0539112</v>
      </c>
      <c r="J13" s="63">
        <v>23989</v>
      </c>
      <c r="K13" s="10">
        <v>0</v>
      </c>
      <c r="L13" s="12">
        <v>27825</v>
      </c>
      <c r="M13" s="12" t="s">
        <v>194</v>
      </c>
      <c r="N13" s="63">
        <v>23989</v>
      </c>
      <c r="O13" s="10" t="s">
        <v>350</v>
      </c>
    </row>
    <row r="14" spans="1:17" x14ac:dyDescent="0.2">
      <c r="A14" s="31" t="s">
        <v>202</v>
      </c>
      <c r="C14" s="19">
        <v>0</v>
      </c>
      <c r="D14" s="19">
        <v>0</v>
      </c>
      <c r="E14" s="19">
        <v>0</v>
      </c>
      <c r="F14" s="65">
        <v>44220</v>
      </c>
      <c r="H14" s="10" t="str">
        <f t="shared" si="0"/>
        <v>0539112</v>
      </c>
      <c r="J14" s="63">
        <v>47120</v>
      </c>
      <c r="K14" s="10">
        <v>0</v>
      </c>
      <c r="L14" s="12">
        <v>27824</v>
      </c>
      <c r="M14" s="12" t="s">
        <v>194</v>
      </c>
      <c r="N14" s="63">
        <v>47120</v>
      </c>
      <c r="O14" s="10" t="s">
        <v>350</v>
      </c>
    </row>
    <row r="15" spans="1:17" x14ac:dyDescent="0.2">
      <c r="A15" s="31" t="s">
        <v>209</v>
      </c>
      <c r="C15" s="19">
        <v>0</v>
      </c>
      <c r="D15" s="19">
        <v>0</v>
      </c>
      <c r="E15" s="19">
        <v>0</v>
      </c>
      <c r="F15" s="65">
        <v>44220</v>
      </c>
      <c r="H15" s="10" t="str">
        <f t="shared" si="0"/>
        <v>0599093</v>
      </c>
      <c r="J15" s="63">
        <v>25031</v>
      </c>
      <c r="K15" s="10">
        <v>0</v>
      </c>
      <c r="L15" s="12">
        <v>27825</v>
      </c>
      <c r="M15" s="12" t="s">
        <v>194</v>
      </c>
      <c r="N15" s="63">
        <v>25031</v>
      </c>
      <c r="O15" s="10" t="s">
        <v>350</v>
      </c>
    </row>
    <row r="16" spans="1:17" x14ac:dyDescent="0.2">
      <c r="A16" s="31" t="s">
        <v>209</v>
      </c>
      <c r="C16" s="19">
        <v>0</v>
      </c>
      <c r="D16" s="19">
        <v>0</v>
      </c>
      <c r="E16" s="19">
        <v>0</v>
      </c>
      <c r="F16" s="65">
        <v>44220</v>
      </c>
      <c r="H16" s="10" t="str">
        <f t="shared" si="0"/>
        <v>0599093</v>
      </c>
      <c r="J16" s="63">
        <v>47081</v>
      </c>
      <c r="K16" s="10">
        <v>0</v>
      </c>
      <c r="L16" s="12">
        <v>27826</v>
      </c>
      <c r="M16" s="12" t="s">
        <v>194</v>
      </c>
      <c r="N16" s="63">
        <v>47081</v>
      </c>
      <c r="O16" s="10" t="s">
        <v>350</v>
      </c>
    </row>
    <row r="17" spans="1:15" x14ac:dyDescent="0.2">
      <c r="A17" s="31" t="s">
        <v>214</v>
      </c>
      <c r="C17" s="19">
        <v>0</v>
      </c>
      <c r="D17" s="19">
        <v>0</v>
      </c>
      <c r="E17" s="19">
        <v>0</v>
      </c>
      <c r="F17" s="65">
        <v>44220</v>
      </c>
      <c r="H17" s="10" t="str">
        <f t="shared" si="0"/>
        <v>0589756</v>
      </c>
      <c r="J17" s="63">
        <v>27366</v>
      </c>
      <c r="K17" s="10">
        <v>0</v>
      </c>
      <c r="L17" s="12">
        <v>27830</v>
      </c>
      <c r="M17" s="12" t="s">
        <v>194</v>
      </c>
      <c r="N17" s="63">
        <v>27366</v>
      </c>
      <c r="O17" s="10" t="s">
        <v>350</v>
      </c>
    </row>
    <row r="18" spans="1:15" x14ac:dyDescent="0.2">
      <c r="A18" s="31" t="s">
        <v>214</v>
      </c>
      <c r="C18" s="19">
        <v>0</v>
      </c>
      <c r="D18" s="19">
        <v>0</v>
      </c>
      <c r="E18" s="19">
        <v>0</v>
      </c>
      <c r="F18" s="65">
        <v>44220</v>
      </c>
      <c r="H18" s="10" t="str">
        <f t="shared" si="0"/>
        <v>0589756</v>
      </c>
      <c r="J18" s="63">
        <v>47000</v>
      </c>
      <c r="K18" s="10">
        <v>0</v>
      </c>
      <c r="L18" s="12">
        <v>27827</v>
      </c>
      <c r="M18" s="12" t="s">
        <v>194</v>
      </c>
      <c r="N18" s="63">
        <v>47000</v>
      </c>
      <c r="O18" s="10" t="s">
        <v>350</v>
      </c>
    </row>
    <row r="19" spans="1:15" x14ac:dyDescent="0.2">
      <c r="A19" s="31" t="s">
        <v>221</v>
      </c>
      <c r="C19" s="19">
        <v>0</v>
      </c>
      <c r="D19" s="19">
        <v>0</v>
      </c>
      <c r="E19" s="19">
        <v>0</v>
      </c>
      <c r="F19" s="65">
        <v>44220</v>
      </c>
      <c r="H19" s="10" t="str">
        <f t="shared" si="0"/>
        <v>0543331</v>
      </c>
      <c r="J19" s="63">
        <v>23244</v>
      </c>
      <c r="K19" s="10">
        <v>0</v>
      </c>
      <c r="L19" s="12">
        <v>27830</v>
      </c>
      <c r="M19" s="12" t="s">
        <v>194</v>
      </c>
      <c r="N19" s="63">
        <v>23244</v>
      </c>
      <c r="O19" s="10" t="s">
        <v>350</v>
      </c>
    </row>
    <row r="20" spans="1:15" x14ac:dyDescent="0.2">
      <c r="A20" s="31" t="s">
        <v>221</v>
      </c>
      <c r="C20" s="19">
        <v>0</v>
      </c>
      <c r="D20" s="19">
        <v>0</v>
      </c>
      <c r="E20" s="19">
        <v>0</v>
      </c>
      <c r="F20" s="65">
        <v>44220</v>
      </c>
      <c r="H20" s="10" t="str">
        <f t="shared" si="0"/>
        <v>0543331</v>
      </c>
      <c r="J20" s="63">
        <v>49520</v>
      </c>
      <c r="K20" s="10">
        <v>0</v>
      </c>
      <c r="L20" s="12">
        <v>27832</v>
      </c>
      <c r="M20" s="12" t="s">
        <v>194</v>
      </c>
      <c r="N20" s="63">
        <v>49520</v>
      </c>
      <c r="O20" s="10" t="s">
        <v>350</v>
      </c>
    </row>
    <row r="21" spans="1:15" x14ac:dyDescent="0.2">
      <c r="A21" s="31" t="s">
        <v>221</v>
      </c>
      <c r="C21" s="19">
        <v>0</v>
      </c>
      <c r="D21" s="19">
        <v>0</v>
      </c>
      <c r="E21" s="19">
        <v>0</v>
      </c>
      <c r="F21" s="65">
        <v>44220</v>
      </c>
      <c r="H21" s="10" t="str">
        <f t="shared" si="0"/>
        <v>0543331</v>
      </c>
      <c r="J21" s="63">
        <v>506</v>
      </c>
      <c r="K21" s="10">
        <v>0</v>
      </c>
      <c r="L21" s="12">
        <v>27833</v>
      </c>
      <c r="M21" s="12" t="s">
        <v>194</v>
      </c>
      <c r="N21" s="63">
        <v>506</v>
      </c>
      <c r="O21" s="10" t="s">
        <v>350</v>
      </c>
    </row>
    <row r="22" spans="1:15" x14ac:dyDescent="0.2">
      <c r="A22" s="31" t="s">
        <v>228</v>
      </c>
      <c r="C22" s="19">
        <v>0</v>
      </c>
      <c r="D22" s="19">
        <v>0</v>
      </c>
      <c r="E22" s="19">
        <v>0</v>
      </c>
      <c r="F22" s="65">
        <v>44220</v>
      </c>
      <c r="H22" s="10" t="str">
        <f t="shared" si="0"/>
        <v>0629570</v>
      </c>
      <c r="J22" s="63">
        <v>23931</v>
      </c>
      <c r="K22" s="10">
        <v>0</v>
      </c>
      <c r="L22" s="12">
        <v>27835</v>
      </c>
      <c r="M22" s="12" t="s">
        <v>194</v>
      </c>
      <c r="N22" s="63">
        <v>23931</v>
      </c>
      <c r="O22" s="10" t="s">
        <v>350</v>
      </c>
    </row>
    <row r="23" spans="1:15" x14ac:dyDescent="0.2">
      <c r="A23" s="31" t="s">
        <v>228</v>
      </c>
      <c r="C23" s="19">
        <v>0</v>
      </c>
      <c r="D23" s="19">
        <v>0</v>
      </c>
      <c r="E23" s="19">
        <v>0</v>
      </c>
      <c r="F23" s="65">
        <v>44220</v>
      </c>
      <c r="H23" s="10" t="str">
        <f t="shared" si="0"/>
        <v>0629570</v>
      </c>
      <c r="J23" s="63">
        <v>50534</v>
      </c>
      <c r="K23" s="10">
        <v>0</v>
      </c>
      <c r="L23" s="12">
        <v>27833</v>
      </c>
      <c r="M23" s="12" t="s">
        <v>194</v>
      </c>
      <c r="N23" s="63">
        <v>50534</v>
      </c>
      <c r="O23" s="10" t="s">
        <v>350</v>
      </c>
    </row>
    <row r="24" spans="1:15" x14ac:dyDescent="0.2">
      <c r="A24" s="31" t="s">
        <v>233</v>
      </c>
      <c r="C24" s="19">
        <v>0</v>
      </c>
      <c r="D24" s="19">
        <v>0</v>
      </c>
      <c r="E24" s="19">
        <v>0</v>
      </c>
      <c r="F24" s="65">
        <v>44220</v>
      </c>
      <c r="H24" s="10" t="str">
        <f t="shared" si="0"/>
        <v>0568791</v>
      </c>
      <c r="J24" s="63">
        <v>42898</v>
      </c>
      <c r="K24" s="10">
        <v>0</v>
      </c>
      <c r="L24" s="12">
        <v>27836</v>
      </c>
      <c r="M24" s="12" t="s">
        <v>194</v>
      </c>
      <c r="N24" s="63">
        <v>42898</v>
      </c>
      <c r="O24" s="10" t="s">
        <v>350</v>
      </c>
    </row>
    <row r="25" spans="1:15" x14ac:dyDescent="0.2">
      <c r="A25" s="31" t="s">
        <v>233</v>
      </c>
      <c r="C25" s="19">
        <v>0</v>
      </c>
      <c r="D25" s="19">
        <v>0</v>
      </c>
      <c r="E25" s="19">
        <v>0</v>
      </c>
      <c r="F25" s="65">
        <v>44220</v>
      </c>
      <c r="H25" s="10" t="str">
        <f t="shared" si="0"/>
        <v>0568791</v>
      </c>
      <c r="J25" s="63">
        <v>27139</v>
      </c>
      <c r="K25" s="10">
        <v>0</v>
      </c>
      <c r="L25" s="12">
        <v>27835</v>
      </c>
      <c r="M25" s="12" t="s">
        <v>194</v>
      </c>
      <c r="N25" s="63">
        <v>27139</v>
      </c>
      <c r="O25" s="10" t="s">
        <v>350</v>
      </c>
    </row>
    <row r="26" spans="1:15" x14ac:dyDescent="0.2">
      <c r="A26" s="31" t="s">
        <v>238</v>
      </c>
      <c r="C26" s="19">
        <v>0</v>
      </c>
      <c r="D26" s="19">
        <v>0</v>
      </c>
      <c r="E26" s="19">
        <v>0</v>
      </c>
      <c r="F26" s="65">
        <v>44220</v>
      </c>
      <c r="H26" s="10" t="str">
        <f t="shared" si="0"/>
        <v>0544019</v>
      </c>
      <c r="J26" s="63">
        <v>6882</v>
      </c>
      <c r="K26" s="10">
        <v>0</v>
      </c>
      <c r="L26" s="12">
        <v>27836</v>
      </c>
      <c r="M26" s="12" t="s">
        <v>194</v>
      </c>
      <c r="N26" s="63">
        <v>6882</v>
      </c>
      <c r="O26" s="10" t="s">
        <v>350</v>
      </c>
    </row>
    <row r="27" spans="1:15" x14ac:dyDescent="0.2">
      <c r="A27" s="31" t="s">
        <v>238</v>
      </c>
      <c r="C27" s="19">
        <v>0</v>
      </c>
      <c r="D27" s="19">
        <v>0</v>
      </c>
      <c r="E27" s="19">
        <v>0</v>
      </c>
      <c r="F27" s="65">
        <v>44220</v>
      </c>
      <c r="H27" s="10" t="str">
        <f t="shared" si="0"/>
        <v>0544019</v>
      </c>
      <c r="J27" s="63">
        <v>13178</v>
      </c>
      <c r="K27" s="10">
        <v>0</v>
      </c>
      <c r="L27" s="12">
        <v>27838</v>
      </c>
      <c r="M27" s="12" t="s">
        <v>194</v>
      </c>
      <c r="N27" s="63">
        <v>13178</v>
      </c>
      <c r="O27" s="10" t="s">
        <v>350</v>
      </c>
    </row>
    <row r="28" spans="1:15" x14ac:dyDescent="0.2">
      <c r="A28" s="31" t="s">
        <v>238</v>
      </c>
      <c r="C28" s="19">
        <v>0</v>
      </c>
      <c r="D28" s="19">
        <v>0</v>
      </c>
      <c r="E28" s="19">
        <v>0</v>
      </c>
      <c r="F28" s="65">
        <v>44220</v>
      </c>
      <c r="H28" s="10" t="str">
        <f t="shared" si="0"/>
        <v>0544019</v>
      </c>
      <c r="J28" s="63">
        <v>50560</v>
      </c>
      <c r="K28" s="10">
        <v>0</v>
      </c>
      <c r="L28" s="12">
        <v>27837</v>
      </c>
      <c r="M28" s="12" t="s">
        <v>194</v>
      </c>
      <c r="N28" s="63">
        <v>50560</v>
      </c>
      <c r="O28" s="10" t="s">
        <v>350</v>
      </c>
    </row>
    <row r="29" spans="1:15" x14ac:dyDescent="0.2">
      <c r="A29" s="31" t="s">
        <v>245</v>
      </c>
      <c r="C29" s="19">
        <v>0</v>
      </c>
      <c r="D29" s="19">
        <v>0</v>
      </c>
      <c r="E29" s="19">
        <v>0</v>
      </c>
      <c r="F29" s="65">
        <v>44220</v>
      </c>
      <c r="H29" s="10" t="str">
        <f t="shared" si="0"/>
        <v>0544361</v>
      </c>
      <c r="J29" s="63">
        <v>36011</v>
      </c>
      <c r="K29" s="10">
        <v>0</v>
      </c>
      <c r="L29" s="12">
        <v>27839</v>
      </c>
      <c r="M29" s="12" t="s">
        <v>194</v>
      </c>
      <c r="N29" s="63">
        <v>36011</v>
      </c>
      <c r="O29" s="10" t="s">
        <v>350</v>
      </c>
    </row>
    <row r="30" spans="1:15" x14ac:dyDescent="0.2">
      <c r="A30" s="31" t="s">
        <v>245</v>
      </c>
      <c r="C30" s="19">
        <v>0</v>
      </c>
      <c r="D30" s="19">
        <v>0</v>
      </c>
      <c r="E30" s="19">
        <v>0</v>
      </c>
      <c r="F30" s="65">
        <v>44220</v>
      </c>
      <c r="H30" s="10" t="str">
        <f t="shared" si="0"/>
        <v>0544361</v>
      </c>
      <c r="J30" s="63">
        <v>36722</v>
      </c>
      <c r="K30" s="10">
        <v>0</v>
      </c>
      <c r="L30" s="12">
        <v>27838</v>
      </c>
      <c r="M30" s="12" t="s">
        <v>194</v>
      </c>
      <c r="N30" s="63">
        <v>36722</v>
      </c>
      <c r="O30" s="10" t="s">
        <v>350</v>
      </c>
    </row>
    <row r="31" spans="1:15" x14ac:dyDescent="0.2">
      <c r="A31" s="31" t="s">
        <v>250</v>
      </c>
      <c r="C31" s="19">
        <v>0</v>
      </c>
      <c r="D31" s="19">
        <v>0</v>
      </c>
      <c r="E31" s="19">
        <v>0</v>
      </c>
      <c r="F31" s="65">
        <v>44220</v>
      </c>
      <c r="H31" s="10" t="str">
        <f t="shared" si="0"/>
        <v>0602761</v>
      </c>
      <c r="J31" s="63">
        <v>47060</v>
      </c>
      <c r="K31" s="10">
        <v>0</v>
      </c>
      <c r="L31" s="12">
        <v>27840</v>
      </c>
      <c r="M31" s="12" t="s">
        <v>194</v>
      </c>
      <c r="N31" s="63">
        <v>47060</v>
      </c>
      <c r="O31" s="10" t="s">
        <v>350</v>
      </c>
    </row>
    <row r="32" spans="1:15" x14ac:dyDescent="0.2">
      <c r="A32" s="31" t="s">
        <v>250</v>
      </c>
      <c r="C32" s="19">
        <v>0</v>
      </c>
      <c r="D32" s="19">
        <v>0</v>
      </c>
      <c r="E32" s="19">
        <v>0</v>
      </c>
      <c r="F32" s="65">
        <v>44220</v>
      </c>
      <c r="H32" s="10" t="str">
        <f t="shared" si="0"/>
        <v>0602761</v>
      </c>
      <c r="J32" s="63">
        <v>13495</v>
      </c>
      <c r="K32" s="10">
        <v>0</v>
      </c>
      <c r="L32" s="12">
        <v>27841</v>
      </c>
      <c r="M32" s="12" t="s">
        <v>194</v>
      </c>
      <c r="N32" s="63">
        <v>13495</v>
      </c>
      <c r="O32" s="10" t="s">
        <v>350</v>
      </c>
    </row>
    <row r="33" spans="1:15" x14ac:dyDescent="0.2">
      <c r="A33" s="31" t="s">
        <v>250</v>
      </c>
      <c r="C33" s="19">
        <v>0</v>
      </c>
      <c r="D33" s="19">
        <v>0</v>
      </c>
      <c r="E33" s="19">
        <v>0</v>
      </c>
      <c r="F33" s="65">
        <v>44220</v>
      </c>
      <c r="H33" s="10" t="str">
        <f t="shared" si="0"/>
        <v>0602761</v>
      </c>
      <c r="J33" s="63">
        <v>10949</v>
      </c>
      <c r="K33" s="10">
        <v>0</v>
      </c>
      <c r="L33" s="12">
        <v>27839</v>
      </c>
      <c r="M33" s="12" t="s">
        <v>194</v>
      </c>
      <c r="N33" s="63">
        <v>10949</v>
      </c>
      <c r="O33" s="10" t="s">
        <v>350</v>
      </c>
    </row>
    <row r="34" spans="1:15" x14ac:dyDescent="0.2">
      <c r="A34" s="31" t="s">
        <v>257</v>
      </c>
      <c r="C34" s="19">
        <v>0</v>
      </c>
      <c r="D34" s="19">
        <v>0</v>
      </c>
      <c r="E34" s="19">
        <v>0</v>
      </c>
      <c r="F34" s="65">
        <v>44220</v>
      </c>
      <c r="H34" s="10" t="str">
        <f t="shared" si="0"/>
        <v>0591106</v>
      </c>
      <c r="J34" s="63">
        <v>35425</v>
      </c>
      <c r="K34" s="10">
        <v>0</v>
      </c>
      <c r="L34" s="12">
        <v>27841</v>
      </c>
      <c r="M34" s="12" t="s">
        <v>194</v>
      </c>
      <c r="N34" s="63">
        <v>35425</v>
      </c>
      <c r="O34" s="10" t="s">
        <v>350</v>
      </c>
    </row>
    <row r="35" spans="1:15" x14ac:dyDescent="0.2">
      <c r="A35" s="31" t="s">
        <v>257</v>
      </c>
      <c r="C35" s="19">
        <v>0</v>
      </c>
      <c r="D35" s="19">
        <v>0</v>
      </c>
      <c r="E35" s="19">
        <v>0</v>
      </c>
      <c r="F35" s="65">
        <v>44220</v>
      </c>
      <c r="H35" s="10" t="str">
        <f t="shared" si="0"/>
        <v>0591106</v>
      </c>
      <c r="J35" s="63">
        <v>39664</v>
      </c>
      <c r="K35" s="10">
        <v>0</v>
      </c>
      <c r="L35" s="12">
        <v>27842</v>
      </c>
      <c r="M35" s="12" t="s">
        <v>194</v>
      </c>
      <c r="N35" s="63">
        <v>39664</v>
      </c>
      <c r="O35" s="10" t="s">
        <v>350</v>
      </c>
    </row>
    <row r="36" spans="1:15" x14ac:dyDescent="0.2">
      <c r="A36" s="31" t="s">
        <v>262</v>
      </c>
      <c r="C36" s="19">
        <v>0</v>
      </c>
      <c r="D36" s="19">
        <v>0</v>
      </c>
      <c r="E36" s="19">
        <v>0</v>
      </c>
      <c r="F36" s="65">
        <v>44220</v>
      </c>
      <c r="H36" s="10" t="str">
        <f t="shared" si="0"/>
        <v>0591092</v>
      </c>
      <c r="J36" s="63">
        <v>11305</v>
      </c>
      <c r="K36" s="10">
        <v>0</v>
      </c>
      <c r="L36" s="12">
        <v>27846</v>
      </c>
      <c r="M36" s="12" t="s">
        <v>194</v>
      </c>
      <c r="N36" s="63">
        <v>11305</v>
      </c>
      <c r="O36" s="10" t="s">
        <v>350</v>
      </c>
    </row>
    <row r="37" spans="1:15" x14ac:dyDescent="0.2">
      <c r="A37" s="31" t="s">
        <v>262</v>
      </c>
      <c r="C37" s="19">
        <v>0</v>
      </c>
      <c r="D37" s="19">
        <v>0</v>
      </c>
      <c r="E37" s="19">
        <v>0</v>
      </c>
      <c r="F37" s="65">
        <v>44220</v>
      </c>
      <c r="H37" s="10" t="str">
        <f t="shared" si="0"/>
        <v>0591092</v>
      </c>
      <c r="J37" s="63">
        <v>9056</v>
      </c>
      <c r="K37" s="10">
        <v>0</v>
      </c>
      <c r="L37" s="12">
        <v>27842</v>
      </c>
      <c r="M37" s="12" t="s">
        <v>194</v>
      </c>
      <c r="N37" s="63">
        <v>9056</v>
      </c>
      <c r="O37" s="10" t="s">
        <v>350</v>
      </c>
    </row>
    <row r="38" spans="1:15" x14ac:dyDescent="0.2">
      <c r="A38" s="31" t="s">
        <v>262</v>
      </c>
      <c r="C38" s="19">
        <v>0</v>
      </c>
      <c r="D38" s="19">
        <v>0</v>
      </c>
      <c r="E38" s="19">
        <v>0</v>
      </c>
      <c r="F38" s="65">
        <v>44220</v>
      </c>
      <c r="H38" s="10" t="str">
        <f t="shared" si="0"/>
        <v>0591092</v>
      </c>
      <c r="J38" s="63">
        <v>50440</v>
      </c>
      <c r="K38" s="10">
        <v>0</v>
      </c>
      <c r="L38" s="12">
        <v>27843</v>
      </c>
      <c r="M38" s="12" t="s">
        <v>194</v>
      </c>
      <c r="N38" s="63">
        <v>50440</v>
      </c>
      <c r="O38" s="10" t="s">
        <v>350</v>
      </c>
    </row>
    <row r="39" spans="1:15" x14ac:dyDescent="0.2">
      <c r="A39" s="31" t="s">
        <v>269</v>
      </c>
      <c r="C39" s="19">
        <v>0</v>
      </c>
      <c r="D39" s="19">
        <v>0</v>
      </c>
      <c r="E39" s="19">
        <v>0</v>
      </c>
      <c r="F39" s="65">
        <v>44220</v>
      </c>
      <c r="H39" s="10" t="str">
        <f t="shared" si="0"/>
        <v>0593265</v>
      </c>
      <c r="J39" s="63">
        <v>38925</v>
      </c>
      <c r="K39" s="10">
        <v>0</v>
      </c>
      <c r="L39" s="12">
        <v>27846</v>
      </c>
      <c r="M39" s="12" t="s">
        <v>194</v>
      </c>
      <c r="N39" s="63">
        <v>38925</v>
      </c>
      <c r="O39" s="10" t="s">
        <v>350</v>
      </c>
    </row>
    <row r="40" spans="1:15" x14ac:dyDescent="0.2">
      <c r="A40" s="31" t="s">
        <v>269</v>
      </c>
      <c r="C40" s="19">
        <v>0</v>
      </c>
      <c r="D40" s="19">
        <v>0</v>
      </c>
      <c r="E40" s="19">
        <v>0</v>
      </c>
      <c r="F40" s="65">
        <v>44220</v>
      </c>
      <c r="H40" s="10" t="str">
        <f t="shared" si="0"/>
        <v>0593265</v>
      </c>
      <c r="J40" s="63">
        <v>35782</v>
      </c>
      <c r="K40" s="10">
        <v>0</v>
      </c>
      <c r="L40" s="12">
        <v>27847</v>
      </c>
      <c r="M40" s="12" t="s">
        <v>194</v>
      </c>
      <c r="N40" s="63">
        <v>35782</v>
      </c>
      <c r="O40" s="10" t="s">
        <v>350</v>
      </c>
    </row>
    <row r="41" spans="1:15" x14ac:dyDescent="0.2">
      <c r="A41" s="31" t="s">
        <v>274</v>
      </c>
      <c r="C41" s="19">
        <v>0</v>
      </c>
      <c r="D41" s="19">
        <v>0</v>
      </c>
      <c r="E41" s="19">
        <v>0</v>
      </c>
      <c r="F41" s="65">
        <v>44220</v>
      </c>
      <c r="H41" s="10" t="str">
        <f t="shared" si="0"/>
        <v>0627135</v>
      </c>
      <c r="J41" s="63">
        <v>14878</v>
      </c>
      <c r="K41" s="10">
        <v>0</v>
      </c>
      <c r="L41" s="12">
        <v>27847</v>
      </c>
      <c r="M41" s="12" t="s">
        <v>194</v>
      </c>
      <c r="N41" s="63">
        <v>14878</v>
      </c>
      <c r="O41" s="10" t="s">
        <v>350</v>
      </c>
    </row>
    <row r="42" spans="1:15" x14ac:dyDescent="0.2">
      <c r="A42" s="31" t="s">
        <v>274</v>
      </c>
      <c r="C42" s="19">
        <v>0</v>
      </c>
      <c r="D42" s="19">
        <v>0</v>
      </c>
      <c r="E42" s="19">
        <v>0</v>
      </c>
      <c r="F42" s="65">
        <v>44220</v>
      </c>
      <c r="H42" s="10" t="str">
        <f t="shared" si="0"/>
        <v>0627135</v>
      </c>
      <c r="J42" s="63">
        <v>49720</v>
      </c>
      <c r="K42" s="10">
        <v>0</v>
      </c>
      <c r="L42" s="12">
        <v>27848</v>
      </c>
      <c r="M42" s="12" t="s">
        <v>194</v>
      </c>
      <c r="N42" s="63">
        <v>49720</v>
      </c>
      <c r="O42" s="10" t="s">
        <v>350</v>
      </c>
    </row>
    <row r="43" spans="1:15" x14ac:dyDescent="0.2">
      <c r="A43" s="31" t="s">
        <v>274</v>
      </c>
      <c r="C43" s="19">
        <v>0</v>
      </c>
      <c r="D43" s="19">
        <v>0</v>
      </c>
      <c r="E43" s="19">
        <v>0</v>
      </c>
      <c r="F43" s="65">
        <v>44220</v>
      </c>
      <c r="H43" s="10" t="str">
        <f t="shared" ref="H43:H71" si="1">MID(A43,4,7)</f>
        <v>0627135</v>
      </c>
      <c r="J43" s="63">
        <v>9420</v>
      </c>
      <c r="K43" s="10">
        <v>0</v>
      </c>
      <c r="L43" s="12">
        <v>27850</v>
      </c>
      <c r="M43" s="12" t="s">
        <v>194</v>
      </c>
      <c r="N43" s="63">
        <v>9420</v>
      </c>
      <c r="O43" s="10" t="s">
        <v>350</v>
      </c>
    </row>
    <row r="44" spans="1:15" x14ac:dyDescent="0.2">
      <c r="A44" s="31" t="s">
        <v>281</v>
      </c>
      <c r="C44" s="19">
        <v>0</v>
      </c>
      <c r="D44" s="19">
        <v>0</v>
      </c>
      <c r="E44" s="19">
        <v>0</v>
      </c>
      <c r="F44" s="65">
        <v>44220</v>
      </c>
      <c r="H44" s="10" t="str">
        <f t="shared" si="1"/>
        <v>0598691</v>
      </c>
      <c r="J44" s="63">
        <v>33103</v>
      </c>
      <c r="K44" s="10">
        <v>0</v>
      </c>
      <c r="L44" s="12">
        <v>27851</v>
      </c>
      <c r="M44" s="12" t="s">
        <v>194</v>
      </c>
      <c r="N44" s="63">
        <v>33103</v>
      </c>
      <c r="O44" s="10" t="s">
        <v>350</v>
      </c>
    </row>
    <row r="45" spans="1:15" x14ac:dyDescent="0.2">
      <c r="A45" s="31" t="s">
        <v>281</v>
      </c>
      <c r="C45" s="19">
        <v>0</v>
      </c>
      <c r="D45" s="19">
        <v>0</v>
      </c>
      <c r="E45" s="19">
        <v>0</v>
      </c>
      <c r="F45" s="65">
        <v>44220</v>
      </c>
      <c r="H45" s="10" t="str">
        <f t="shared" si="1"/>
        <v>0598691</v>
      </c>
      <c r="J45" s="63">
        <v>36990</v>
      </c>
      <c r="K45" s="10">
        <v>0</v>
      </c>
      <c r="L45" s="12">
        <v>27850</v>
      </c>
      <c r="M45" s="12" t="s">
        <v>194</v>
      </c>
      <c r="N45" s="63">
        <v>36990</v>
      </c>
      <c r="O45" s="10" t="s">
        <v>350</v>
      </c>
    </row>
    <row r="46" spans="1:15" x14ac:dyDescent="0.2">
      <c r="A46" s="31" t="s">
        <v>286</v>
      </c>
      <c r="C46" s="19">
        <v>0</v>
      </c>
      <c r="D46" s="19">
        <v>0</v>
      </c>
      <c r="E46" s="19">
        <v>0</v>
      </c>
      <c r="F46" s="65">
        <v>44220</v>
      </c>
      <c r="H46" s="10" t="str">
        <f t="shared" si="1"/>
        <v>0563790</v>
      </c>
      <c r="J46" s="63">
        <v>49060</v>
      </c>
      <c r="K46" s="10">
        <v>0</v>
      </c>
      <c r="L46" s="12">
        <v>27852</v>
      </c>
      <c r="M46" s="12" t="s">
        <v>194</v>
      </c>
      <c r="N46" s="63">
        <v>49060</v>
      </c>
      <c r="O46" s="10" t="s">
        <v>350</v>
      </c>
    </row>
    <row r="47" spans="1:15" x14ac:dyDescent="0.2">
      <c r="A47" s="31" t="s">
        <v>286</v>
      </c>
      <c r="C47" s="19">
        <v>0</v>
      </c>
      <c r="D47" s="19">
        <v>0</v>
      </c>
      <c r="E47" s="19">
        <v>0</v>
      </c>
      <c r="F47" s="65">
        <v>44220</v>
      </c>
      <c r="H47" s="10" t="str">
        <f t="shared" si="1"/>
        <v>0563790</v>
      </c>
      <c r="J47" s="63">
        <v>9182</v>
      </c>
      <c r="K47" s="10">
        <v>0</v>
      </c>
      <c r="L47" s="12">
        <v>27853</v>
      </c>
      <c r="M47" s="12" t="s">
        <v>194</v>
      </c>
      <c r="N47" s="63">
        <v>9182</v>
      </c>
      <c r="O47" s="10" t="s">
        <v>350</v>
      </c>
    </row>
    <row r="48" spans="1:15" x14ac:dyDescent="0.2">
      <c r="A48" s="31" t="s">
        <v>286</v>
      </c>
      <c r="C48" s="19">
        <v>0</v>
      </c>
      <c r="D48" s="19">
        <v>0</v>
      </c>
      <c r="E48" s="19">
        <v>0</v>
      </c>
      <c r="F48" s="65">
        <v>44220</v>
      </c>
      <c r="H48" s="10" t="str">
        <f t="shared" si="1"/>
        <v>0563790</v>
      </c>
      <c r="J48" s="63">
        <v>15957</v>
      </c>
      <c r="K48" s="10">
        <v>0</v>
      </c>
      <c r="L48" s="12">
        <v>27851</v>
      </c>
      <c r="M48" s="12" t="s">
        <v>194</v>
      </c>
      <c r="N48" s="63">
        <v>15957</v>
      </c>
      <c r="O48" s="10" t="s">
        <v>350</v>
      </c>
    </row>
    <row r="49" spans="1:15" x14ac:dyDescent="0.2">
      <c r="A49" s="31" t="s">
        <v>293</v>
      </c>
      <c r="C49" s="19">
        <v>0</v>
      </c>
      <c r="D49" s="19">
        <v>0</v>
      </c>
      <c r="E49" s="19">
        <v>0</v>
      </c>
      <c r="F49" s="65">
        <v>44220</v>
      </c>
      <c r="H49" s="10" t="str">
        <f t="shared" si="1"/>
        <v>0604313</v>
      </c>
      <c r="J49" s="63">
        <v>41398</v>
      </c>
      <c r="K49" s="10">
        <v>0</v>
      </c>
      <c r="L49" s="12">
        <v>27853</v>
      </c>
      <c r="M49" s="12" t="s">
        <v>194</v>
      </c>
      <c r="N49" s="63">
        <v>41398</v>
      </c>
      <c r="O49" s="10" t="s">
        <v>350</v>
      </c>
    </row>
    <row r="50" spans="1:15" x14ac:dyDescent="0.2">
      <c r="A50" s="31" t="s">
        <v>293</v>
      </c>
      <c r="C50" s="19">
        <v>0</v>
      </c>
      <c r="D50" s="19">
        <v>0</v>
      </c>
      <c r="E50" s="19">
        <v>0</v>
      </c>
      <c r="F50" s="65">
        <v>44220</v>
      </c>
      <c r="H50" s="10" t="str">
        <f t="shared" si="1"/>
        <v>0604313</v>
      </c>
      <c r="J50" s="63">
        <v>30113</v>
      </c>
      <c r="K50" s="10">
        <v>0</v>
      </c>
      <c r="L50" s="12">
        <v>27854</v>
      </c>
      <c r="M50" s="12" t="s">
        <v>194</v>
      </c>
      <c r="N50" s="63">
        <v>30113</v>
      </c>
      <c r="O50" s="10" t="s">
        <v>350</v>
      </c>
    </row>
    <row r="51" spans="1:15" x14ac:dyDescent="0.2">
      <c r="A51" s="31" t="s">
        <v>298</v>
      </c>
      <c r="C51" s="19">
        <v>0</v>
      </c>
      <c r="D51" s="19">
        <v>0</v>
      </c>
      <c r="E51" s="19">
        <v>0</v>
      </c>
      <c r="F51" s="65">
        <v>44220</v>
      </c>
      <c r="H51" s="10" t="str">
        <f t="shared" si="1"/>
        <v>0603228</v>
      </c>
      <c r="J51" s="63">
        <v>4749</v>
      </c>
      <c r="K51" s="10">
        <v>0</v>
      </c>
      <c r="L51" s="12">
        <v>27856</v>
      </c>
      <c r="M51" s="12" t="s">
        <v>194</v>
      </c>
      <c r="N51" s="63">
        <v>4749</v>
      </c>
      <c r="O51" s="10" t="s">
        <v>350</v>
      </c>
    </row>
    <row r="52" spans="1:15" x14ac:dyDescent="0.2">
      <c r="A52" s="31" t="s">
        <v>298</v>
      </c>
      <c r="C52" s="19">
        <v>0</v>
      </c>
      <c r="D52" s="19">
        <v>0</v>
      </c>
      <c r="E52" s="19">
        <v>0</v>
      </c>
      <c r="F52" s="65">
        <v>44220</v>
      </c>
      <c r="H52" s="10" t="str">
        <f t="shared" si="1"/>
        <v>0603228</v>
      </c>
      <c r="J52" s="63">
        <v>50210</v>
      </c>
      <c r="K52" s="10">
        <v>0</v>
      </c>
      <c r="L52" s="12">
        <v>27855</v>
      </c>
      <c r="M52" s="12" t="s">
        <v>194</v>
      </c>
      <c r="N52" s="63">
        <v>50210</v>
      </c>
      <c r="O52" s="10" t="s">
        <v>350</v>
      </c>
    </row>
    <row r="53" spans="1:15" x14ac:dyDescent="0.2">
      <c r="A53" s="31" t="s">
        <v>298</v>
      </c>
      <c r="C53" s="19">
        <v>0</v>
      </c>
      <c r="D53" s="19">
        <v>0</v>
      </c>
      <c r="E53" s="19">
        <v>0</v>
      </c>
      <c r="F53" s="65">
        <v>44220</v>
      </c>
      <c r="H53" s="10" t="str">
        <f t="shared" si="1"/>
        <v>0603228</v>
      </c>
      <c r="J53" s="63">
        <v>18137</v>
      </c>
      <c r="K53" s="10">
        <v>0</v>
      </c>
      <c r="L53" s="12">
        <v>27854</v>
      </c>
      <c r="M53" s="12" t="s">
        <v>194</v>
      </c>
      <c r="N53" s="63">
        <v>18137</v>
      </c>
      <c r="O53" s="10" t="s">
        <v>350</v>
      </c>
    </row>
    <row r="54" spans="1:15" x14ac:dyDescent="0.2">
      <c r="A54" s="31" t="s">
        <v>305</v>
      </c>
      <c r="C54" s="19">
        <v>0</v>
      </c>
      <c r="D54" s="19">
        <v>0</v>
      </c>
      <c r="E54" s="19">
        <v>0</v>
      </c>
      <c r="F54" s="65">
        <v>44220</v>
      </c>
      <c r="H54" s="10" t="str">
        <f t="shared" si="1"/>
        <v>0566861</v>
      </c>
      <c r="J54" s="63">
        <v>24038</v>
      </c>
      <c r="K54" s="10">
        <v>0</v>
      </c>
      <c r="L54" s="12">
        <v>27857</v>
      </c>
      <c r="M54" s="12" t="s">
        <v>194</v>
      </c>
      <c r="N54" s="63">
        <v>24038</v>
      </c>
      <c r="O54" s="10" t="s">
        <v>350</v>
      </c>
    </row>
    <row r="55" spans="1:15" x14ac:dyDescent="0.2">
      <c r="A55" s="31" t="s">
        <v>305</v>
      </c>
      <c r="C55" s="19">
        <v>0</v>
      </c>
      <c r="D55" s="19">
        <v>0</v>
      </c>
      <c r="E55" s="19">
        <v>0</v>
      </c>
      <c r="F55" s="65">
        <v>44220</v>
      </c>
      <c r="H55" s="10" t="str">
        <f t="shared" si="1"/>
        <v>0566861</v>
      </c>
      <c r="J55" s="63">
        <v>45391</v>
      </c>
      <c r="K55" s="10">
        <v>0</v>
      </c>
      <c r="L55" s="12">
        <v>27856</v>
      </c>
      <c r="M55" s="12" t="s">
        <v>194</v>
      </c>
      <c r="N55" s="63">
        <v>45391</v>
      </c>
      <c r="O55" s="10" t="s">
        <v>350</v>
      </c>
    </row>
    <row r="56" spans="1:15" x14ac:dyDescent="0.2">
      <c r="A56" s="31" t="s">
        <v>310</v>
      </c>
      <c r="C56" s="19">
        <v>0</v>
      </c>
      <c r="D56" s="19">
        <v>0</v>
      </c>
      <c r="E56" s="19">
        <v>0</v>
      </c>
      <c r="F56" s="65">
        <v>44220</v>
      </c>
      <c r="H56" s="10" t="str">
        <f t="shared" si="1"/>
        <v>0591874</v>
      </c>
      <c r="J56" s="63">
        <v>49366</v>
      </c>
      <c r="K56" s="10">
        <v>0</v>
      </c>
      <c r="L56" s="12">
        <v>27862</v>
      </c>
      <c r="M56" s="12" t="s">
        <v>194</v>
      </c>
      <c r="N56" s="63">
        <v>49366</v>
      </c>
      <c r="O56" s="10" t="s">
        <v>350</v>
      </c>
    </row>
    <row r="57" spans="1:15" x14ac:dyDescent="0.2">
      <c r="A57" s="31" t="s">
        <v>310</v>
      </c>
      <c r="C57" s="19">
        <v>0</v>
      </c>
      <c r="D57" s="19">
        <v>0</v>
      </c>
      <c r="E57" s="19">
        <v>0</v>
      </c>
      <c r="F57" s="65">
        <v>44220</v>
      </c>
      <c r="H57" s="10" t="str">
        <f t="shared" si="1"/>
        <v>0591874</v>
      </c>
      <c r="J57" s="63">
        <v>26062</v>
      </c>
      <c r="K57" s="10">
        <v>0</v>
      </c>
      <c r="L57" s="12">
        <v>27857</v>
      </c>
      <c r="M57" s="12" t="s">
        <v>194</v>
      </c>
      <c r="N57" s="63">
        <v>26062</v>
      </c>
      <c r="O57" s="10" t="s">
        <v>350</v>
      </c>
    </row>
    <row r="58" spans="1:15" x14ac:dyDescent="0.2">
      <c r="A58" s="31" t="s">
        <v>315</v>
      </c>
      <c r="C58" s="19">
        <v>0</v>
      </c>
      <c r="D58" s="19">
        <v>0</v>
      </c>
      <c r="E58" s="19">
        <v>0</v>
      </c>
      <c r="F58" s="65">
        <v>44220</v>
      </c>
      <c r="H58" s="10" t="str">
        <f t="shared" si="1"/>
        <v>0538302</v>
      </c>
      <c r="J58" s="63">
        <v>51040</v>
      </c>
      <c r="K58" s="10">
        <v>0</v>
      </c>
      <c r="L58" s="12">
        <v>27845</v>
      </c>
      <c r="M58" s="12" t="s">
        <v>194</v>
      </c>
      <c r="N58" s="63">
        <v>51040</v>
      </c>
      <c r="O58" s="10" t="s">
        <v>350</v>
      </c>
    </row>
    <row r="59" spans="1:15" x14ac:dyDescent="0.2">
      <c r="A59" s="31" t="s">
        <v>315</v>
      </c>
      <c r="C59" s="19">
        <v>0</v>
      </c>
      <c r="D59" s="19">
        <v>0</v>
      </c>
      <c r="E59" s="19">
        <v>0</v>
      </c>
      <c r="F59" s="65">
        <v>44220</v>
      </c>
      <c r="H59" s="10" t="str">
        <f t="shared" si="1"/>
        <v>0538302</v>
      </c>
      <c r="J59" s="63">
        <v>23541</v>
      </c>
      <c r="K59" s="10">
        <v>0</v>
      </c>
      <c r="L59" s="12">
        <v>27849</v>
      </c>
      <c r="M59" s="12" t="s">
        <v>194</v>
      </c>
      <c r="N59" s="63">
        <v>23541</v>
      </c>
      <c r="O59" s="10" t="s">
        <v>350</v>
      </c>
    </row>
    <row r="60" spans="1:15" x14ac:dyDescent="0.2">
      <c r="A60" s="31" t="s">
        <v>322</v>
      </c>
      <c r="C60" s="19">
        <v>0</v>
      </c>
      <c r="D60" s="19">
        <v>0</v>
      </c>
      <c r="E60" s="19">
        <v>0</v>
      </c>
      <c r="F60" s="65">
        <v>44220</v>
      </c>
      <c r="H60" s="10" t="str">
        <f t="shared" si="1"/>
        <v>0593117</v>
      </c>
      <c r="J60" s="63">
        <v>50760</v>
      </c>
      <c r="K60" s="10">
        <v>0</v>
      </c>
      <c r="L60" s="12">
        <v>27860</v>
      </c>
      <c r="M60" s="12" t="s">
        <v>194</v>
      </c>
      <c r="N60" s="63">
        <v>50760</v>
      </c>
      <c r="O60" s="10" t="s">
        <v>350</v>
      </c>
    </row>
    <row r="61" spans="1:15" x14ac:dyDescent="0.2">
      <c r="A61" s="31" t="s">
        <v>322</v>
      </c>
      <c r="C61" s="19">
        <v>0</v>
      </c>
      <c r="D61" s="19">
        <v>0</v>
      </c>
      <c r="E61" s="19">
        <v>0</v>
      </c>
      <c r="F61" s="65">
        <v>44220</v>
      </c>
      <c r="H61" s="10" t="str">
        <f t="shared" si="1"/>
        <v>0593117</v>
      </c>
      <c r="J61" s="63">
        <v>482</v>
      </c>
      <c r="K61" s="10">
        <v>0</v>
      </c>
      <c r="L61" s="12">
        <v>27863</v>
      </c>
      <c r="M61" s="12" t="s">
        <v>194</v>
      </c>
      <c r="N61" s="63">
        <v>482</v>
      </c>
      <c r="O61" s="10" t="s">
        <v>350</v>
      </c>
    </row>
    <row r="62" spans="1:15" x14ac:dyDescent="0.2">
      <c r="A62" s="31" t="s">
        <v>322</v>
      </c>
      <c r="C62" s="19">
        <v>0</v>
      </c>
      <c r="D62" s="19">
        <v>0</v>
      </c>
      <c r="E62" s="19">
        <v>0</v>
      </c>
      <c r="F62" s="65">
        <v>44220</v>
      </c>
      <c r="H62" s="10" t="str">
        <f t="shared" si="1"/>
        <v>0593117</v>
      </c>
      <c r="J62" s="63">
        <v>23949</v>
      </c>
      <c r="K62" s="10">
        <v>0</v>
      </c>
      <c r="L62" s="12">
        <v>27849</v>
      </c>
      <c r="M62" s="12" t="s">
        <v>194</v>
      </c>
      <c r="N62" s="63">
        <v>23949</v>
      </c>
      <c r="O62" s="10" t="s">
        <v>350</v>
      </c>
    </row>
    <row r="63" spans="1:15" x14ac:dyDescent="0.2">
      <c r="A63" s="31" t="s">
        <v>329</v>
      </c>
      <c r="C63" s="19">
        <v>0</v>
      </c>
      <c r="D63" s="19">
        <v>0</v>
      </c>
      <c r="E63" s="19">
        <v>0</v>
      </c>
      <c r="F63" s="65">
        <v>44220</v>
      </c>
      <c r="H63" s="10" t="str">
        <f t="shared" si="1"/>
        <v>0543829</v>
      </c>
      <c r="J63" s="63">
        <v>49548</v>
      </c>
      <c r="K63" s="10">
        <v>0</v>
      </c>
      <c r="L63" s="12">
        <v>27863</v>
      </c>
      <c r="M63" s="12" t="s">
        <v>194</v>
      </c>
      <c r="N63" s="63">
        <v>49548</v>
      </c>
      <c r="O63" s="10" t="s">
        <v>350</v>
      </c>
    </row>
    <row r="64" spans="1:15" x14ac:dyDescent="0.2">
      <c r="A64" s="31" t="s">
        <v>329</v>
      </c>
      <c r="C64" s="19">
        <v>0</v>
      </c>
      <c r="D64" s="19">
        <v>0</v>
      </c>
      <c r="E64" s="19">
        <v>0</v>
      </c>
      <c r="F64" s="65">
        <v>44220</v>
      </c>
      <c r="H64" s="10" t="str">
        <f t="shared" si="1"/>
        <v>0543829</v>
      </c>
      <c r="J64" s="63">
        <v>24948</v>
      </c>
      <c r="K64" s="10">
        <v>0</v>
      </c>
      <c r="L64" s="12">
        <v>27865</v>
      </c>
      <c r="M64" s="12" t="s">
        <v>194</v>
      </c>
      <c r="N64" s="63">
        <v>24948</v>
      </c>
      <c r="O64" s="10" t="s">
        <v>350</v>
      </c>
    </row>
    <row r="65" spans="1:15" x14ac:dyDescent="0.2">
      <c r="A65" s="31" t="s">
        <v>334</v>
      </c>
      <c r="C65" s="19">
        <v>0</v>
      </c>
      <c r="D65" s="19">
        <v>0</v>
      </c>
      <c r="E65" s="19">
        <v>0</v>
      </c>
      <c r="F65" s="65">
        <v>44220</v>
      </c>
      <c r="H65" s="10" t="str">
        <f t="shared" si="1"/>
        <v>0538621</v>
      </c>
      <c r="J65" s="63">
        <v>48594</v>
      </c>
      <c r="K65" s="10">
        <v>0</v>
      </c>
      <c r="L65" s="12">
        <v>27870</v>
      </c>
      <c r="M65" s="12" t="s">
        <v>194</v>
      </c>
      <c r="N65" s="63">
        <v>48594</v>
      </c>
      <c r="O65" s="10" t="s">
        <v>350</v>
      </c>
    </row>
    <row r="66" spans="1:15" x14ac:dyDescent="0.2">
      <c r="A66" s="31" t="s">
        <v>334</v>
      </c>
      <c r="C66" s="19">
        <v>0</v>
      </c>
      <c r="D66" s="19">
        <v>0</v>
      </c>
      <c r="E66" s="19">
        <v>0</v>
      </c>
      <c r="F66" s="65">
        <v>44220</v>
      </c>
      <c r="H66" s="10" t="str">
        <f t="shared" si="1"/>
        <v>0538621</v>
      </c>
      <c r="J66" s="63">
        <v>25922</v>
      </c>
      <c r="K66" s="10">
        <v>0</v>
      </c>
      <c r="L66" s="12">
        <v>27865</v>
      </c>
      <c r="M66" s="12" t="s">
        <v>194</v>
      </c>
      <c r="N66" s="63">
        <v>25922</v>
      </c>
      <c r="O66" s="10" t="s">
        <v>350</v>
      </c>
    </row>
    <row r="67" spans="1:15" x14ac:dyDescent="0.2">
      <c r="A67" s="31" t="s">
        <v>339</v>
      </c>
      <c r="C67" s="19">
        <v>0</v>
      </c>
      <c r="D67" s="19">
        <v>0</v>
      </c>
      <c r="E67" s="19">
        <v>0</v>
      </c>
      <c r="F67" s="65">
        <v>44220</v>
      </c>
      <c r="H67" s="10" t="str">
        <f t="shared" si="1"/>
        <v>0602434</v>
      </c>
      <c r="J67" s="63">
        <v>2446</v>
      </c>
      <c r="K67" s="10">
        <v>0</v>
      </c>
      <c r="L67" s="12">
        <v>27870</v>
      </c>
      <c r="M67" s="12" t="s">
        <v>194</v>
      </c>
      <c r="N67" s="63">
        <v>2446</v>
      </c>
      <c r="O67" s="10" t="s">
        <v>350</v>
      </c>
    </row>
    <row r="68" spans="1:15" x14ac:dyDescent="0.2">
      <c r="A68" s="31" t="s">
        <v>339</v>
      </c>
      <c r="C68" s="19">
        <v>0</v>
      </c>
      <c r="D68" s="19">
        <v>0</v>
      </c>
      <c r="E68" s="19">
        <v>0</v>
      </c>
      <c r="F68" s="65">
        <v>44220</v>
      </c>
      <c r="H68" s="10" t="str">
        <f t="shared" si="1"/>
        <v>0602434</v>
      </c>
      <c r="J68" s="63">
        <v>47160</v>
      </c>
      <c r="K68" s="10">
        <v>0</v>
      </c>
      <c r="L68" s="12">
        <v>27831</v>
      </c>
      <c r="M68" s="12" t="s">
        <v>194</v>
      </c>
      <c r="N68" s="63">
        <v>47160</v>
      </c>
      <c r="O68" s="10" t="s">
        <v>350</v>
      </c>
    </row>
    <row r="69" spans="1:15" x14ac:dyDescent="0.2">
      <c r="A69" s="31" t="s">
        <v>339</v>
      </c>
      <c r="C69" s="19">
        <v>0</v>
      </c>
      <c r="D69" s="19">
        <v>0</v>
      </c>
      <c r="E69" s="19">
        <v>0</v>
      </c>
      <c r="F69" s="65">
        <v>44220</v>
      </c>
      <c r="H69" s="10" t="str">
        <f t="shared" si="1"/>
        <v>0602434</v>
      </c>
      <c r="J69" s="63">
        <v>23103</v>
      </c>
      <c r="K69" s="10">
        <v>0</v>
      </c>
      <c r="L69" s="12">
        <v>27872</v>
      </c>
      <c r="M69" s="12" t="s">
        <v>194</v>
      </c>
      <c r="N69" s="63">
        <v>23103</v>
      </c>
      <c r="O69" s="10" t="s">
        <v>350</v>
      </c>
    </row>
    <row r="70" spans="1:15" x14ac:dyDescent="0.2">
      <c r="A70" s="31" t="s">
        <v>346</v>
      </c>
      <c r="C70" s="19">
        <v>0</v>
      </c>
      <c r="D70" s="19">
        <v>0</v>
      </c>
      <c r="E70" s="19">
        <v>0</v>
      </c>
      <c r="F70" s="65">
        <v>44220</v>
      </c>
      <c r="H70" s="10" t="str">
        <f t="shared" si="1"/>
        <v>0605069</v>
      </c>
      <c r="J70" s="63">
        <v>49030</v>
      </c>
      <c r="K70" s="10">
        <v>0</v>
      </c>
      <c r="L70" s="12">
        <v>27880</v>
      </c>
      <c r="M70" s="12" t="s">
        <v>194</v>
      </c>
      <c r="N70" s="63">
        <v>49030</v>
      </c>
      <c r="O70" s="10" t="s">
        <v>350</v>
      </c>
    </row>
    <row r="71" spans="1:15" x14ac:dyDescent="0.2">
      <c r="A71" s="31" t="s">
        <v>346</v>
      </c>
      <c r="C71" s="19">
        <v>0</v>
      </c>
      <c r="D71" s="19">
        <v>0</v>
      </c>
      <c r="E71" s="19">
        <v>0</v>
      </c>
      <c r="F71" s="65">
        <v>44220</v>
      </c>
      <c r="H71" s="10" t="str">
        <f t="shared" si="1"/>
        <v>0605069</v>
      </c>
      <c r="J71" s="63">
        <v>25427</v>
      </c>
      <c r="K71" s="10">
        <v>0</v>
      </c>
      <c r="L71" s="12">
        <v>27872</v>
      </c>
      <c r="M71" s="12" t="s">
        <v>194</v>
      </c>
      <c r="N71" s="63">
        <v>25427</v>
      </c>
      <c r="O71" s="10" t="s">
        <v>350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topLeftCell="L1" zoomScaleNormal="100" workbookViewId="0">
      <selection activeCell="M3" sqref="M3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4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185</v>
      </c>
      <c r="M1" t="str">
        <f>VLOOKUP(L1,dados!$H:$T,13,0)</f>
        <v>1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06315338018166</v>
      </c>
      <c r="M2" s="7" t="str">
        <f>IFERROR(VLOOKUP(L1,dados!$H:$Y,18,0),"")</f>
        <v>TIPLAM - Porto Inácio Antonio Mesquita - Santos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36" t="s">
        <v>185</v>
      </c>
      <c r="M6" s="36" t="s">
        <v>184</v>
      </c>
      <c r="N6" s="37">
        <v>61</v>
      </c>
    </row>
    <row r="7" spans="1:14" x14ac:dyDescent="0.25">
      <c r="A7" s="30" t="s">
        <v>70</v>
      </c>
      <c r="B7" s="26" t="s">
        <v>71</v>
      </c>
      <c r="D7" s="59" t="s">
        <v>196</v>
      </c>
      <c r="E7" s="62" t="s">
        <v>352</v>
      </c>
      <c r="F7" s="38"/>
      <c r="H7" s="2" t="s">
        <v>14</v>
      </c>
      <c r="I7" t="s">
        <v>12</v>
      </c>
    </row>
    <row r="8" spans="1:14" x14ac:dyDescent="0.25">
      <c r="A8" s="30" t="s">
        <v>72</v>
      </c>
      <c r="B8" s="26" t="s">
        <v>73</v>
      </c>
      <c r="D8" s="39"/>
      <c r="E8" s="47"/>
      <c r="F8" s="38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62"/>
  <sheetViews>
    <sheetView topLeftCell="L1" workbookViewId="0">
      <selection activeCell="A2" sqref="A2:AB62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8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</row>
    <row r="2" spans="1:28" x14ac:dyDescent="0.25">
      <c r="A2" s="61" t="s">
        <v>186</v>
      </c>
      <c r="B2" s="52">
        <v>44220</v>
      </c>
      <c r="C2" s="53">
        <v>0.75664934027777797</v>
      </c>
      <c r="D2" s="54" t="s">
        <v>187</v>
      </c>
      <c r="E2" s="54" t="s">
        <v>188</v>
      </c>
      <c r="F2" s="54" t="s">
        <v>189</v>
      </c>
      <c r="G2" s="54" t="s">
        <v>184</v>
      </c>
      <c r="H2" s="54" t="s">
        <v>185</v>
      </c>
      <c r="I2" s="54" t="s">
        <v>190</v>
      </c>
      <c r="J2" s="54" t="s">
        <v>185</v>
      </c>
      <c r="K2" s="54" t="s">
        <v>191</v>
      </c>
      <c r="L2" s="54" t="s">
        <v>185</v>
      </c>
      <c r="M2" s="54"/>
      <c r="N2" s="54" t="s">
        <v>192</v>
      </c>
      <c r="O2" s="55">
        <v>93.677000000000007</v>
      </c>
      <c r="P2" s="56">
        <v>23.3</v>
      </c>
      <c r="Q2" s="55">
        <v>70.376999999999995</v>
      </c>
      <c r="R2" s="57" t="s">
        <v>186</v>
      </c>
      <c r="S2" s="58" t="s">
        <v>193</v>
      </c>
      <c r="T2" s="54" t="s">
        <v>194</v>
      </c>
      <c r="U2" s="55">
        <v>67210</v>
      </c>
      <c r="V2" s="55">
        <v>47</v>
      </c>
      <c r="W2" s="55">
        <v>23.036999999999999</v>
      </c>
      <c r="X2" s="59" t="s">
        <v>195</v>
      </c>
      <c r="Y2" s="59" t="s">
        <v>196</v>
      </c>
      <c r="Z2" s="51" t="s">
        <v>197</v>
      </c>
      <c r="AA2" s="51" t="s">
        <v>198</v>
      </c>
      <c r="AB2" s="51"/>
    </row>
    <row r="3" spans="1:28" x14ac:dyDescent="0.25">
      <c r="A3" s="61" t="s">
        <v>186</v>
      </c>
      <c r="B3" s="52">
        <v>44220</v>
      </c>
      <c r="C3" s="53">
        <v>0.75664934027777797</v>
      </c>
      <c r="D3" s="54" t="s">
        <v>187</v>
      </c>
      <c r="E3" s="54" t="s">
        <v>188</v>
      </c>
      <c r="F3" s="54" t="s">
        <v>189</v>
      </c>
      <c r="G3" s="54" t="s">
        <v>184</v>
      </c>
      <c r="H3" s="54" t="s">
        <v>185</v>
      </c>
      <c r="I3" s="54" t="s">
        <v>190</v>
      </c>
      <c r="J3" s="54" t="s">
        <v>185</v>
      </c>
      <c r="K3" s="54" t="s">
        <v>191</v>
      </c>
      <c r="L3" s="54" t="s">
        <v>185</v>
      </c>
      <c r="M3" s="54"/>
      <c r="N3" s="54" t="s">
        <v>192</v>
      </c>
      <c r="O3" s="55">
        <v>93.677000000000007</v>
      </c>
      <c r="P3" s="56">
        <v>23.3</v>
      </c>
      <c r="Q3" s="55">
        <v>70.376999999999995</v>
      </c>
      <c r="R3" s="57" t="s">
        <v>186</v>
      </c>
      <c r="S3" s="58" t="s">
        <v>199</v>
      </c>
      <c r="T3" s="54" t="s">
        <v>194</v>
      </c>
      <c r="U3" s="55">
        <v>67696.2</v>
      </c>
      <c r="V3" s="55">
        <v>47.34</v>
      </c>
      <c r="W3" s="55">
        <v>47.34</v>
      </c>
      <c r="X3" s="59" t="s">
        <v>200</v>
      </c>
      <c r="Y3" s="59" t="s">
        <v>196</v>
      </c>
      <c r="Z3" s="51" t="s">
        <v>197</v>
      </c>
      <c r="AA3" s="51" t="s">
        <v>198</v>
      </c>
      <c r="AB3" s="51"/>
    </row>
    <row r="4" spans="1:28" x14ac:dyDescent="0.25">
      <c r="A4" s="61" t="s">
        <v>186</v>
      </c>
      <c r="B4" s="52">
        <v>44220</v>
      </c>
      <c r="C4" s="53">
        <v>0.76017546296296301</v>
      </c>
      <c r="D4" s="54" t="s">
        <v>201</v>
      </c>
      <c r="E4" s="54" t="s">
        <v>188</v>
      </c>
      <c r="F4" s="54" t="s">
        <v>189</v>
      </c>
      <c r="G4" s="54" t="s">
        <v>184</v>
      </c>
      <c r="H4" s="54" t="s">
        <v>185</v>
      </c>
      <c r="I4" s="54" t="s">
        <v>190</v>
      </c>
      <c r="J4" s="54" t="s">
        <v>185</v>
      </c>
      <c r="K4" s="54" t="s">
        <v>191</v>
      </c>
      <c r="L4" s="54" t="s">
        <v>185</v>
      </c>
      <c r="M4" s="54"/>
      <c r="N4" s="54" t="s">
        <v>202</v>
      </c>
      <c r="O4" s="55">
        <v>94.108999999999995</v>
      </c>
      <c r="P4" s="56">
        <v>23</v>
      </c>
      <c r="Q4" s="55">
        <v>71.108999999999995</v>
      </c>
      <c r="R4" s="57" t="s">
        <v>186</v>
      </c>
      <c r="S4" s="58" t="s">
        <v>203</v>
      </c>
      <c r="T4" s="54" t="s">
        <v>194</v>
      </c>
      <c r="U4" s="55">
        <v>70127.199999999997</v>
      </c>
      <c r="V4" s="55">
        <v>49.04</v>
      </c>
      <c r="W4" s="55">
        <v>23.989000000000001</v>
      </c>
      <c r="X4" s="59" t="s">
        <v>204</v>
      </c>
      <c r="Y4" s="59" t="s">
        <v>196</v>
      </c>
      <c r="Z4" s="51" t="s">
        <v>197</v>
      </c>
      <c r="AA4" s="51" t="s">
        <v>205</v>
      </c>
      <c r="AB4" s="51"/>
    </row>
    <row r="5" spans="1:28" x14ac:dyDescent="0.25">
      <c r="A5" s="61" t="s">
        <v>186</v>
      </c>
      <c r="B5" s="52">
        <v>44220</v>
      </c>
      <c r="C5" s="53">
        <v>0.76017546296296301</v>
      </c>
      <c r="D5" s="54" t="s">
        <v>201</v>
      </c>
      <c r="E5" s="54" t="s">
        <v>188</v>
      </c>
      <c r="F5" s="54" t="s">
        <v>189</v>
      </c>
      <c r="G5" s="54" t="s">
        <v>184</v>
      </c>
      <c r="H5" s="54" t="s">
        <v>185</v>
      </c>
      <c r="I5" s="54" t="s">
        <v>190</v>
      </c>
      <c r="J5" s="54" t="s">
        <v>185</v>
      </c>
      <c r="K5" s="54" t="s">
        <v>191</v>
      </c>
      <c r="L5" s="54" t="s">
        <v>185</v>
      </c>
      <c r="M5" s="54"/>
      <c r="N5" s="54" t="s">
        <v>202</v>
      </c>
      <c r="O5" s="55">
        <v>94.108999999999995</v>
      </c>
      <c r="P5" s="56">
        <v>23</v>
      </c>
      <c r="Q5" s="55">
        <v>71.108999999999995</v>
      </c>
      <c r="R5" s="57" t="s">
        <v>186</v>
      </c>
      <c r="S5" s="58" t="s">
        <v>206</v>
      </c>
      <c r="T5" s="54" t="s">
        <v>194</v>
      </c>
      <c r="U5" s="55">
        <v>67410.2</v>
      </c>
      <c r="V5" s="55">
        <v>47.14</v>
      </c>
      <c r="W5" s="55">
        <v>47.12</v>
      </c>
      <c r="X5" s="59" t="s">
        <v>207</v>
      </c>
      <c r="Y5" s="59" t="s">
        <v>196</v>
      </c>
      <c r="Z5" s="51" t="s">
        <v>197</v>
      </c>
      <c r="AA5" s="51" t="s">
        <v>205</v>
      </c>
      <c r="AB5" s="51"/>
    </row>
    <row r="6" spans="1:28" x14ac:dyDescent="0.25">
      <c r="A6" s="61" t="s">
        <v>186</v>
      </c>
      <c r="B6" s="52">
        <v>44220</v>
      </c>
      <c r="C6" s="53">
        <v>0.76578193287037</v>
      </c>
      <c r="D6" s="54" t="s">
        <v>208</v>
      </c>
      <c r="E6" s="54" t="s">
        <v>188</v>
      </c>
      <c r="F6" s="54" t="s">
        <v>189</v>
      </c>
      <c r="G6" s="54" t="s">
        <v>184</v>
      </c>
      <c r="H6" s="54" t="s">
        <v>185</v>
      </c>
      <c r="I6" s="54" t="s">
        <v>190</v>
      </c>
      <c r="J6" s="54" t="s">
        <v>185</v>
      </c>
      <c r="K6" s="54" t="s">
        <v>191</v>
      </c>
      <c r="L6" s="54" t="s">
        <v>185</v>
      </c>
      <c r="M6" s="54"/>
      <c r="N6" s="54" t="s">
        <v>209</v>
      </c>
      <c r="O6" s="55">
        <v>95.111999999999995</v>
      </c>
      <c r="P6" s="56">
        <v>23</v>
      </c>
      <c r="Q6" s="55">
        <v>72.111999999999995</v>
      </c>
      <c r="R6" s="57" t="s">
        <v>186</v>
      </c>
      <c r="S6" s="58" t="s">
        <v>203</v>
      </c>
      <c r="T6" s="54" t="s">
        <v>194</v>
      </c>
      <c r="U6" s="55">
        <v>70127.199999999997</v>
      </c>
      <c r="V6" s="55">
        <v>49.04</v>
      </c>
      <c r="W6" s="55">
        <v>25.030999999999999</v>
      </c>
      <c r="X6" s="59" t="s">
        <v>204</v>
      </c>
      <c r="Y6" s="59" t="s">
        <v>196</v>
      </c>
      <c r="Z6" s="51" t="s">
        <v>197</v>
      </c>
      <c r="AA6" s="51" t="s">
        <v>210</v>
      </c>
      <c r="AB6" s="51"/>
    </row>
    <row r="7" spans="1:28" x14ac:dyDescent="0.25">
      <c r="A7" s="61" t="s">
        <v>186</v>
      </c>
      <c r="B7" s="52">
        <v>44220</v>
      </c>
      <c r="C7" s="53">
        <v>0.76578193287037</v>
      </c>
      <c r="D7" s="54" t="s">
        <v>208</v>
      </c>
      <c r="E7" s="54" t="s">
        <v>188</v>
      </c>
      <c r="F7" s="54" t="s">
        <v>189</v>
      </c>
      <c r="G7" s="54" t="s">
        <v>184</v>
      </c>
      <c r="H7" s="54" t="s">
        <v>185</v>
      </c>
      <c r="I7" s="54" t="s">
        <v>190</v>
      </c>
      <c r="J7" s="54" t="s">
        <v>185</v>
      </c>
      <c r="K7" s="54" t="s">
        <v>191</v>
      </c>
      <c r="L7" s="54" t="s">
        <v>185</v>
      </c>
      <c r="M7" s="54"/>
      <c r="N7" s="54" t="s">
        <v>209</v>
      </c>
      <c r="O7" s="55">
        <v>95.111999999999995</v>
      </c>
      <c r="P7" s="56">
        <v>23</v>
      </c>
      <c r="Q7" s="55">
        <v>72.111999999999995</v>
      </c>
      <c r="R7" s="57" t="s">
        <v>186</v>
      </c>
      <c r="S7" s="58" t="s">
        <v>211</v>
      </c>
      <c r="T7" s="54" t="s">
        <v>194</v>
      </c>
      <c r="U7" s="55">
        <v>70899.399999999994</v>
      </c>
      <c r="V7" s="55">
        <v>49.58</v>
      </c>
      <c r="W7" s="55">
        <v>47.081000000000003</v>
      </c>
      <c r="X7" s="59" t="s">
        <v>212</v>
      </c>
      <c r="Y7" s="59" t="s">
        <v>196</v>
      </c>
      <c r="Z7" s="51" t="s">
        <v>197</v>
      </c>
      <c r="AA7" s="51" t="s">
        <v>210</v>
      </c>
      <c r="AB7" s="51"/>
    </row>
    <row r="8" spans="1:28" x14ac:dyDescent="0.25">
      <c r="A8" s="61" t="s">
        <v>186</v>
      </c>
      <c r="B8" s="52">
        <v>44220</v>
      </c>
      <c r="C8" s="53">
        <v>0.77333515046296297</v>
      </c>
      <c r="D8" s="54" t="s">
        <v>213</v>
      </c>
      <c r="E8" s="54" t="s">
        <v>188</v>
      </c>
      <c r="F8" s="54" t="s">
        <v>189</v>
      </c>
      <c r="G8" s="54" t="s">
        <v>184</v>
      </c>
      <c r="H8" s="54" t="s">
        <v>185</v>
      </c>
      <c r="I8" s="54" t="s">
        <v>190</v>
      </c>
      <c r="J8" s="54" t="s">
        <v>185</v>
      </c>
      <c r="K8" s="54" t="s">
        <v>191</v>
      </c>
      <c r="L8" s="54" t="s">
        <v>185</v>
      </c>
      <c r="M8" s="54"/>
      <c r="N8" s="54" t="s">
        <v>214</v>
      </c>
      <c r="O8" s="55">
        <v>97.665999999999997</v>
      </c>
      <c r="P8" s="56">
        <v>23.3</v>
      </c>
      <c r="Q8" s="55">
        <v>74.366</v>
      </c>
      <c r="R8" s="57" t="s">
        <v>186</v>
      </c>
      <c r="S8" s="58" t="s">
        <v>215</v>
      </c>
      <c r="T8" s="54" t="s">
        <v>194</v>
      </c>
      <c r="U8" s="55">
        <v>72372.3</v>
      </c>
      <c r="V8" s="55">
        <v>50.61</v>
      </c>
      <c r="W8" s="55">
        <v>27.366</v>
      </c>
      <c r="X8" s="59" t="s">
        <v>216</v>
      </c>
      <c r="Y8" s="59" t="s">
        <v>196</v>
      </c>
      <c r="Z8" s="51" t="s">
        <v>197</v>
      </c>
      <c r="AA8" s="51" t="s">
        <v>217</v>
      </c>
      <c r="AB8" s="51"/>
    </row>
    <row r="9" spans="1:28" x14ac:dyDescent="0.25">
      <c r="A9" s="61" t="s">
        <v>186</v>
      </c>
      <c r="B9" s="52">
        <v>44220</v>
      </c>
      <c r="C9" s="53">
        <v>0.77333515046296297</v>
      </c>
      <c r="D9" s="54" t="s">
        <v>213</v>
      </c>
      <c r="E9" s="54" t="s">
        <v>188</v>
      </c>
      <c r="F9" s="54" t="s">
        <v>189</v>
      </c>
      <c r="G9" s="54" t="s">
        <v>184</v>
      </c>
      <c r="H9" s="54" t="s">
        <v>185</v>
      </c>
      <c r="I9" s="54" t="s">
        <v>190</v>
      </c>
      <c r="J9" s="54" t="s">
        <v>185</v>
      </c>
      <c r="K9" s="54" t="s">
        <v>191</v>
      </c>
      <c r="L9" s="54" t="s">
        <v>185</v>
      </c>
      <c r="M9" s="54"/>
      <c r="N9" s="54" t="s">
        <v>214</v>
      </c>
      <c r="O9" s="55">
        <v>97.665999999999997</v>
      </c>
      <c r="P9" s="56">
        <v>23.3</v>
      </c>
      <c r="Q9" s="55">
        <v>74.366</v>
      </c>
      <c r="R9" s="57" t="s">
        <v>186</v>
      </c>
      <c r="S9" s="58" t="s">
        <v>218</v>
      </c>
      <c r="T9" s="54" t="s">
        <v>194</v>
      </c>
      <c r="U9" s="55">
        <v>67238.600000000006</v>
      </c>
      <c r="V9" s="55">
        <v>47.02</v>
      </c>
      <c r="W9" s="55">
        <v>47</v>
      </c>
      <c r="X9" s="59" t="s">
        <v>219</v>
      </c>
      <c r="Y9" s="59" t="s">
        <v>196</v>
      </c>
      <c r="Z9" s="51" t="s">
        <v>197</v>
      </c>
      <c r="AA9" s="51" t="s">
        <v>217</v>
      </c>
      <c r="AB9" s="51"/>
    </row>
    <row r="10" spans="1:28" x14ac:dyDescent="0.25">
      <c r="A10" s="61" t="s">
        <v>186</v>
      </c>
      <c r="B10" s="52">
        <v>44220</v>
      </c>
      <c r="C10" s="53">
        <v>0.77524700231481503</v>
      </c>
      <c r="D10" s="54" t="s">
        <v>220</v>
      </c>
      <c r="E10" s="54" t="s">
        <v>188</v>
      </c>
      <c r="F10" s="54" t="s">
        <v>189</v>
      </c>
      <c r="G10" s="54" t="s">
        <v>184</v>
      </c>
      <c r="H10" s="54" t="s">
        <v>185</v>
      </c>
      <c r="I10" s="54" t="s">
        <v>190</v>
      </c>
      <c r="J10" s="54" t="s">
        <v>185</v>
      </c>
      <c r="K10" s="54" t="s">
        <v>191</v>
      </c>
      <c r="L10" s="54" t="s">
        <v>185</v>
      </c>
      <c r="M10" s="54"/>
      <c r="N10" s="54" t="s">
        <v>221</v>
      </c>
      <c r="O10" s="55">
        <v>96.57</v>
      </c>
      <c r="P10" s="56">
        <v>23.3</v>
      </c>
      <c r="Q10" s="55">
        <v>73.27</v>
      </c>
      <c r="R10" s="57" t="s">
        <v>186</v>
      </c>
      <c r="S10" s="58" t="s">
        <v>215</v>
      </c>
      <c r="T10" s="54" t="s">
        <v>194</v>
      </c>
      <c r="U10" s="55">
        <v>72372.3</v>
      </c>
      <c r="V10" s="55">
        <v>50.61</v>
      </c>
      <c r="W10" s="55">
        <v>23.244</v>
      </c>
      <c r="X10" s="59" t="s">
        <v>216</v>
      </c>
      <c r="Y10" s="59" t="s">
        <v>196</v>
      </c>
      <c r="Z10" s="51" t="s">
        <v>197</v>
      </c>
      <c r="AA10" s="51" t="s">
        <v>222</v>
      </c>
      <c r="AB10" s="51"/>
    </row>
    <row r="11" spans="1:28" x14ac:dyDescent="0.25">
      <c r="A11" s="61" t="s">
        <v>186</v>
      </c>
      <c r="B11" s="52">
        <v>44220</v>
      </c>
      <c r="C11" s="53">
        <v>0.77524700231481503</v>
      </c>
      <c r="D11" s="54" t="s">
        <v>220</v>
      </c>
      <c r="E11" s="54" t="s">
        <v>188</v>
      </c>
      <c r="F11" s="54" t="s">
        <v>189</v>
      </c>
      <c r="G11" s="54" t="s">
        <v>184</v>
      </c>
      <c r="H11" s="54" t="s">
        <v>185</v>
      </c>
      <c r="I11" s="54" t="s">
        <v>190</v>
      </c>
      <c r="J11" s="54" t="s">
        <v>185</v>
      </c>
      <c r="K11" s="54" t="s">
        <v>191</v>
      </c>
      <c r="L11" s="54" t="s">
        <v>185</v>
      </c>
      <c r="M11" s="54"/>
      <c r="N11" s="54" t="s">
        <v>221</v>
      </c>
      <c r="O11" s="55">
        <v>96.57</v>
      </c>
      <c r="P11" s="56">
        <v>23.3</v>
      </c>
      <c r="Q11" s="55">
        <v>73.27</v>
      </c>
      <c r="R11" s="57" t="s">
        <v>186</v>
      </c>
      <c r="S11" s="58" t="s">
        <v>223</v>
      </c>
      <c r="T11" s="54" t="s">
        <v>194</v>
      </c>
      <c r="U11" s="55">
        <v>70813.600000000006</v>
      </c>
      <c r="V11" s="55">
        <v>49.52</v>
      </c>
      <c r="W11" s="55">
        <v>49.52</v>
      </c>
      <c r="X11" s="59" t="s">
        <v>224</v>
      </c>
      <c r="Y11" s="59" t="s">
        <v>196</v>
      </c>
      <c r="Z11" s="51" t="s">
        <v>197</v>
      </c>
      <c r="AA11" s="51" t="s">
        <v>222</v>
      </c>
      <c r="AB11" s="51"/>
    </row>
    <row r="12" spans="1:28" x14ac:dyDescent="0.25">
      <c r="A12" s="61" t="s">
        <v>186</v>
      </c>
      <c r="B12" s="52">
        <v>44220</v>
      </c>
      <c r="C12" s="53">
        <v>0.77524700231481503</v>
      </c>
      <c r="D12" s="54" t="s">
        <v>220</v>
      </c>
      <c r="E12" s="54" t="s">
        <v>188</v>
      </c>
      <c r="F12" s="54" t="s">
        <v>189</v>
      </c>
      <c r="G12" s="54" t="s">
        <v>184</v>
      </c>
      <c r="H12" s="54" t="s">
        <v>185</v>
      </c>
      <c r="I12" s="54" t="s">
        <v>190</v>
      </c>
      <c r="J12" s="54" t="s">
        <v>185</v>
      </c>
      <c r="K12" s="54" t="s">
        <v>191</v>
      </c>
      <c r="L12" s="54" t="s">
        <v>185</v>
      </c>
      <c r="M12" s="54"/>
      <c r="N12" s="54" t="s">
        <v>221</v>
      </c>
      <c r="O12" s="55">
        <v>96.57</v>
      </c>
      <c r="P12" s="56">
        <v>23.3</v>
      </c>
      <c r="Q12" s="55">
        <v>73.27</v>
      </c>
      <c r="R12" s="57" t="s">
        <v>186</v>
      </c>
      <c r="S12" s="58" t="s">
        <v>225</v>
      </c>
      <c r="T12" s="54" t="s">
        <v>194</v>
      </c>
      <c r="U12" s="55">
        <v>73216</v>
      </c>
      <c r="V12" s="55">
        <v>51.2</v>
      </c>
      <c r="W12" s="55">
        <v>0.50600000000000001</v>
      </c>
      <c r="X12" s="59" t="s">
        <v>226</v>
      </c>
      <c r="Y12" s="59" t="s">
        <v>196</v>
      </c>
      <c r="Z12" s="51" t="s">
        <v>197</v>
      </c>
      <c r="AA12" s="51" t="s">
        <v>222</v>
      </c>
      <c r="AB12" s="51"/>
    </row>
    <row r="13" spans="1:28" x14ac:dyDescent="0.25">
      <c r="A13" s="61" t="s">
        <v>186</v>
      </c>
      <c r="B13" s="52">
        <v>44220</v>
      </c>
      <c r="C13" s="53">
        <v>0.77699748842592598</v>
      </c>
      <c r="D13" s="54" t="s">
        <v>227</v>
      </c>
      <c r="E13" s="54" t="s">
        <v>188</v>
      </c>
      <c r="F13" s="54" t="s">
        <v>189</v>
      </c>
      <c r="G13" s="54" t="s">
        <v>184</v>
      </c>
      <c r="H13" s="54" t="s">
        <v>185</v>
      </c>
      <c r="I13" s="54" t="s">
        <v>190</v>
      </c>
      <c r="J13" s="54" t="s">
        <v>185</v>
      </c>
      <c r="K13" s="54" t="s">
        <v>191</v>
      </c>
      <c r="L13" s="54" t="s">
        <v>185</v>
      </c>
      <c r="M13" s="54"/>
      <c r="N13" s="54" t="s">
        <v>228</v>
      </c>
      <c r="O13" s="55">
        <v>97.765000000000001</v>
      </c>
      <c r="P13" s="56">
        <v>23.3</v>
      </c>
      <c r="Q13" s="55">
        <v>74.465000000000003</v>
      </c>
      <c r="R13" s="57" t="s">
        <v>186</v>
      </c>
      <c r="S13" s="58" t="s">
        <v>229</v>
      </c>
      <c r="T13" s="54" t="s">
        <v>194</v>
      </c>
      <c r="U13" s="55">
        <v>73030.100000000006</v>
      </c>
      <c r="V13" s="55">
        <v>51.07</v>
      </c>
      <c r="W13" s="55">
        <v>23.931000000000001</v>
      </c>
      <c r="X13" s="59" t="s">
        <v>230</v>
      </c>
      <c r="Y13" s="59" t="s">
        <v>196</v>
      </c>
      <c r="Z13" s="51" t="s">
        <v>197</v>
      </c>
      <c r="AA13" s="51" t="s">
        <v>231</v>
      </c>
      <c r="AB13" s="51"/>
    </row>
    <row r="14" spans="1:28" x14ac:dyDescent="0.25">
      <c r="A14" s="61" t="s">
        <v>186</v>
      </c>
      <c r="B14" s="52">
        <v>44220</v>
      </c>
      <c r="C14" s="53">
        <v>0.77699748842592598</v>
      </c>
      <c r="D14" s="54" t="s">
        <v>227</v>
      </c>
      <c r="E14" s="54" t="s">
        <v>188</v>
      </c>
      <c r="F14" s="54" t="s">
        <v>189</v>
      </c>
      <c r="G14" s="54" t="s">
        <v>184</v>
      </c>
      <c r="H14" s="54" t="s">
        <v>185</v>
      </c>
      <c r="I14" s="54" t="s">
        <v>190</v>
      </c>
      <c r="J14" s="54" t="s">
        <v>185</v>
      </c>
      <c r="K14" s="54" t="s">
        <v>191</v>
      </c>
      <c r="L14" s="54" t="s">
        <v>185</v>
      </c>
      <c r="M14" s="54"/>
      <c r="N14" s="54" t="s">
        <v>228</v>
      </c>
      <c r="O14" s="55">
        <v>97.765000000000001</v>
      </c>
      <c r="P14" s="56">
        <v>23.3</v>
      </c>
      <c r="Q14" s="55">
        <v>74.465000000000003</v>
      </c>
      <c r="R14" s="57" t="s">
        <v>186</v>
      </c>
      <c r="S14" s="58" t="s">
        <v>225</v>
      </c>
      <c r="T14" s="54" t="s">
        <v>194</v>
      </c>
      <c r="U14" s="55">
        <v>73216</v>
      </c>
      <c r="V14" s="55">
        <v>51.2</v>
      </c>
      <c r="W14" s="55">
        <v>50.533999999999999</v>
      </c>
      <c r="X14" s="59" t="s">
        <v>226</v>
      </c>
      <c r="Y14" s="59" t="s">
        <v>196</v>
      </c>
      <c r="Z14" s="51" t="s">
        <v>197</v>
      </c>
      <c r="AA14" s="51" t="s">
        <v>231</v>
      </c>
      <c r="AB14" s="51"/>
    </row>
    <row r="15" spans="1:28" x14ac:dyDescent="0.25">
      <c r="A15" s="61" t="s">
        <v>186</v>
      </c>
      <c r="B15" s="52">
        <v>44220</v>
      </c>
      <c r="C15" s="53">
        <v>0.77791991898148105</v>
      </c>
      <c r="D15" s="54" t="s">
        <v>232</v>
      </c>
      <c r="E15" s="54" t="s">
        <v>188</v>
      </c>
      <c r="F15" s="54" t="s">
        <v>189</v>
      </c>
      <c r="G15" s="54" t="s">
        <v>184</v>
      </c>
      <c r="H15" s="54" t="s">
        <v>185</v>
      </c>
      <c r="I15" s="54" t="s">
        <v>190</v>
      </c>
      <c r="J15" s="54" t="s">
        <v>185</v>
      </c>
      <c r="K15" s="54" t="s">
        <v>191</v>
      </c>
      <c r="L15" s="54" t="s">
        <v>185</v>
      </c>
      <c r="M15" s="54"/>
      <c r="N15" s="54" t="s">
        <v>233</v>
      </c>
      <c r="O15" s="55">
        <v>93.037000000000006</v>
      </c>
      <c r="P15" s="56">
        <v>23</v>
      </c>
      <c r="Q15" s="55">
        <v>70.037000000000006</v>
      </c>
      <c r="R15" s="57" t="s">
        <v>186</v>
      </c>
      <c r="S15" s="58" t="s">
        <v>234</v>
      </c>
      <c r="T15" s="54" t="s">
        <v>194</v>
      </c>
      <c r="U15" s="55">
        <v>71185.399999999994</v>
      </c>
      <c r="V15" s="55">
        <v>49.78</v>
      </c>
      <c r="W15" s="55">
        <v>42.898000000000003</v>
      </c>
      <c r="X15" s="59" t="s">
        <v>235</v>
      </c>
      <c r="Y15" s="59" t="s">
        <v>196</v>
      </c>
      <c r="Z15" s="51" t="s">
        <v>197</v>
      </c>
      <c r="AA15" s="51" t="s">
        <v>236</v>
      </c>
      <c r="AB15" s="51"/>
    </row>
    <row r="16" spans="1:28" x14ac:dyDescent="0.25">
      <c r="A16" s="61" t="s">
        <v>186</v>
      </c>
      <c r="B16" s="52">
        <v>44220</v>
      </c>
      <c r="C16" s="53">
        <v>0.77791991898148105</v>
      </c>
      <c r="D16" s="54" t="s">
        <v>232</v>
      </c>
      <c r="E16" s="54" t="s">
        <v>188</v>
      </c>
      <c r="F16" s="54" t="s">
        <v>189</v>
      </c>
      <c r="G16" s="54" t="s">
        <v>184</v>
      </c>
      <c r="H16" s="54" t="s">
        <v>185</v>
      </c>
      <c r="I16" s="54" t="s">
        <v>190</v>
      </c>
      <c r="J16" s="54" t="s">
        <v>185</v>
      </c>
      <c r="K16" s="54" t="s">
        <v>191</v>
      </c>
      <c r="L16" s="54" t="s">
        <v>185</v>
      </c>
      <c r="M16" s="54"/>
      <c r="N16" s="54" t="s">
        <v>233</v>
      </c>
      <c r="O16" s="55">
        <v>93.037000000000006</v>
      </c>
      <c r="P16" s="56">
        <v>23</v>
      </c>
      <c r="Q16" s="55">
        <v>70.037000000000006</v>
      </c>
      <c r="R16" s="57" t="s">
        <v>186</v>
      </c>
      <c r="S16" s="58" t="s">
        <v>229</v>
      </c>
      <c r="T16" s="54" t="s">
        <v>194</v>
      </c>
      <c r="U16" s="55">
        <v>73030.100000000006</v>
      </c>
      <c r="V16" s="55">
        <v>51.07</v>
      </c>
      <c r="W16" s="55">
        <v>27.138999999999999</v>
      </c>
      <c r="X16" s="59" t="s">
        <v>230</v>
      </c>
      <c r="Y16" s="59" t="s">
        <v>196</v>
      </c>
      <c r="Z16" s="51" t="s">
        <v>197</v>
      </c>
      <c r="AA16" s="51" t="s">
        <v>236</v>
      </c>
      <c r="AB16" s="51"/>
    </row>
    <row r="17" spans="1:28" x14ac:dyDescent="0.25">
      <c r="A17" s="61" t="s">
        <v>186</v>
      </c>
      <c r="B17" s="52">
        <v>44220</v>
      </c>
      <c r="C17" s="53">
        <v>0.77913225694444399</v>
      </c>
      <c r="D17" s="54" t="s">
        <v>237</v>
      </c>
      <c r="E17" s="54" t="s">
        <v>188</v>
      </c>
      <c r="F17" s="54" t="s">
        <v>189</v>
      </c>
      <c r="G17" s="54" t="s">
        <v>184</v>
      </c>
      <c r="H17" s="54" t="s">
        <v>185</v>
      </c>
      <c r="I17" s="54" t="s">
        <v>190</v>
      </c>
      <c r="J17" s="54" t="s">
        <v>185</v>
      </c>
      <c r="K17" s="54" t="s">
        <v>191</v>
      </c>
      <c r="L17" s="54" t="s">
        <v>185</v>
      </c>
      <c r="M17" s="54"/>
      <c r="N17" s="54" t="s">
        <v>238</v>
      </c>
      <c r="O17" s="55">
        <v>93.92</v>
      </c>
      <c r="P17" s="56">
        <v>23.3</v>
      </c>
      <c r="Q17" s="55">
        <v>70.62</v>
      </c>
      <c r="R17" s="57" t="s">
        <v>186</v>
      </c>
      <c r="S17" s="58" t="s">
        <v>234</v>
      </c>
      <c r="T17" s="54" t="s">
        <v>194</v>
      </c>
      <c r="U17" s="55">
        <v>71185.399999999994</v>
      </c>
      <c r="V17" s="55">
        <v>49.78</v>
      </c>
      <c r="W17" s="55">
        <v>6.8819999999999997</v>
      </c>
      <c r="X17" s="59" t="s">
        <v>235</v>
      </c>
      <c r="Y17" s="59" t="s">
        <v>196</v>
      </c>
      <c r="Z17" s="51" t="s">
        <v>197</v>
      </c>
      <c r="AA17" s="51" t="s">
        <v>239</v>
      </c>
      <c r="AB17" s="51"/>
    </row>
    <row r="18" spans="1:28" x14ac:dyDescent="0.25">
      <c r="A18" s="61" t="s">
        <v>186</v>
      </c>
      <c r="B18" s="52">
        <v>44220</v>
      </c>
      <c r="C18" s="53">
        <v>0.77913225694444399</v>
      </c>
      <c r="D18" s="54" t="s">
        <v>237</v>
      </c>
      <c r="E18" s="54" t="s">
        <v>188</v>
      </c>
      <c r="F18" s="54" t="s">
        <v>189</v>
      </c>
      <c r="G18" s="54" t="s">
        <v>184</v>
      </c>
      <c r="H18" s="54" t="s">
        <v>185</v>
      </c>
      <c r="I18" s="54" t="s">
        <v>190</v>
      </c>
      <c r="J18" s="54" t="s">
        <v>185</v>
      </c>
      <c r="K18" s="54" t="s">
        <v>191</v>
      </c>
      <c r="L18" s="54" t="s">
        <v>185</v>
      </c>
      <c r="M18" s="54"/>
      <c r="N18" s="54" t="s">
        <v>238</v>
      </c>
      <c r="O18" s="55">
        <v>93.92</v>
      </c>
      <c r="P18" s="56">
        <v>23.3</v>
      </c>
      <c r="Q18" s="55">
        <v>70.62</v>
      </c>
      <c r="R18" s="57" t="s">
        <v>186</v>
      </c>
      <c r="S18" s="58" t="s">
        <v>240</v>
      </c>
      <c r="T18" s="54" t="s">
        <v>194</v>
      </c>
      <c r="U18" s="55">
        <v>71357</v>
      </c>
      <c r="V18" s="55">
        <v>49.9</v>
      </c>
      <c r="W18" s="55">
        <v>13.178000000000001</v>
      </c>
      <c r="X18" s="59" t="s">
        <v>241</v>
      </c>
      <c r="Y18" s="59" t="s">
        <v>196</v>
      </c>
      <c r="Z18" s="51" t="s">
        <v>197</v>
      </c>
      <c r="AA18" s="51" t="s">
        <v>239</v>
      </c>
      <c r="AB18" s="51"/>
    </row>
    <row r="19" spans="1:28" x14ac:dyDescent="0.25">
      <c r="A19" s="61" t="s">
        <v>186</v>
      </c>
      <c r="B19" s="52">
        <v>44220</v>
      </c>
      <c r="C19" s="53">
        <v>0.77913225694444399</v>
      </c>
      <c r="D19" s="54" t="s">
        <v>237</v>
      </c>
      <c r="E19" s="54" t="s">
        <v>188</v>
      </c>
      <c r="F19" s="54" t="s">
        <v>189</v>
      </c>
      <c r="G19" s="54" t="s">
        <v>184</v>
      </c>
      <c r="H19" s="54" t="s">
        <v>185</v>
      </c>
      <c r="I19" s="54" t="s">
        <v>190</v>
      </c>
      <c r="J19" s="54" t="s">
        <v>185</v>
      </c>
      <c r="K19" s="54" t="s">
        <v>191</v>
      </c>
      <c r="L19" s="54" t="s">
        <v>185</v>
      </c>
      <c r="M19" s="54"/>
      <c r="N19" s="54" t="s">
        <v>238</v>
      </c>
      <c r="O19" s="55">
        <v>93.92</v>
      </c>
      <c r="P19" s="56">
        <v>23.3</v>
      </c>
      <c r="Q19" s="55">
        <v>70.62</v>
      </c>
      <c r="R19" s="57" t="s">
        <v>186</v>
      </c>
      <c r="S19" s="58" t="s">
        <v>242</v>
      </c>
      <c r="T19" s="54" t="s">
        <v>194</v>
      </c>
      <c r="U19" s="55">
        <v>72300.800000000003</v>
      </c>
      <c r="V19" s="55">
        <v>50.56</v>
      </c>
      <c r="W19" s="55">
        <v>50.56</v>
      </c>
      <c r="X19" s="59" t="s">
        <v>243</v>
      </c>
      <c r="Y19" s="59" t="s">
        <v>196</v>
      </c>
      <c r="Z19" s="51" t="s">
        <v>197</v>
      </c>
      <c r="AA19" s="51" t="s">
        <v>239</v>
      </c>
      <c r="AB19" s="51"/>
    </row>
    <row r="20" spans="1:28" x14ac:dyDescent="0.25">
      <c r="A20" s="61" t="s">
        <v>186</v>
      </c>
      <c r="B20" s="52">
        <v>44220</v>
      </c>
      <c r="C20" s="53">
        <v>0.78118240740740696</v>
      </c>
      <c r="D20" s="54" t="s">
        <v>244</v>
      </c>
      <c r="E20" s="54" t="s">
        <v>188</v>
      </c>
      <c r="F20" s="54" t="s">
        <v>189</v>
      </c>
      <c r="G20" s="54" t="s">
        <v>184</v>
      </c>
      <c r="H20" s="54" t="s">
        <v>185</v>
      </c>
      <c r="I20" s="54" t="s">
        <v>190</v>
      </c>
      <c r="J20" s="54" t="s">
        <v>185</v>
      </c>
      <c r="K20" s="54" t="s">
        <v>191</v>
      </c>
      <c r="L20" s="54" t="s">
        <v>185</v>
      </c>
      <c r="M20" s="54"/>
      <c r="N20" s="54" t="s">
        <v>245</v>
      </c>
      <c r="O20" s="55">
        <v>96.033000000000001</v>
      </c>
      <c r="P20" s="56">
        <v>23.3</v>
      </c>
      <c r="Q20" s="55">
        <v>72.733000000000004</v>
      </c>
      <c r="R20" s="57" t="s">
        <v>186</v>
      </c>
      <c r="S20" s="58" t="s">
        <v>246</v>
      </c>
      <c r="T20" s="54" t="s">
        <v>194</v>
      </c>
      <c r="U20" s="55">
        <v>67152.800000000003</v>
      </c>
      <c r="V20" s="55">
        <v>46.96</v>
      </c>
      <c r="W20" s="55">
        <v>36.011000000000003</v>
      </c>
      <c r="X20" s="59" t="s">
        <v>247</v>
      </c>
      <c r="Y20" s="59" t="s">
        <v>196</v>
      </c>
      <c r="Z20" s="51" t="s">
        <v>197</v>
      </c>
      <c r="AA20" s="51" t="s">
        <v>248</v>
      </c>
      <c r="AB20" s="51"/>
    </row>
    <row r="21" spans="1:28" x14ac:dyDescent="0.25">
      <c r="A21" s="61" t="s">
        <v>186</v>
      </c>
      <c r="B21" s="52">
        <v>44220</v>
      </c>
      <c r="C21" s="53">
        <v>0.78118240740740696</v>
      </c>
      <c r="D21" s="54" t="s">
        <v>244</v>
      </c>
      <c r="E21" s="54" t="s">
        <v>188</v>
      </c>
      <c r="F21" s="54" t="s">
        <v>189</v>
      </c>
      <c r="G21" s="54" t="s">
        <v>184</v>
      </c>
      <c r="H21" s="54" t="s">
        <v>185</v>
      </c>
      <c r="I21" s="54" t="s">
        <v>190</v>
      </c>
      <c r="J21" s="54" t="s">
        <v>185</v>
      </c>
      <c r="K21" s="54" t="s">
        <v>191</v>
      </c>
      <c r="L21" s="54" t="s">
        <v>185</v>
      </c>
      <c r="M21" s="54"/>
      <c r="N21" s="54" t="s">
        <v>245</v>
      </c>
      <c r="O21" s="55">
        <v>96.033000000000001</v>
      </c>
      <c r="P21" s="56">
        <v>23.3</v>
      </c>
      <c r="Q21" s="55">
        <v>72.733000000000004</v>
      </c>
      <c r="R21" s="57" t="s">
        <v>186</v>
      </c>
      <c r="S21" s="58" t="s">
        <v>240</v>
      </c>
      <c r="T21" s="54" t="s">
        <v>194</v>
      </c>
      <c r="U21" s="55">
        <v>71357</v>
      </c>
      <c r="V21" s="55">
        <v>49.9</v>
      </c>
      <c r="W21" s="55">
        <v>36.722000000000001</v>
      </c>
      <c r="X21" s="59" t="s">
        <v>241</v>
      </c>
      <c r="Y21" s="59" t="s">
        <v>196</v>
      </c>
      <c r="Z21" s="51" t="s">
        <v>197</v>
      </c>
      <c r="AA21" s="51" t="s">
        <v>248</v>
      </c>
      <c r="AB21" s="51"/>
    </row>
    <row r="22" spans="1:28" x14ac:dyDescent="0.25">
      <c r="A22" s="61" t="s">
        <v>186</v>
      </c>
      <c r="B22" s="52">
        <v>44220</v>
      </c>
      <c r="C22" s="53">
        <v>0.78224505787037002</v>
      </c>
      <c r="D22" s="54" t="s">
        <v>249</v>
      </c>
      <c r="E22" s="54" t="s">
        <v>188</v>
      </c>
      <c r="F22" s="54" t="s">
        <v>189</v>
      </c>
      <c r="G22" s="54" t="s">
        <v>184</v>
      </c>
      <c r="H22" s="54" t="s">
        <v>185</v>
      </c>
      <c r="I22" s="54" t="s">
        <v>190</v>
      </c>
      <c r="J22" s="54" t="s">
        <v>185</v>
      </c>
      <c r="K22" s="54" t="s">
        <v>191</v>
      </c>
      <c r="L22" s="54" t="s">
        <v>185</v>
      </c>
      <c r="M22" s="54"/>
      <c r="N22" s="54" t="s">
        <v>250</v>
      </c>
      <c r="O22" s="55">
        <v>94.804000000000002</v>
      </c>
      <c r="P22" s="56">
        <v>23.3</v>
      </c>
      <c r="Q22" s="55">
        <v>71.504000000000005</v>
      </c>
      <c r="R22" s="57" t="s">
        <v>186</v>
      </c>
      <c r="S22" s="58" t="s">
        <v>251</v>
      </c>
      <c r="T22" s="54" t="s">
        <v>194</v>
      </c>
      <c r="U22" s="55">
        <v>67324.399999999994</v>
      </c>
      <c r="V22" s="55">
        <v>47.08</v>
      </c>
      <c r="W22" s="55">
        <v>47.06</v>
      </c>
      <c r="X22" s="59" t="s">
        <v>252</v>
      </c>
      <c r="Y22" s="59" t="s">
        <v>196</v>
      </c>
      <c r="Z22" s="51" t="s">
        <v>197</v>
      </c>
      <c r="AA22" s="51" t="s">
        <v>253</v>
      </c>
      <c r="AB22" s="51"/>
    </row>
    <row r="23" spans="1:28" x14ac:dyDescent="0.25">
      <c r="A23" s="61" t="s">
        <v>186</v>
      </c>
      <c r="B23" s="52">
        <v>44220</v>
      </c>
      <c r="C23" s="53">
        <v>0.78224505787037002</v>
      </c>
      <c r="D23" s="54" t="s">
        <v>249</v>
      </c>
      <c r="E23" s="54" t="s">
        <v>188</v>
      </c>
      <c r="F23" s="54" t="s">
        <v>189</v>
      </c>
      <c r="G23" s="54" t="s">
        <v>184</v>
      </c>
      <c r="H23" s="54" t="s">
        <v>185</v>
      </c>
      <c r="I23" s="54" t="s">
        <v>190</v>
      </c>
      <c r="J23" s="54" t="s">
        <v>185</v>
      </c>
      <c r="K23" s="54" t="s">
        <v>191</v>
      </c>
      <c r="L23" s="54" t="s">
        <v>185</v>
      </c>
      <c r="M23" s="54"/>
      <c r="N23" s="54" t="s">
        <v>250</v>
      </c>
      <c r="O23" s="55">
        <v>94.804000000000002</v>
      </c>
      <c r="P23" s="56">
        <v>23.3</v>
      </c>
      <c r="Q23" s="55">
        <v>71.504000000000005</v>
      </c>
      <c r="R23" s="57" t="s">
        <v>186</v>
      </c>
      <c r="S23" s="58" t="s">
        <v>254</v>
      </c>
      <c r="T23" s="54" t="s">
        <v>194</v>
      </c>
      <c r="U23" s="55">
        <v>69955.600000000006</v>
      </c>
      <c r="V23" s="55">
        <v>48.92</v>
      </c>
      <c r="W23" s="55">
        <v>13.494999999999999</v>
      </c>
      <c r="X23" s="59" t="s">
        <v>255</v>
      </c>
      <c r="Y23" s="59" t="s">
        <v>196</v>
      </c>
      <c r="Z23" s="51" t="s">
        <v>197</v>
      </c>
      <c r="AA23" s="51" t="s">
        <v>253</v>
      </c>
      <c r="AB23" s="51"/>
    </row>
    <row r="24" spans="1:28" x14ac:dyDescent="0.25">
      <c r="A24" s="61" t="s">
        <v>186</v>
      </c>
      <c r="B24" s="52">
        <v>44220</v>
      </c>
      <c r="C24" s="53">
        <v>0.78224505787037002</v>
      </c>
      <c r="D24" s="54" t="s">
        <v>249</v>
      </c>
      <c r="E24" s="54" t="s">
        <v>188</v>
      </c>
      <c r="F24" s="54" t="s">
        <v>189</v>
      </c>
      <c r="G24" s="54" t="s">
        <v>184</v>
      </c>
      <c r="H24" s="54" t="s">
        <v>185</v>
      </c>
      <c r="I24" s="54" t="s">
        <v>190</v>
      </c>
      <c r="J24" s="54" t="s">
        <v>185</v>
      </c>
      <c r="K24" s="54" t="s">
        <v>191</v>
      </c>
      <c r="L24" s="54" t="s">
        <v>185</v>
      </c>
      <c r="M24" s="54"/>
      <c r="N24" s="54" t="s">
        <v>250</v>
      </c>
      <c r="O24" s="55">
        <v>94.804000000000002</v>
      </c>
      <c r="P24" s="56">
        <v>23.3</v>
      </c>
      <c r="Q24" s="55">
        <v>71.504000000000005</v>
      </c>
      <c r="R24" s="57" t="s">
        <v>186</v>
      </c>
      <c r="S24" s="58" t="s">
        <v>246</v>
      </c>
      <c r="T24" s="54" t="s">
        <v>194</v>
      </c>
      <c r="U24" s="55">
        <v>67152.800000000003</v>
      </c>
      <c r="V24" s="55">
        <v>46.96</v>
      </c>
      <c r="W24" s="55">
        <v>10.949</v>
      </c>
      <c r="X24" s="59" t="s">
        <v>247</v>
      </c>
      <c r="Y24" s="59" t="s">
        <v>196</v>
      </c>
      <c r="Z24" s="51" t="s">
        <v>197</v>
      </c>
      <c r="AA24" s="51" t="s">
        <v>253</v>
      </c>
      <c r="AB24" s="51"/>
    </row>
    <row r="25" spans="1:28" x14ac:dyDescent="0.25">
      <c r="A25" s="61" t="s">
        <v>186</v>
      </c>
      <c r="B25" s="52">
        <v>44220</v>
      </c>
      <c r="C25" s="53">
        <v>0.78315625</v>
      </c>
      <c r="D25" s="54" t="s">
        <v>256</v>
      </c>
      <c r="E25" s="54" t="s">
        <v>188</v>
      </c>
      <c r="F25" s="54" t="s">
        <v>189</v>
      </c>
      <c r="G25" s="54" t="s">
        <v>184</v>
      </c>
      <c r="H25" s="54" t="s">
        <v>185</v>
      </c>
      <c r="I25" s="54" t="s">
        <v>190</v>
      </c>
      <c r="J25" s="54" t="s">
        <v>185</v>
      </c>
      <c r="K25" s="54" t="s">
        <v>191</v>
      </c>
      <c r="L25" s="54" t="s">
        <v>185</v>
      </c>
      <c r="M25" s="54"/>
      <c r="N25" s="54" t="s">
        <v>257</v>
      </c>
      <c r="O25" s="55">
        <v>98.388999999999996</v>
      </c>
      <c r="P25" s="56">
        <v>23.3</v>
      </c>
      <c r="Q25" s="55">
        <v>75.088999999999999</v>
      </c>
      <c r="R25" s="57" t="s">
        <v>186</v>
      </c>
      <c r="S25" s="58" t="s">
        <v>254</v>
      </c>
      <c r="T25" s="54" t="s">
        <v>194</v>
      </c>
      <c r="U25" s="55">
        <v>69955.600000000006</v>
      </c>
      <c r="V25" s="55">
        <v>48.92</v>
      </c>
      <c r="W25" s="55">
        <v>35.424999999999997</v>
      </c>
      <c r="X25" s="59" t="s">
        <v>255</v>
      </c>
      <c r="Y25" s="59" t="s">
        <v>196</v>
      </c>
      <c r="Z25" s="51" t="s">
        <v>197</v>
      </c>
      <c r="AA25" s="51" t="s">
        <v>258</v>
      </c>
      <c r="AB25" s="51"/>
    </row>
    <row r="26" spans="1:28" x14ac:dyDescent="0.25">
      <c r="A26" s="61" t="s">
        <v>186</v>
      </c>
      <c r="B26" s="52">
        <v>44220</v>
      </c>
      <c r="C26" s="53">
        <v>0.78315625</v>
      </c>
      <c r="D26" s="54" t="s">
        <v>256</v>
      </c>
      <c r="E26" s="54" t="s">
        <v>188</v>
      </c>
      <c r="F26" s="54" t="s">
        <v>189</v>
      </c>
      <c r="G26" s="54" t="s">
        <v>184</v>
      </c>
      <c r="H26" s="54" t="s">
        <v>185</v>
      </c>
      <c r="I26" s="54" t="s">
        <v>190</v>
      </c>
      <c r="J26" s="54" t="s">
        <v>185</v>
      </c>
      <c r="K26" s="54" t="s">
        <v>191</v>
      </c>
      <c r="L26" s="54" t="s">
        <v>185</v>
      </c>
      <c r="M26" s="54"/>
      <c r="N26" s="54" t="s">
        <v>257</v>
      </c>
      <c r="O26" s="55">
        <v>98.388999999999996</v>
      </c>
      <c r="P26" s="56">
        <v>23.3</v>
      </c>
      <c r="Q26" s="55">
        <v>75.088999999999999</v>
      </c>
      <c r="R26" s="57" t="s">
        <v>186</v>
      </c>
      <c r="S26" s="58" t="s">
        <v>259</v>
      </c>
      <c r="T26" s="54" t="s">
        <v>194</v>
      </c>
      <c r="U26" s="55">
        <v>69669.600000000006</v>
      </c>
      <c r="V26" s="55">
        <v>48.72</v>
      </c>
      <c r="W26" s="55">
        <v>39.664000000000001</v>
      </c>
      <c r="X26" s="59" t="s">
        <v>260</v>
      </c>
      <c r="Y26" s="59" t="s">
        <v>196</v>
      </c>
      <c r="Z26" s="51" t="s">
        <v>197</v>
      </c>
      <c r="AA26" s="51" t="s">
        <v>258</v>
      </c>
      <c r="AB26" s="51"/>
    </row>
    <row r="27" spans="1:28" x14ac:dyDescent="0.25">
      <c r="A27" s="61" t="s">
        <v>186</v>
      </c>
      <c r="B27" s="52">
        <v>44220</v>
      </c>
      <c r="C27" s="53">
        <v>0.78457672453703697</v>
      </c>
      <c r="D27" s="54" t="s">
        <v>261</v>
      </c>
      <c r="E27" s="54" t="s">
        <v>188</v>
      </c>
      <c r="F27" s="54" t="s">
        <v>189</v>
      </c>
      <c r="G27" s="54" t="s">
        <v>184</v>
      </c>
      <c r="H27" s="54" t="s">
        <v>185</v>
      </c>
      <c r="I27" s="54" t="s">
        <v>190</v>
      </c>
      <c r="J27" s="54" t="s">
        <v>185</v>
      </c>
      <c r="K27" s="54" t="s">
        <v>191</v>
      </c>
      <c r="L27" s="54" t="s">
        <v>185</v>
      </c>
      <c r="M27" s="54"/>
      <c r="N27" s="54" t="s">
        <v>262</v>
      </c>
      <c r="O27" s="55">
        <v>94.100999999999999</v>
      </c>
      <c r="P27" s="56">
        <v>23.3</v>
      </c>
      <c r="Q27" s="55">
        <v>70.801000000000002</v>
      </c>
      <c r="R27" s="57" t="s">
        <v>186</v>
      </c>
      <c r="S27" s="58" t="s">
        <v>263</v>
      </c>
      <c r="T27" s="54" t="s">
        <v>194</v>
      </c>
      <c r="U27" s="55">
        <v>71828.899999999994</v>
      </c>
      <c r="V27" s="55">
        <v>50.23</v>
      </c>
      <c r="W27" s="55">
        <v>11.305</v>
      </c>
      <c r="X27" s="59" t="s">
        <v>264</v>
      </c>
      <c r="Y27" s="59" t="s">
        <v>196</v>
      </c>
      <c r="Z27" s="51" t="s">
        <v>197</v>
      </c>
      <c r="AA27" s="51" t="s">
        <v>265</v>
      </c>
      <c r="AB27" s="51"/>
    </row>
    <row r="28" spans="1:28" x14ac:dyDescent="0.25">
      <c r="A28" s="61" t="s">
        <v>186</v>
      </c>
      <c r="B28" s="52">
        <v>44220</v>
      </c>
      <c r="C28" s="53">
        <v>0.78457672453703697</v>
      </c>
      <c r="D28" s="54" t="s">
        <v>261</v>
      </c>
      <c r="E28" s="54" t="s">
        <v>188</v>
      </c>
      <c r="F28" s="54" t="s">
        <v>189</v>
      </c>
      <c r="G28" s="54" t="s">
        <v>184</v>
      </c>
      <c r="H28" s="54" t="s">
        <v>185</v>
      </c>
      <c r="I28" s="54" t="s">
        <v>190</v>
      </c>
      <c r="J28" s="54" t="s">
        <v>185</v>
      </c>
      <c r="K28" s="54" t="s">
        <v>191</v>
      </c>
      <c r="L28" s="54" t="s">
        <v>185</v>
      </c>
      <c r="M28" s="54"/>
      <c r="N28" s="54" t="s">
        <v>262</v>
      </c>
      <c r="O28" s="55">
        <v>94.100999999999999</v>
      </c>
      <c r="P28" s="56">
        <v>23.3</v>
      </c>
      <c r="Q28" s="55">
        <v>70.801000000000002</v>
      </c>
      <c r="R28" s="57" t="s">
        <v>186</v>
      </c>
      <c r="S28" s="58" t="s">
        <v>259</v>
      </c>
      <c r="T28" s="54" t="s">
        <v>194</v>
      </c>
      <c r="U28" s="55">
        <v>69669.600000000006</v>
      </c>
      <c r="V28" s="55">
        <v>48.72</v>
      </c>
      <c r="W28" s="55">
        <v>9.0559999999999992</v>
      </c>
      <c r="X28" s="59" t="s">
        <v>260</v>
      </c>
      <c r="Y28" s="59" t="s">
        <v>196</v>
      </c>
      <c r="Z28" s="51" t="s">
        <v>197</v>
      </c>
      <c r="AA28" s="51" t="s">
        <v>265</v>
      </c>
      <c r="AB28" s="51"/>
    </row>
    <row r="29" spans="1:28" x14ac:dyDescent="0.25">
      <c r="A29" s="61" t="s">
        <v>186</v>
      </c>
      <c r="B29" s="52">
        <v>44220</v>
      </c>
      <c r="C29" s="53">
        <v>0.78457672453703697</v>
      </c>
      <c r="D29" s="54" t="s">
        <v>261</v>
      </c>
      <c r="E29" s="54" t="s">
        <v>188</v>
      </c>
      <c r="F29" s="54" t="s">
        <v>189</v>
      </c>
      <c r="G29" s="54" t="s">
        <v>184</v>
      </c>
      <c r="H29" s="54" t="s">
        <v>185</v>
      </c>
      <c r="I29" s="54" t="s">
        <v>190</v>
      </c>
      <c r="J29" s="54" t="s">
        <v>185</v>
      </c>
      <c r="K29" s="54" t="s">
        <v>191</v>
      </c>
      <c r="L29" s="54" t="s">
        <v>185</v>
      </c>
      <c r="M29" s="54"/>
      <c r="N29" s="54" t="s">
        <v>262</v>
      </c>
      <c r="O29" s="55">
        <v>94.100999999999999</v>
      </c>
      <c r="P29" s="56">
        <v>23.3</v>
      </c>
      <c r="Q29" s="55">
        <v>70.801000000000002</v>
      </c>
      <c r="R29" s="57" t="s">
        <v>186</v>
      </c>
      <c r="S29" s="58" t="s">
        <v>266</v>
      </c>
      <c r="T29" s="54" t="s">
        <v>194</v>
      </c>
      <c r="U29" s="55">
        <v>72129.2</v>
      </c>
      <c r="V29" s="55">
        <v>50.44</v>
      </c>
      <c r="W29" s="55">
        <v>50.44</v>
      </c>
      <c r="X29" s="59" t="s">
        <v>267</v>
      </c>
      <c r="Y29" s="59" t="s">
        <v>196</v>
      </c>
      <c r="Z29" s="51" t="s">
        <v>197</v>
      </c>
      <c r="AA29" s="51" t="s">
        <v>265</v>
      </c>
      <c r="AB29" s="51"/>
    </row>
    <row r="30" spans="1:28" x14ac:dyDescent="0.25">
      <c r="A30" s="61" t="s">
        <v>186</v>
      </c>
      <c r="B30" s="52">
        <v>44220</v>
      </c>
      <c r="C30" s="53">
        <v>0.78652917824074098</v>
      </c>
      <c r="D30" s="54" t="s">
        <v>268</v>
      </c>
      <c r="E30" s="54" t="s">
        <v>188</v>
      </c>
      <c r="F30" s="54" t="s">
        <v>189</v>
      </c>
      <c r="G30" s="54" t="s">
        <v>184</v>
      </c>
      <c r="H30" s="54" t="s">
        <v>185</v>
      </c>
      <c r="I30" s="54" t="s">
        <v>190</v>
      </c>
      <c r="J30" s="54" t="s">
        <v>185</v>
      </c>
      <c r="K30" s="54" t="s">
        <v>191</v>
      </c>
      <c r="L30" s="54" t="s">
        <v>185</v>
      </c>
      <c r="M30" s="54"/>
      <c r="N30" s="54" t="s">
        <v>269</v>
      </c>
      <c r="O30" s="55">
        <v>98.007000000000005</v>
      </c>
      <c r="P30" s="56">
        <v>23.3</v>
      </c>
      <c r="Q30" s="55">
        <v>74.706999999999994</v>
      </c>
      <c r="R30" s="57" t="s">
        <v>186</v>
      </c>
      <c r="S30" s="58" t="s">
        <v>263</v>
      </c>
      <c r="T30" s="54" t="s">
        <v>194</v>
      </c>
      <c r="U30" s="55">
        <v>71828.899999999994</v>
      </c>
      <c r="V30" s="55">
        <v>50.23</v>
      </c>
      <c r="W30" s="55">
        <v>38.924999999999997</v>
      </c>
      <c r="X30" s="59" t="s">
        <v>264</v>
      </c>
      <c r="Y30" s="59" t="s">
        <v>196</v>
      </c>
      <c r="Z30" s="51" t="s">
        <v>197</v>
      </c>
      <c r="AA30" s="51" t="s">
        <v>270</v>
      </c>
      <c r="AB30" s="51"/>
    </row>
    <row r="31" spans="1:28" x14ac:dyDescent="0.25">
      <c r="A31" s="61" t="s">
        <v>186</v>
      </c>
      <c r="B31" s="52">
        <v>44220</v>
      </c>
      <c r="C31" s="53">
        <v>0.78652917824074098</v>
      </c>
      <c r="D31" s="54" t="s">
        <v>268</v>
      </c>
      <c r="E31" s="54" t="s">
        <v>188</v>
      </c>
      <c r="F31" s="54" t="s">
        <v>189</v>
      </c>
      <c r="G31" s="54" t="s">
        <v>184</v>
      </c>
      <c r="H31" s="54" t="s">
        <v>185</v>
      </c>
      <c r="I31" s="54" t="s">
        <v>190</v>
      </c>
      <c r="J31" s="54" t="s">
        <v>185</v>
      </c>
      <c r="K31" s="54" t="s">
        <v>191</v>
      </c>
      <c r="L31" s="54" t="s">
        <v>185</v>
      </c>
      <c r="M31" s="54"/>
      <c r="N31" s="54" t="s">
        <v>269</v>
      </c>
      <c r="O31" s="55">
        <v>98.007000000000005</v>
      </c>
      <c r="P31" s="56">
        <v>23.3</v>
      </c>
      <c r="Q31" s="55">
        <v>74.706999999999994</v>
      </c>
      <c r="R31" s="57" t="s">
        <v>186</v>
      </c>
      <c r="S31" s="58" t="s">
        <v>271</v>
      </c>
      <c r="T31" s="54" t="s">
        <v>194</v>
      </c>
      <c r="U31" s="55">
        <v>72443.8</v>
      </c>
      <c r="V31" s="55">
        <v>50.66</v>
      </c>
      <c r="W31" s="55">
        <v>35.781999999999996</v>
      </c>
      <c r="X31" s="59" t="s">
        <v>272</v>
      </c>
      <c r="Y31" s="59" t="s">
        <v>196</v>
      </c>
      <c r="Z31" s="51" t="s">
        <v>197</v>
      </c>
      <c r="AA31" s="51" t="s">
        <v>270</v>
      </c>
      <c r="AB31" s="51"/>
    </row>
    <row r="32" spans="1:28" x14ac:dyDescent="0.25">
      <c r="A32" s="61" t="s">
        <v>186</v>
      </c>
      <c r="B32" s="52">
        <v>44220</v>
      </c>
      <c r="C32" s="53">
        <v>0.78866152777777798</v>
      </c>
      <c r="D32" s="54" t="s">
        <v>273</v>
      </c>
      <c r="E32" s="54" t="s">
        <v>188</v>
      </c>
      <c r="F32" s="54" t="s">
        <v>189</v>
      </c>
      <c r="G32" s="54" t="s">
        <v>184</v>
      </c>
      <c r="H32" s="54" t="s">
        <v>185</v>
      </c>
      <c r="I32" s="54" t="s">
        <v>190</v>
      </c>
      <c r="J32" s="54" t="s">
        <v>185</v>
      </c>
      <c r="K32" s="54" t="s">
        <v>191</v>
      </c>
      <c r="L32" s="54" t="s">
        <v>185</v>
      </c>
      <c r="M32" s="54"/>
      <c r="N32" s="54" t="s">
        <v>274</v>
      </c>
      <c r="O32" s="55">
        <v>97.317999999999998</v>
      </c>
      <c r="P32" s="56">
        <v>23.3</v>
      </c>
      <c r="Q32" s="55">
        <v>74.018000000000001</v>
      </c>
      <c r="R32" s="57" t="s">
        <v>186</v>
      </c>
      <c r="S32" s="58" t="s">
        <v>271</v>
      </c>
      <c r="T32" s="54" t="s">
        <v>194</v>
      </c>
      <c r="U32" s="55">
        <v>72443.8</v>
      </c>
      <c r="V32" s="55">
        <v>50.66</v>
      </c>
      <c r="W32" s="55">
        <v>14.878</v>
      </c>
      <c r="X32" s="59" t="s">
        <v>272</v>
      </c>
      <c r="Y32" s="59" t="s">
        <v>196</v>
      </c>
      <c r="Z32" s="51" t="s">
        <v>197</v>
      </c>
      <c r="AA32" s="51" t="s">
        <v>275</v>
      </c>
      <c r="AB32" s="51"/>
    </row>
    <row r="33" spans="1:28" x14ac:dyDescent="0.25">
      <c r="A33" s="61" t="s">
        <v>186</v>
      </c>
      <c r="B33" s="52">
        <v>44220</v>
      </c>
      <c r="C33" s="53">
        <v>0.78866152777777798</v>
      </c>
      <c r="D33" s="54" t="s">
        <v>273</v>
      </c>
      <c r="E33" s="54" t="s">
        <v>188</v>
      </c>
      <c r="F33" s="54" t="s">
        <v>189</v>
      </c>
      <c r="G33" s="54" t="s">
        <v>184</v>
      </c>
      <c r="H33" s="54" t="s">
        <v>185</v>
      </c>
      <c r="I33" s="54" t="s">
        <v>190</v>
      </c>
      <c r="J33" s="54" t="s">
        <v>185</v>
      </c>
      <c r="K33" s="54" t="s">
        <v>191</v>
      </c>
      <c r="L33" s="54" t="s">
        <v>185</v>
      </c>
      <c r="M33" s="54"/>
      <c r="N33" s="54" t="s">
        <v>274</v>
      </c>
      <c r="O33" s="55">
        <v>97.317999999999998</v>
      </c>
      <c r="P33" s="56">
        <v>23.3</v>
      </c>
      <c r="Q33" s="55">
        <v>74.018000000000001</v>
      </c>
      <c r="R33" s="57" t="s">
        <v>186</v>
      </c>
      <c r="S33" s="58" t="s">
        <v>276</v>
      </c>
      <c r="T33" s="54" t="s">
        <v>194</v>
      </c>
      <c r="U33" s="55">
        <v>71099.600000000006</v>
      </c>
      <c r="V33" s="55">
        <v>49.72</v>
      </c>
      <c r="W33" s="55">
        <v>49.72</v>
      </c>
      <c r="X33" s="59" t="s">
        <v>277</v>
      </c>
      <c r="Y33" s="59" t="s">
        <v>196</v>
      </c>
      <c r="Z33" s="51" t="s">
        <v>197</v>
      </c>
      <c r="AA33" s="51" t="s">
        <v>275</v>
      </c>
      <c r="AB33" s="51"/>
    </row>
    <row r="34" spans="1:28" x14ac:dyDescent="0.25">
      <c r="A34" s="61" t="s">
        <v>186</v>
      </c>
      <c r="B34" s="52">
        <v>44220</v>
      </c>
      <c r="C34" s="53">
        <v>0.78866152777777798</v>
      </c>
      <c r="D34" s="54" t="s">
        <v>273</v>
      </c>
      <c r="E34" s="54" t="s">
        <v>188</v>
      </c>
      <c r="F34" s="54" t="s">
        <v>189</v>
      </c>
      <c r="G34" s="54" t="s">
        <v>184</v>
      </c>
      <c r="H34" s="54" t="s">
        <v>185</v>
      </c>
      <c r="I34" s="54" t="s">
        <v>190</v>
      </c>
      <c r="J34" s="54" t="s">
        <v>185</v>
      </c>
      <c r="K34" s="54" t="s">
        <v>191</v>
      </c>
      <c r="L34" s="54" t="s">
        <v>185</v>
      </c>
      <c r="M34" s="54"/>
      <c r="N34" s="54" t="s">
        <v>274</v>
      </c>
      <c r="O34" s="55">
        <v>97.317999999999998</v>
      </c>
      <c r="P34" s="56">
        <v>23.3</v>
      </c>
      <c r="Q34" s="55">
        <v>74.018000000000001</v>
      </c>
      <c r="R34" s="57" t="s">
        <v>186</v>
      </c>
      <c r="S34" s="58" t="s">
        <v>278</v>
      </c>
      <c r="T34" s="54" t="s">
        <v>194</v>
      </c>
      <c r="U34" s="55">
        <v>66366.3</v>
      </c>
      <c r="V34" s="55">
        <v>46.41</v>
      </c>
      <c r="W34" s="55">
        <v>9.42</v>
      </c>
      <c r="X34" s="59" t="s">
        <v>279</v>
      </c>
      <c r="Y34" s="59" t="s">
        <v>196</v>
      </c>
      <c r="Z34" s="51" t="s">
        <v>197</v>
      </c>
      <c r="AA34" s="51" t="s">
        <v>275</v>
      </c>
      <c r="AB34" s="51"/>
    </row>
    <row r="35" spans="1:28" x14ac:dyDescent="0.25">
      <c r="A35" s="61" t="s">
        <v>186</v>
      </c>
      <c r="B35" s="52">
        <v>44220</v>
      </c>
      <c r="C35" s="53">
        <v>0.78974957175925897</v>
      </c>
      <c r="D35" s="54" t="s">
        <v>280</v>
      </c>
      <c r="E35" s="54" t="s">
        <v>188</v>
      </c>
      <c r="F35" s="54" t="s">
        <v>189</v>
      </c>
      <c r="G35" s="54" t="s">
        <v>184</v>
      </c>
      <c r="H35" s="54" t="s">
        <v>185</v>
      </c>
      <c r="I35" s="54" t="s">
        <v>190</v>
      </c>
      <c r="J35" s="54" t="s">
        <v>185</v>
      </c>
      <c r="K35" s="54" t="s">
        <v>191</v>
      </c>
      <c r="L35" s="54" t="s">
        <v>185</v>
      </c>
      <c r="M35" s="54"/>
      <c r="N35" s="54" t="s">
        <v>281</v>
      </c>
      <c r="O35" s="55">
        <v>93.093000000000004</v>
      </c>
      <c r="P35" s="56">
        <v>23</v>
      </c>
      <c r="Q35" s="55">
        <v>70.093000000000004</v>
      </c>
      <c r="R35" s="57" t="s">
        <v>186</v>
      </c>
      <c r="S35" s="58" t="s">
        <v>282</v>
      </c>
      <c r="T35" s="54" t="s">
        <v>194</v>
      </c>
      <c r="U35" s="55">
        <v>70155.8</v>
      </c>
      <c r="V35" s="55">
        <v>49.06</v>
      </c>
      <c r="W35" s="55">
        <v>33.103000000000002</v>
      </c>
      <c r="X35" s="59" t="s">
        <v>283</v>
      </c>
      <c r="Y35" s="59" t="s">
        <v>196</v>
      </c>
      <c r="Z35" s="51" t="s">
        <v>197</v>
      </c>
      <c r="AA35" s="51" t="s">
        <v>284</v>
      </c>
      <c r="AB35" s="51"/>
    </row>
    <row r="36" spans="1:28" x14ac:dyDescent="0.25">
      <c r="A36" s="61" t="s">
        <v>186</v>
      </c>
      <c r="B36" s="52">
        <v>44220</v>
      </c>
      <c r="C36" s="53">
        <v>0.78974957175925897</v>
      </c>
      <c r="D36" s="54" t="s">
        <v>280</v>
      </c>
      <c r="E36" s="54" t="s">
        <v>188</v>
      </c>
      <c r="F36" s="54" t="s">
        <v>189</v>
      </c>
      <c r="G36" s="54" t="s">
        <v>184</v>
      </c>
      <c r="H36" s="54" t="s">
        <v>185</v>
      </c>
      <c r="I36" s="54" t="s">
        <v>190</v>
      </c>
      <c r="J36" s="54" t="s">
        <v>185</v>
      </c>
      <c r="K36" s="54" t="s">
        <v>191</v>
      </c>
      <c r="L36" s="54" t="s">
        <v>185</v>
      </c>
      <c r="M36" s="54"/>
      <c r="N36" s="54" t="s">
        <v>281</v>
      </c>
      <c r="O36" s="55">
        <v>93.093000000000004</v>
      </c>
      <c r="P36" s="56">
        <v>23</v>
      </c>
      <c r="Q36" s="55">
        <v>70.093000000000004</v>
      </c>
      <c r="R36" s="57" t="s">
        <v>186</v>
      </c>
      <c r="S36" s="58" t="s">
        <v>278</v>
      </c>
      <c r="T36" s="54" t="s">
        <v>194</v>
      </c>
      <c r="U36" s="55">
        <v>66366.3</v>
      </c>
      <c r="V36" s="55">
        <v>46.41</v>
      </c>
      <c r="W36" s="55">
        <v>36.99</v>
      </c>
      <c r="X36" s="59" t="s">
        <v>279</v>
      </c>
      <c r="Y36" s="59" t="s">
        <v>196</v>
      </c>
      <c r="Z36" s="51" t="s">
        <v>197</v>
      </c>
      <c r="AA36" s="51" t="s">
        <v>284</v>
      </c>
      <c r="AB36" s="51"/>
    </row>
    <row r="37" spans="1:28" x14ac:dyDescent="0.25">
      <c r="A37" s="61" t="s">
        <v>186</v>
      </c>
      <c r="B37" s="52">
        <v>44220</v>
      </c>
      <c r="C37" s="53">
        <v>0.79161833333333298</v>
      </c>
      <c r="D37" s="54" t="s">
        <v>285</v>
      </c>
      <c r="E37" s="54" t="s">
        <v>188</v>
      </c>
      <c r="F37" s="54" t="s">
        <v>189</v>
      </c>
      <c r="G37" s="54" t="s">
        <v>184</v>
      </c>
      <c r="H37" s="54" t="s">
        <v>185</v>
      </c>
      <c r="I37" s="54" t="s">
        <v>190</v>
      </c>
      <c r="J37" s="54" t="s">
        <v>185</v>
      </c>
      <c r="K37" s="54" t="s">
        <v>191</v>
      </c>
      <c r="L37" s="54" t="s">
        <v>185</v>
      </c>
      <c r="M37" s="54"/>
      <c r="N37" s="54" t="s">
        <v>286</v>
      </c>
      <c r="O37" s="55">
        <v>97.498999999999995</v>
      </c>
      <c r="P37" s="56">
        <v>23.3</v>
      </c>
      <c r="Q37" s="55">
        <v>74.198999999999998</v>
      </c>
      <c r="R37" s="57" t="s">
        <v>186</v>
      </c>
      <c r="S37" s="58" t="s">
        <v>287</v>
      </c>
      <c r="T37" s="54" t="s">
        <v>194</v>
      </c>
      <c r="U37" s="55">
        <v>70184.399999999994</v>
      </c>
      <c r="V37" s="55">
        <v>49.08</v>
      </c>
      <c r="W37" s="55">
        <v>49.06</v>
      </c>
      <c r="X37" s="59" t="s">
        <v>288</v>
      </c>
      <c r="Y37" s="59" t="s">
        <v>196</v>
      </c>
      <c r="Z37" s="51" t="s">
        <v>197</v>
      </c>
      <c r="AA37" s="51" t="s">
        <v>289</v>
      </c>
      <c r="AB37" s="51"/>
    </row>
    <row r="38" spans="1:28" x14ac:dyDescent="0.25">
      <c r="A38" s="61" t="s">
        <v>186</v>
      </c>
      <c r="B38" s="52">
        <v>44220</v>
      </c>
      <c r="C38" s="53">
        <v>0.79161833333333298</v>
      </c>
      <c r="D38" s="54" t="s">
        <v>285</v>
      </c>
      <c r="E38" s="54" t="s">
        <v>188</v>
      </c>
      <c r="F38" s="54" t="s">
        <v>189</v>
      </c>
      <c r="G38" s="54" t="s">
        <v>184</v>
      </c>
      <c r="H38" s="54" t="s">
        <v>185</v>
      </c>
      <c r="I38" s="54" t="s">
        <v>190</v>
      </c>
      <c r="J38" s="54" t="s">
        <v>185</v>
      </c>
      <c r="K38" s="54" t="s">
        <v>191</v>
      </c>
      <c r="L38" s="54" t="s">
        <v>185</v>
      </c>
      <c r="M38" s="54"/>
      <c r="N38" s="54" t="s">
        <v>286</v>
      </c>
      <c r="O38" s="55">
        <v>97.498999999999995</v>
      </c>
      <c r="P38" s="56">
        <v>23.3</v>
      </c>
      <c r="Q38" s="55">
        <v>74.198999999999998</v>
      </c>
      <c r="R38" s="57" t="s">
        <v>186</v>
      </c>
      <c r="S38" s="58" t="s">
        <v>290</v>
      </c>
      <c r="T38" s="54" t="s">
        <v>194</v>
      </c>
      <c r="U38" s="55">
        <v>72329.399999999994</v>
      </c>
      <c r="V38" s="55">
        <v>50.58</v>
      </c>
      <c r="W38" s="55">
        <v>9.1820000000000004</v>
      </c>
      <c r="X38" s="59" t="s">
        <v>291</v>
      </c>
      <c r="Y38" s="59" t="s">
        <v>196</v>
      </c>
      <c r="Z38" s="51" t="s">
        <v>197</v>
      </c>
      <c r="AA38" s="51" t="s">
        <v>289</v>
      </c>
      <c r="AB38" s="51"/>
    </row>
    <row r="39" spans="1:28" x14ac:dyDescent="0.25">
      <c r="A39" s="61" t="s">
        <v>186</v>
      </c>
      <c r="B39" s="52">
        <v>44220</v>
      </c>
      <c r="C39" s="53">
        <v>0.79161833333333298</v>
      </c>
      <c r="D39" s="54" t="s">
        <v>285</v>
      </c>
      <c r="E39" s="54" t="s">
        <v>188</v>
      </c>
      <c r="F39" s="54" t="s">
        <v>189</v>
      </c>
      <c r="G39" s="54" t="s">
        <v>184</v>
      </c>
      <c r="H39" s="54" t="s">
        <v>185</v>
      </c>
      <c r="I39" s="54" t="s">
        <v>190</v>
      </c>
      <c r="J39" s="54" t="s">
        <v>185</v>
      </c>
      <c r="K39" s="54" t="s">
        <v>191</v>
      </c>
      <c r="L39" s="54" t="s">
        <v>185</v>
      </c>
      <c r="M39" s="54"/>
      <c r="N39" s="54" t="s">
        <v>286</v>
      </c>
      <c r="O39" s="55">
        <v>97.498999999999995</v>
      </c>
      <c r="P39" s="56">
        <v>23.3</v>
      </c>
      <c r="Q39" s="55">
        <v>74.198999999999998</v>
      </c>
      <c r="R39" s="57" t="s">
        <v>186</v>
      </c>
      <c r="S39" s="58" t="s">
        <v>282</v>
      </c>
      <c r="T39" s="54" t="s">
        <v>194</v>
      </c>
      <c r="U39" s="55">
        <v>70155.8</v>
      </c>
      <c r="V39" s="55">
        <v>49.06</v>
      </c>
      <c r="W39" s="55">
        <v>15.957000000000001</v>
      </c>
      <c r="X39" s="59" t="s">
        <v>283</v>
      </c>
      <c r="Y39" s="59" t="s">
        <v>196</v>
      </c>
      <c r="Z39" s="51" t="s">
        <v>197</v>
      </c>
      <c r="AA39" s="51" t="s">
        <v>289</v>
      </c>
      <c r="AB39" s="51"/>
    </row>
    <row r="40" spans="1:28" x14ac:dyDescent="0.25">
      <c r="A40" s="61" t="s">
        <v>186</v>
      </c>
      <c r="B40" s="52">
        <v>44220</v>
      </c>
      <c r="C40" s="53">
        <v>0.792767395833333</v>
      </c>
      <c r="D40" s="54" t="s">
        <v>292</v>
      </c>
      <c r="E40" s="54" t="s">
        <v>188</v>
      </c>
      <c r="F40" s="54" t="s">
        <v>189</v>
      </c>
      <c r="G40" s="54" t="s">
        <v>184</v>
      </c>
      <c r="H40" s="54" t="s">
        <v>185</v>
      </c>
      <c r="I40" s="54" t="s">
        <v>190</v>
      </c>
      <c r="J40" s="54" t="s">
        <v>185</v>
      </c>
      <c r="K40" s="54" t="s">
        <v>191</v>
      </c>
      <c r="L40" s="54" t="s">
        <v>185</v>
      </c>
      <c r="M40" s="54"/>
      <c r="N40" s="54" t="s">
        <v>293</v>
      </c>
      <c r="O40" s="55">
        <v>94.811000000000007</v>
      </c>
      <c r="P40" s="56">
        <v>23.3</v>
      </c>
      <c r="Q40" s="55">
        <v>71.510999999999996</v>
      </c>
      <c r="R40" s="57" t="s">
        <v>186</v>
      </c>
      <c r="S40" s="58" t="s">
        <v>290</v>
      </c>
      <c r="T40" s="54" t="s">
        <v>194</v>
      </c>
      <c r="U40" s="55">
        <v>72329.399999999994</v>
      </c>
      <c r="V40" s="55">
        <v>50.58</v>
      </c>
      <c r="W40" s="55">
        <v>41.398000000000003</v>
      </c>
      <c r="X40" s="59" t="s">
        <v>291</v>
      </c>
      <c r="Y40" s="59" t="s">
        <v>196</v>
      </c>
      <c r="Z40" s="51" t="s">
        <v>197</v>
      </c>
      <c r="AA40" s="51" t="s">
        <v>294</v>
      </c>
      <c r="AB40" s="51"/>
    </row>
    <row r="41" spans="1:28" x14ac:dyDescent="0.25">
      <c r="A41" s="61" t="s">
        <v>186</v>
      </c>
      <c r="B41" s="52">
        <v>44220</v>
      </c>
      <c r="C41" s="53">
        <v>0.792767395833333</v>
      </c>
      <c r="D41" s="54" t="s">
        <v>292</v>
      </c>
      <c r="E41" s="54" t="s">
        <v>188</v>
      </c>
      <c r="F41" s="54" t="s">
        <v>189</v>
      </c>
      <c r="G41" s="54" t="s">
        <v>184</v>
      </c>
      <c r="H41" s="54" t="s">
        <v>185</v>
      </c>
      <c r="I41" s="54" t="s">
        <v>190</v>
      </c>
      <c r="J41" s="54" t="s">
        <v>185</v>
      </c>
      <c r="K41" s="54" t="s">
        <v>191</v>
      </c>
      <c r="L41" s="54" t="s">
        <v>185</v>
      </c>
      <c r="M41" s="54"/>
      <c r="N41" s="54" t="s">
        <v>293</v>
      </c>
      <c r="O41" s="55">
        <v>94.811000000000007</v>
      </c>
      <c r="P41" s="56">
        <v>23.3</v>
      </c>
      <c r="Q41" s="55">
        <v>71.510999999999996</v>
      </c>
      <c r="R41" s="57" t="s">
        <v>186</v>
      </c>
      <c r="S41" s="58" t="s">
        <v>295</v>
      </c>
      <c r="T41" s="54" t="s">
        <v>194</v>
      </c>
      <c r="U41" s="55">
        <v>68997.5</v>
      </c>
      <c r="V41" s="55">
        <v>48.25</v>
      </c>
      <c r="W41" s="55">
        <v>30.113</v>
      </c>
      <c r="X41" s="59" t="s">
        <v>296</v>
      </c>
      <c r="Y41" s="59" t="s">
        <v>196</v>
      </c>
      <c r="Z41" s="51" t="s">
        <v>197</v>
      </c>
      <c r="AA41" s="51" t="s">
        <v>294</v>
      </c>
      <c r="AB41" s="51"/>
    </row>
    <row r="42" spans="1:28" x14ac:dyDescent="0.25">
      <c r="A42" s="61" t="s">
        <v>186</v>
      </c>
      <c r="B42" s="52">
        <v>44220</v>
      </c>
      <c r="C42" s="53">
        <v>0.79361502314814802</v>
      </c>
      <c r="D42" s="54" t="s">
        <v>297</v>
      </c>
      <c r="E42" s="54" t="s">
        <v>188</v>
      </c>
      <c r="F42" s="54" t="s">
        <v>189</v>
      </c>
      <c r="G42" s="54" t="s">
        <v>184</v>
      </c>
      <c r="H42" s="54" t="s">
        <v>185</v>
      </c>
      <c r="I42" s="54" t="s">
        <v>190</v>
      </c>
      <c r="J42" s="54" t="s">
        <v>185</v>
      </c>
      <c r="K42" s="54" t="s">
        <v>191</v>
      </c>
      <c r="L42" s="54" t="s">
        <v>185</v>
      </c>
      <c r="M42" s="54"/>
      <c r="N42" s="54" t="s">
        <v>298</v>
      </c>
      <c r="O42" s="55">
        <v>96.396000000000001</v>
      </c>
      <c r="P42" s="56">
        <v>23.3</v>
      </c>
      <c r="Q42" s="55">
        <v>73.096000000000004</v>
      </c>
      <c r="R42" s="57" t="s">
        <v>186</v>
      </c>
      <c r="S42" s="58" t="s">
        <v>299</v>
      </c>
      <c r="T42" s="54" t="s">
        <v>194</v>
      </c>
      <c r="U42" s="55">
        <v>71700.2</v>
      </c>
      <c r="V42" s="55">
        <v>50.14</v>
      </c>
      <c r="W42" s="55">
        <v>4.7489999999999997</v>
      </c>
      <c r="X42" s="59" t="s">
        <v>300</v>
      </c>
      <c r="Y42" s="59" t="s">
        <v>196</v>
      </c>
      <c r="Z42" s="51" t="s">
        <v>197</v>
      </c>
      <c r="AA42" s="51" t="s">
        <v>301</v>
      </c>
      <c r="AB42" s="51"/>
    </row>
    <row r="43" spans="1:28" x14ac:dyDescent="0.25">
      <c r="A43" s="61" t="s">
        <v>186</v>
      </c>
      <c r="B43" s="52">
        <v>44220</v>
      </c>
      <c r="C43" s="53">
        <v>0.79361502314814802</v>
      </c>
      <c r="D43" s="54" t="s">
        <v>297</v>
      </c>
      <c r="E43" s="54" t="s">
        <v>188</v>
      </c>
      <c r="F43" s="54" t="s">
        <v>189</v>
      </c>
      <c r="G43" s="54" t="s">
        <v>184</v>
      </c>
      <c r="H43" s="54" t="s">
        <v>185</v>
      </c>
      <c r="I43" s="54" t="s">
        <v>190</v>
      </c>
      <c r="J43" s="54" t="s">
        <v>185</v>
      </c>
      <c r="K43" s="54" t="s">
        <v>191</v>
      </c>
      <c r="L43" s="54" t="s">
        <v>185</v>
      </c>
      <c r="M43" s="54"/>
      <c r="N43" s="54" t="s">
        <v>298</v>
      </c>
      <c r="O43" s="55">
        <v>96.396000000000001</v>
      </c>
      <c r="P43" s="56">
        <v>23.3</v>
      </c>
      <c r="Q43" s="55">
        <v>73.096000000000004</v>
      </c>
      <c r="R43" s="57" t="s">
        <v>186</v>
      </c>
      <c r="S43" s="58" t="s">
        <v>302</v>
      </c>
      <c r="T43" s="54" t="s">
        <v>194</v>
      </c>
      <c r="U43" s="55">
        <v>71800.3</v>
      </c>
      <c r="V43" s="55">
        <v>50.21</v>
      </c>
      <c r="W43" s="55">
        <v>50.21</v>
      </c>
      <c r="X43" s="59" t="s">
        <v>303</v>
      </c>
      <c r="Y43" s="59" t="s">
        <v>196</v>
      </c>
      <c r="Z43" s="51" t="s">
        <v>197</v>
      </c>
      <c r="AA43" s="51" t="s">
        <v>301</v>
      </c>
      <c r="AB43" s="51"/>
    </row>
    <row r="44" spans="1:28" x14ac:dyDescent="0.25">
      <c r="A44" s="61" t="s">
        <v>186</v>
      </c>
      <c r="B44" s="52">
        <v>44220</v>
      </c>
      <c r="C44" s="53">
        <v>0.79361502314814802</v>
      </c>
      <c r="D44" s="54" t="s">
        <v>297</v>
      </c>
      <c r="E44" s="54" t="s">
        <v>188</v>
      </c>
      <c r="F44" s="54" t="s">
        <v>189</v>
      </c>
      <c r="G44" s="54" t="s">
        <v>184</v>
      </c>
      <c r="H44" s="54" t="s">
        <v>185</v>
      </c>
      <c r="I44" s="54" t="s">
        <v>190</v>
      </c>
      <c r="J44" s="54" t="s">
        <v>185</v>
      </c>
      <c r="K44" s="54" t="s">
        <v>191</v>
      </c>
      <c r="L44" s="54" t="s">
        <v>185</v>
      </c>
      <c r="M44" s="54"/>
      <c r="N44" s="54" t="s">
        <v>298</v>
      </c>
      <c r="O44" s="55">
        <v>96.396000000000001</v>
      </c>
      <c r="P44" s="56">
        <v>23.3</v>
      </c>
      <c r="Q44" s="55">
        <v>73.096000000000004</v>
      </c>
      <c r="R44" s="57" t="s">
        <v>186</v>
      </c>
      <c r="S44" s="58" t="s">
        <v>295</v>
      </c>
      <c r="T44" s="54" t="s">
        <v>194</v>
      </c>
      <c r="U44" s="55">
        <v>68997.5</v>
      </c>
      <c r="V44" s="55">
        <v>48.25</v>
      </c>
      <c r="W44" s="55">
        <v>18.137</v>
      </c>
      <c r="X44" s="59" t="s">
        <v>296</v>
      </c>
      <c r="Y44" s="59" t="s">
        <v>196</v>
      </c>
      <c r="Z44" s="51" t="s">
        <v>197</v>
      </c>
      <c r="AA44" s="51" t="s">
        <v>301</v>
      </c>
      <c r="AB44" s="51"/>
    </row>
    <row r="45" spans="1:28" x14ac:dyDescent="0.25">
      <c r="A45" s="61" t="s">
        <v>186</v>
      </c>
      <c r="B45" s="52">
        <v>44220</v>
      </c>
      <c r="C45" s="53">
        <v>0.79673893518518502</v>
      </c>
      <c r="D45" s="54" t="s">
        <v>304</v>
      </c>
      <c r="E45" s="54" t="s">
        <v>188</v>
      </c>
      <c r="F45" s="54" t="s">
        <v>189</v>
      </c>
      <c r="G45" s="54" t="s">
        <v>184</v>
      </c>
      <c r="H45" s="54" t="s">
        <v>185</v>
      </c>
      <c r="I45" s="54" t="s">
        <v>190</v>
      </c>
      <c r="J45" s="54" t="s">
        <v>185</v>
      </c>
      <c r="K45" s="54" t="s">
        <v>191</v>
      </c>
      <c r="L45" s="54" t="s">
        <v>185</v>
      </c>
      <c r="M45" s="54"/>
      <c r="N45" s="54" t="s">
        <v>305</v>
      </c>
      <c r="O45" s="55">
        <v>92.429000000000002</v>
      </c>
      <c r="P45" s="56">
        <v>23</v>
      </c>
      <c r="Q45" s="55">
        <v>69.429000000000002</v>
      </c>
      <c r="R45" s="57" t="s">
        <v>186</v>
      </c>
      <c r="S45" s="58" t="s">
        <v>306</v>
      </c>
      <c r="T45" s="54" t="s">
        <v>194</v>
      </c>
      <c r="U45" s="55">
        <v>71643</v>
      </c>
      <c r="V45" s="55">
        <v>50.1</v>
      </c>
      <c r="W45" s="55">
        <v>24.038</v>
      </c>
      <c r="X45" s="59" t="s">
        <v>307</v>
      </c>
      <c r="Y45" s="59" t="s">
        <v>196</v>
      </c>
      <c r="Z45" s="51" t="s">
        <v>197</v>
      </c>
      <c r="AA45" s="51" t="s">
        <v>308</v>
      </c>
      <c r="AB45" s="51"/>
    </row>
    <row r="46" spans="1:28" x14ac:dyDescent="0.25">
      <c r="A46" s="61" t="s">
        <v>186</v>
      </c>
      <c r="B46" s="52">
        <v>44220</v>
      </c>
      <c r="C46" s="53">
        <v>0.79673893518518502</v>
      </c>
      <c r="D46" s="54" t="s">
        <v>304</v>
      </c>
      <c r="E46" s="54" t="s">
        <v>188</v>
      </c>
      <c r="F46" s="54" t="s">
        <v>189</v>
      </c>
      <c r="G46" s="54" t="s">
        <v>184</v>
      </c>
      <c r="H46" s="54" t="s">
        <v>185</v>
      </c>
      <c r="I46" s="54" t="s">
        <v>190</v>
      </c>
      <c r="J46" s="54" t="s">
        <v>185</v>
      </c>
      <c r="K46" s="54" t="s">
        <v>191</v>
      </c>
      <c r="L46" s="54" t="s">
        <v>185</v>
      </c>
      <c r="M46" s="54"/>
      <c r="N46" s="54" t="s">
        <v>305</v>
      </c>
      <c r="O46" s="55">
        <v>92.429000000000002</v>
      </c>
      <c r="P46" s="56">
        <v>23</v>
      </c>
      <c r="Q46" s="55">
        <v>69.429000000000002</v>
      </c>
      <c r="R46" s="57" t="s">
        <v>186</v>
      </c>
      <c r="S46" s="58" t="s">
        <v>299</v>
      </c>
      <c r="T46" s="54" t="s">
        <v>194</v>
      </c>
      <c r="U46" s="55">
        <v>71700.2</v>
      </c>
      <c r="V46" s="55">
        <v>50.14</v>
      </c>
      <c r="W46" s="55">
        <v>45.390999999999998</v>
      </c>
      <c r="X46" s="59" t="s">
        <v>300</v>
      </c>
      <c r="Y46" s="59" t="s">
        <v>196</v>
      </c>
      <c r="Z46" s="51" t="s">
        <v>197</v>
      </c>
      <c r="AA46" s="51" t="s">
        <v>308</v>
      </c>
      <c r="AB46" s="51"/>
    </row>
    <row r="47" spans="1:28" x14ac:dyDescent="0.25">
      <c r="A47" s="61" t="s">
        <v>186</v>
      </c>
      <c r="B47" s="52">
        <v>44220</v>
      </c>
      <c r="C47" s="53">
        <v>0.79782512731481503</v>
      </c>
      <c r="D47" s="54" t="s">
        <v>309</v>
      </c>
      <c r="E47" s="54" t="s">
        <v>188</v>
      </c>
      <c r="F47" s="54" t="s">
        <v>189</v>
      </c>
      <c r="G47" s="54" t="s">
        <v>184</v>
      </c>
      <c r="H47" s="54" t="s">
        <v>185</v>
      </c>
      <c r="I47" s="54" t="s">
        <v>190</v>
      </c>
      <c r="J47" s="54" t="s">
        <v>185</v>
      </c>
      <c r="K47" s="54" t="s">
        <v>191</v>
      </c>
      <c r="L47" s="54" t="s">
        <v>185</v>
      </c>
      <c r="M47" s="54"/>
      <c r="N47" s="54" t="s">
        <v>310</v>
      </c>
      <c r="O47" s="55">
        <v>98.727999999999994</v>
      </c>
      <c r="P47" s="56">
        <v>23.3</v>
      </c>
      <c r="Q47" s="55">
        <v>75.427999999999997</v>
      </c>
      <c r="R47" s="57" t="s">
        <v>186</v>
      </c>
      <c r="S47" s="58" t="s">
        <v>311</v>
      </c>
      <c r="T47" s="54" t="s">
        <v>194</v>
      </c>
      <c r="U47" s="55">
        <v>73258.899999999994</v>
      </c>
      <c r="V47" s="55">
        <v>51.23</v>
      </c>
      <c r="W47" s="55">
        <v>49.366</v>
      </c>
      <c r="X47" s="59" t="s">
        <v>312</v>
      </c>
      <c r="Y47" s="59" t="s">
        <v>196</v>
      </c>
      <c r="Z47" s="51" t="s">
        <v>197</v>
      </c>
      <c r="AA47" s="51" t="s">
        <v>313</v>
      </c>
      <c r="AB47" s="51"/>
    </row>
    <row r="48" spans="1:28" x14ac:dyDescent="0.25">
      <c r="A48" s="61" t="s">
        <v>186</v>
      </c>
      <c r="B48" s="52">
        <v>44220</v>
      </c>
      <c r="C48" s="53">
        <v>0.79782512731481503</v>
      </c>
      <c r="D48" s="54" t="s">
        <v>309</v>
      </c>
      <c r="E48" s="54" t="s">
        <v>188</v>
      </c>
      <c r="F48" s="54" t="s">
        <v>189</v>
      </c>
      <c r="G48" s="54" t="s">
        <v>184</v>
      </c>
      <c r="H48" s="54" t="s">
        <v>185</v>
      </c>
      <c r="I48" s="54" t="s">
        <v>190</v>
      </c>
      <c r="J48" s="54" t="s">
        <v>185</v>
      </c>
      <c r="K48" s="54" t="s">
        <v>191</v>
      </c>
      <c r="L48" s="54" t="s">
        <v>185</v>
      </c>
      <c r="M48" s="54"/>
      <c r="N48" s="54" t="s">
        <v>310</v>
      </c>
      <c r="O48" s="55">
        <v>98.727999999999994</v>
      </c>
      <c r="P48" s="56">
        <v>23.3</v>
      </c>
      <c r="Q48" s="55">
        <v>75.427999999999997</v>
      </c>
      <c r="R48" s="57" t="s">
        <v>186</v>
      </c>
      <c r="S48" s="58" t="s">
        <v>306</v>
      </c>
      <c r="T48" s="54" t="s">
        <v>194</v>
      </c>
      <c r="U48" s="55">
        <v>71643</v>
      </c>
      <c r="V48" s="55">
        <v>50.1</v>
      </c>
      <c r="W48" s="55">
        <v>26.062000000000001</v>
      </c>
      <c r="X48" s="59" t="s">
        <v>307</v>
      </c>
      <c r="Y48" s="59" t="s">
        <v>196</v>
      </c>
      <c r="Z48" s="51" t="s">
        <v>197</v>
      </c>
      <c r="AA48" s="51" t="s">
        <v>313</v>
      </c>
      <c r="AB48" s="51"/>
    </row>
    <row r="49" spans="1:28" x14ac:dyDescent="0.25">
      <c r="A49" s="61" t="s">
        <v>186</v>
      </c>
      <c r="B49" s="52">
        <v>44220</v>
      </c>
      <c r="C49" s="53">
        <v>0.90318559027777801</v>
      </c>
      <c r="D49" s="54" t="s">
        <v>314</v>
      </c>
      <c r="E49" s="54" t="s">
        <v>188</v>
      </c>
      <c r="F49" s="54" t="s">
        <v>189</v>
      </c>
      <c r="G49" s="54" t="s">
        <v>184</v>
      </c>
      <c r="H49" s="54" t="s">
        <v>185</v>
      </c>
      <c r="I49" s="54" t="s">
        <v>190</v>
      </c>
      <c r="J49" s="54" t="s">
        <v>185</v>
      </c>
      <c r="K49" s="54" t="s">
        <v>191</v>
      </c>
      <c r="L49" s="54" t="s">
        <v>185</v>
      </c>
      <c r="M49" s="54"/>
      <c r="N49" s="54" t="s">
        <v>315</v>
      </c>
      <c r="O49" s="55">
        <v>97.581000000000003</v>
      </c>
      <c r="P49" s="56">
        <v>23</v>
      </c>
      <c r="Q49" s="55">
        <v>74.581000000000003</v>
      </c>
      <c r="R49" s="57" t="s">
        <v>186</v>
      </c>
      <c r="S49" s="58" t="s">
        <v>316</v>
      </c>
      <c r="T49" s="54" t="s">
        <v>194</v>
      </c>
      <c r="U49" s="55">
        <v>73173.100000000006</v>
      </c>
      <c r="V49" s="55">
        <v>51.17</v>
      </c>
      <c r="W49" s="55">
        <v>51.04</v>
      </c>
      <c r="X49" s="59" t="s">
        <v>317</v>
      </c>
      <c r="Y49" s="59" t="s">
        <v>196</v>
      </c>
      <c r="Z49" s="51" t="s">
        <v>197</v>
      </c>
      <c r="AA49" s="51" t="s">
        <v>318</v>
      </c>
      <c r="AB49" s="51"/>
    </row>
    <row r="50" spans="1:28" x14ac:dyDescent="0.25">
      <c r="A50" s="61" t="s">
        <v>186</v>
      </c>
      <c r="B50" s="52">
        <v>44220</v>
      </c>
      <c r="C50" s="53">
        <v>0.90318559027777801</v>
      </c>
      <c r="D50" s="54" t="s">
        <v>314</v>
      </c>
      <c r="E50" s="54" t="s">
        <v>188</v>
      </c>
      <c r="F50" s="54" t="s">
        <v>189</v>
      </c>
      <c r="G50" s="54" t="s">
        <v>184</v>
      </c>
      <c r="H50" s="54" t="s">
        <v>185</v>
      </c>
      <c r="I50" s="54" t="s">
        <v>190</v>
      </c>
      <c r="J50" s="54" t="s">
        <v>185</v>
      </c>
      <c r="K50" s="54" t="s">
        <v>191</v>
      </c>
      <c r="L50" s="54" t="s">
        <v>185</v>
      </c>
      <c r="M50" s="54"/>
      <c r="N50" s="54" t="s">
        <v>315</v>
      </c>
      <c r="O50" s="55">
        <v>97.581000000000003</v>
      </c>
      <c r="P50" s="56">
        <v>23</v>
      </c>
      <c r="Q50" s="55">
        <v>74.581000000000003</v>
      </c>
      <c r="R50" s="57" t="s">
        <v>186</v>
      </c>
      <c r="S50" s="58" t="s">
        <v>319</v>
      </c>
      <c r="T50" s="54" t="s">
        <v>194</v>
      </c>
      <c r="U50" s="55">
        <v>67910.7</v>
      </c>
      <c r="V50" s="55">
        <v>47.49</v>
      </c>
      <c r="W50" s="55">
        <v>23.541</v>
      </c>
      <c r="X50" s="59" t="s">
        <v>320</v>
      </c>
      <c r="Y50" s="59" t="s">
        <v>196</v>
      </c>
      <c r="Z50" s="51" t="s">
        <v>197</v>
      </c>
      <c r="AA50" s="51" t="s">
        <v>318</v>
      </c>
      <c r="AB50" s="51"/>
    </row>
    <row r="51" spans="1:28" x14ac:dyDescent="0.25">
      <c r="A51" s="61" t="s">
        <v>186</v>
      </c>
      <c r="B51" s="52">
        <v>44220</v>
      </c>
      <c r="C51" s="53">
        <v>0.90427267361111097</v>
      </c>
      <c r="D51" s="54" t="s">
        <v>321</v>
      </c>
      <c r="E51" s="54" t="s">
        <v>188</v>
      </c>
      <c r="F51" s="54" t="s">
        <v>189</v>
      </c>
      <c r="G51" s="54" t="s">
        <v>184</v>
      </c>
      <c r="H51" s="54" t="s">
        <v>185</v>
      </c>
      <c r="I51" s="54" t="s">
        <v>190</v>
      </c>
      <c r="J51" s="54" t="s">
        <v>185</v>
      </c>
      <c r="K51" s="54" t="s">
        <v>191</v>
      </c>
      <c r="L51" s="54" t="s">
        <v>185</v>
      </c>
      <c r="M51" s="54"/>
      <c r="N51" s="54" t="s">
        <v>322</v>
      </c>
      <c r="O51" s="55">
        <v>98.491</v>
      </c>
      <c r="P51" s="56">
        <v>23.3</v>
      </c>
      <c r="Q51" s="55">
        <v>75.191000000000003</v>
      </c>
      <c r="R51" s="57" t="s">
        <v>186</v>
      </c>
      <c r="S51" s="58" t="s">
        <v>323</v>
      </c>
      <c r="T51" s="54" t="s">
        <v>194</v>
      </c>
      <c r="U51" s="55">
        <v>72629.7</v>
      </c>
      <c r="V51" s="55">
        <v>50.79</v>
      </c>
      <c r="W51" s="55">
        <v>50.76</v>
      </c>
      <c r="X51" s="59" t="s">
        <v>324</v>
      </c>
      <c r="Y51" s="59" t="s">
        <v>196</v>
      </c>
      <c r="Z51" s="51" t="s">
        <v>197</v>
      </c>
      <c r="AA51" s="51" t="s">
        <v>325</v>
      </c>
      <c r="AB51" s="51"/>
    </row>
    <row r="52" spans="1:28" x14ac:dyDescent="0.25">
      <c r="A52" s="61" t="s">
        <v>186</v>
      </c>
      <c r="B52" s="52">
        <v>44220</v>
      </c>
      <c r="C52" s="53">
        <v>0.90427267361111097</v>
      </c>
      <c r="D52" s="54" t="s">
        <v>321</v>
      </c>
      <c r="E52" s="54" t="s">
        <v>188</v>
      </c>
      <c r="F52" s="54" t="s">
        <v>189</v>
      </c>
      <c r="G52" s="54" t="s">
        <v>184</v>
      </c>
      <c r="H52" s="54" t="s">
        <v>185</v>
      </c>
      <c r="I52" s="54" t="s">
        <v>190</v>
      </c>
      <c r="J52" s="54" t="s">
        <v>185</v>
      </c>
      <c r="K52" s="54" t="s">
        <v>191</v>
      </c>
      <c r="L52" s="54" t="s">
        <v>185</v>
      </c>
      <c r="M52" s="54"/>
      <c r="N52" s="54" t="s">
        <v>322</v>
      </c>
      <c r="O52" s="55">
        <v>98.491</v>
      </c>
      <c r="P52" s="56">
        <v>23.3</v>
      </c>
      <c r="Q52" s="55">
        <v>75.191000000000003</v>
      </c>
      <c r="R52" s="57" t="s">
        <v>186</v>
      </c>
      <c r="S52" s="58" t="s">
        <v>326</v>
      </c>
      <c r="T52" s="54" t="s">
        <v>194</v>
      </c>
      <c r="U52" s="55">
        <v>71542.899999999994</v>
      </c>
      <c r="V52" s="55">
        <v>50.03</v>
      </c>
      <c r="W52" s="55">
        <v>0.48199999999999998</v>
      </c>
      <c r="X52" s="59" t="s">
        <v>327</v>
      </c>
      <c r="Y52" s="59" t="s">
        <v>196</v>
      </c>
      <c r="Z52" s="51" t="s">
        <v>197</v>
      </c>
      <c r="AA52" s="51" t="s">
        <v>325</v>
      </c>
      <c r="AB52" s="51"/>
    </row>
    <row r="53" spans="1:28" x14ac:dyDescent="0.25">
      <c r="A53" s="61" t="s">
        <v>186</v>
      </c>
      <c r="B53" s="52">
        <v>44220</v>
      </c>
      <c r="C53" s="53">
        <v>0.90427267361111097</v>
      </c>
      <c r="D53" s="54" t="s">
        <v>321</v>
      </c>
      <c r="E53" s="54" t="s">
        <v>188</v>
      </c>
      <c r="F53" s="54" t="s">
        <v>189</v>
      </c>
      <c r="G53" s="54" t="s">
        <v>184</v>
      </c>
      <c r="H53" s="54" t="s">
        <v>185</v>
      </c>
      <c r="I53" s="54" t="s">
        <v>190</v>
      </c>
      <c r="J53" s="54" t="s">
        <v>185</v>
      </c>
      <c r="K53" s="54" t="s">
        <v>191</v>
      </c>
      <c r="L53" s="54" t="s">
        <v>185</v>
      </c>
      <c r="M53" s="54"/>
      <c r="N53" s="54" t="s">
        <v>322</v>
      </c>
      <c r="O53" s="55">
        <v>98.491</v>
      </c>
      <c r="P53" s="56">
        <v>23.3</v>
      </c>
      <c r="Q53" s="55">
        <v>75.191000000000003</v>
      </c>
      <c r="R53" s="57" t="s">
        <v>186</v>
      </c>
      <c r="S53" s="58" t="s">
        <v>319</v>
      </c>
      <c r="T53" s="54" t="s">
        <v>194</v>
      </c>
      <c r="U53" s="55">
        <v>67910.7</v>
      </c>
      <c r="V53" s="55">
        <v>47.49</v>
      </c>
      <c r="W53" s="55">
        <v>23.949000000000002</v>
      </c>
      <c r="X53" s="59" t="s">
        <v>320</v>
      </c>
      <c r="Y53" s="59" t="s">
        <v>196</v>
      </c>
      <c r="Z53" s="51" t="s">
        <v>197</v>
      </c>
      <c r="AA53" s="51" t="s">
        <v>325</v>
      </c>
      <c r="AB53" s="51"/>
    </row>
    <row r="54" spans="1:28" x14ac:dyDescent="0.25">
      <c r="A54" s="61" t="s">
        <v>186</v>
      </c>
      <c r="B54" s="52">
        <v>44220</v>
      </c>
      <c r="C54" s="53">
        <v>0.90521295138888902</v>
      </c>
      <c r="D54" s="54" t="s">
        <v>328</v>
      </c>
      <c r="E54" s="54" t="s">
        <v>188</v>
      </c>
      <c r="F54" s="54" t="s">
        <v>189</v>
      </c>
      <c r="G54" s="54" t="s">
        <v>184</v>
      </c>
      <c r="H54" s="54" t="s">
        <v>185</v>
      </c>
      <c r="I54" s="54" t="s">
        <v>190</v>
      </c>
      <c r="J54" s="54" t="s">
        <v>185</v>
      </c>
      <c r="K54" s="54" t="s">
        <v>191</v>
      </c>
      <c r="L54" s="54" t="s">
        <v>185</v>
      </c>
      <c r="M54" s="54"/>
      <c r="N54" s="54" t="s">
        <v>329</v>
      </c>
      <c r="O54" s="55">
        <v>98.506</v>
      </c>
      <c r="P54" s="56">
        <v>24.01</v>
      </c>
      <c r="Q54" s="55">
        <v>74.495999999999995</v>
      </c>
      <c r="R54" s="57" t="s">
        <v>186</v>
      </c>
      <c r="S54" s="58" t="s">
        <v>326</v>
      </c>
      <c r="T54" s="54" t="s">
        <v>194</v>
      </c>
      <c r="U54" s="55">
        <v>71542.899999999994</v>
      </c>
      <c r="V54" s="55">
        <v>50.03</v>
      </c>
      <c r="W54" s="55">
        <v>49.548000000000002</v>
      </c>
      <c r="X54" s="59" t="s">
        <v>327</v>
      </c>
      <c r="Y54" s="59" t="s">
        <v>196</v>
      </c>
      <c r="Z54" s="51" t="s">
        <v>197</v>
      </c>
      <c r="AA54" s="51" t="s">
        <v>330</v>
      </c>
      <c r="AB54" s="51"/>
    </row>
    <row r="55" spans="1:28" x14ac:dyDescent="0.25">
      <c r="A55" s="61" t="s">
        <v>186</v>
      </c>
      <c r="B55" s="52">
        <v>44220</v>
      </c>
      <c r="C55" s="53">
        <v>0.90521295138888902</v>
      </c>
      <c r="D55" s="54" t="s">
        <v>328</v>
      </c>
      <c r="E55" s="54" t="s">
        <v>188</v>
      </c>
      <c r="F55" s="54" t="s">
        <v>189</v>
      </c>
      <c r="G55" s="54" t="s">
        <v>184</v>
      </c>
      <c r="H55" s="54" t="s">
        <v>185</v>
      </c>
      <c r="I55" s="54" t="s">
        <v>190</v>
      </c>
      <c r="J55" s="54" t="s">
        <v>185</v>
      </c>
      <c r="K55" s="54" t="s">
        <v>191</v>
      </c>
      <c r="L55" s="54" t="s">
        <v>185</v>
      </c>
      <c r="M55" s="54"/>
      <c r="N55" s="54" t="s">
        <v>329</v>
      </c>
      <c r="O55" s="55">
        <v>98.506</v>
      </c>
      <c r="P55" s="56">
        <v>24.01</v>
      </c>
      <c r="Q55" s="55">
        <v>74.495999999999995</v>
      </c>
      <c r="R55" s="57" t="s">
        <v>186</v>
      </c>
      <c r="S55" s="58" t="s">
        <v>331</v>
      </c>
      <c r="T55" s="54" t="s">
        <v>194</v>
      </c>
      <c r="U55" s="55">
        <v>72744.100000000006</v>
      </c>
      <c r="V55" s="55">
        <v>50.87</v>
      </c>
      <c r="W55" s="55">
        <v>24.948</v>
      </c>
      <c r="X55" s="59" t="s">
        <v>332</v>
      </c>
      <c r="Y55" s="59" t="s">
        <v>196</v>
      </c>
      <c r="Z55" s="51" t="s">
        <v>197</v>
      </c>
      <c r="AA55" s="51" t="s">
        <v>330</v>
      </c>
      <c r="AB55" s="51"/>
    </row>
    <row r="56" spans="1:28" x14ac:dyDescent="0.25">
      <c r="A56" s="61" t="s">
        <v>186</v>
      </c>
      <c r="B56" s="52">
        <v>44220</v>
      </c>
      <c r="C56" s="53">
        <v>0.90589827546296298</v>
      </c>
      <c r="D56" s="54" t="s">
        <v>333</v>
      </c>
      <c r="E56" s="54" t="s">
        <v>188</v>
      </c>
      <c r="F56" s="54" t="s">
        <v>189</v>
      </c>
      <c r="G56" s="54" t="s">
        <v>184</v>
      </c>
      <c r="H56" s="54" t="s">
        <v>185</v>
      </c>
      <c r="I56" s="54" t="s">
        <v>190</v>
      </c>
      <c r="J56" s="54" t="s">
        <v>185</v>
      </c>
      <c r="K56" s="54" t="s">
        <v>191</v>
      </c>
      <c r="L56" s="54" t="s">
        <v>185</v>
      </c>
      <c r="M56" s="54"/>
      <c r="N56" s="54" t="s">
        <v>334</v>
      </c>
      <c r="O56" s="55">
        <v>97.516000000000005</v>
      </c>
      <c r="P56" s="56">
        <v>23</v>
      </c>
      <c r="Q56" s="55">
        <v>74.516000000000005</v>
      </c>
      <c r="R56" s="57" t="s">
        <v>186</v>
      </c>
      <c r="S56" s="58" t="s">
        <v>335</v>
      </c>
      <c r="T56" s="54" t="s">
        <v>194</v>
      </c>
      <c r="U56" s="55">
        <v>73015.8</v>
      </c>
      <c r="V56" s="55">
        <v>51.06</v>
      </c>
      <c r="W56" s="55">
        <v>48.594000000000001</v>
      </c>
      <c r="X56" s="59" t="s">
        <v>336</v>
      </c>
      <c r="Y56" s="59" t="s">
        <v>196</v>
      </c>
      <c r="Z56" s="51" t="s">
        <v>197</v>
      </c>
      <c r="AA56" s="51" t="s">
        <v>337</v>
      </c>
      <c r="AB56" s="51"/>
    </row>
    <row r="57" spans="1:28" x14ac:dyDescent="0.25">
      <c r="A57" s="61" t="s">
        <v>186</v>
      </c>
      <c r="B57" s="52">
        <v>44220</v>
      </c>
      <c r="C57" s="53">
        <v>0.90589827546296298</v>
      </c>
      <c r="D57" s="54" t="s">
        <v>333</v>
      </c>
      <c r="E57" s="54" t="s">
        <v>188</v>
      </c>
      <c r="F57" s="54" t="s">
        <v>189</v>
      </c>
      <c r="G57" s="54" t="s">
        <v>184</v>
      </c>
      <c r="H57" s="54" t="s">
        <v>185</v>
      </c>
      <c r="I57" s="54" t="s">
        <v>190</v>
      </c>
      <c r="J57" s="54" t="s">
        <v>185</v>
      </c>
      <c r="K57" s="54" t="s">
        <v>191</v>
      </c>
      <c r="L57" s="54" t="s">
        <v>185</v>
      </c>
      <c r="M57" s="54"/>
      <c r="N57" s="54" t="s">
        <v>334</v>
      </c>
      <c r="O57" s="55">
        <v>97.516000000000005</v>
      </c>
      <c r="P57" s="56">
        <v>23</v>
      </c>
      <c r="Q57" s="55">
        <v>74.516000000000005</v>
      </c>
      <c r="R57" s="57" t="s">
        <v>186</v>
      </c>
      <c r="S57" s="58" t="s">
        <v>331</v>
      </c>
      <c r="T57" s="54" t="s">
        <v>194</v>
      </c>
      <c r="U57" s="55">
        <v>72744.100000000006</v>
      </c>
      <c r="V57" s="55">
        <v>50.87</v>
      </c>
      <c r="W57" s="55">
        <v>25.922000000000001</v>
      </c>
      <c r="X57" s="59" t="s">
        <v>332</v>
      </c>
      <c r="Y57" s="59" t="s">
        <v>196</v>
      </c>
      <c r="Z57" s="51" t="s">
        <v>197</v>
      </c>
      <c r="AA57" s="51" t="s">
        <v>337</v>
      </c>
      <c r="AB57" s="51"/>
    </row>
    <row r="58" spans="1:28" x14ac:dyDescent="0.25">
      <c r="A58" s="61" t="s">
        <v>186</v>
      </c>
      <c r="B58" s="52">
        <v>44220</v>
      </c>
      <c r="C58" s="53">
        <v>0.91982024305555599</v>
      </c>
      <c r="D58" s="54" t="s">
        <v>338</v>
      </c>
      <c r="E58" s="54" t="s">
        <v>188</v>
      </c>
      <c r="F58" s="54" t="s">
        <v>189</v>
      </c>
      <c r="G58" s="54" t="s">
        <v>184</v>
      </c>
      <c r="H58" s="54" t="s">
        <v>185</v>
      </c>
      <c r="I58" s="54" t="s">
        <v>190</v>
      </c>
      <c r="J58" s="54" t="s">
        <v>185</v>
      </c>
      <c r="K58" s="54" t="s">
        <v>191</v>
      </c>
      <c r="L58" s="54" t="s">
        <v>185</v>
      </c>
      <c r="M58" s="54"/>
      <c r="N58" s="60" t="s">
        <v>339</v>
      </c>
      <c r="O58" s="55">
        <v>96.009</v>
      </c>
      <c r="P58" s="56">
        <v>23.3</v>
      </c>
      <c r="Q58" s="55">
        <v>72.709000000000003</v>
      </c>
      <c r="R58" s="57" t="s">
        <v>186</v>
      </c>
      <c r="S58" s="58" t="s">
        <v>335</v>
      </c>
      <c r="T58" s="54" t="s">
        <v>194</v>
      </c>
      <c r="U58" s="55">
        <v>73015.8</v>
      </c>
      <c r="V58" s="55">
        <v>51.06</v>
      </c>
      <c r="W58" s="55">
        <v>2.4460000000000002</v>
      </c>
      <c r="X58" s="59" t="s">
        <v>336</v>
      </c>
      <c r="Y58" s="59" t="s">
        <v>196</v>
      </c>
      <c r="Z58" s="51" t="s">
        <v>197</v>
      </c>
      <c r="AA58" s="51" t="s">
        <v>340</v>
      </c>
      <c r="AB58" s="51"/>
    </row>
    <row r="59" spans="1:28" x14ac:dyDescent="0.25">
      <c r="A59" s="61" t="s">
        <v>186</v>
      </c>
      <c r="B59" s="52">
        <v>44220</v>
      </c>
      <c r="C59" s="53">
        <v>0.91982024305555599</v>
      </c>
      <c r="D59" s="54" t="s">
        <v>338</v>
      </c>
      <c r="E59" s="54" t="s">
        <v>188</v>
      </c>
      <c r="F59" s="54" t="s">
        <v>189</v>
      </c>
      <c r="G59" s="54" t="s">
        <v>184</v>
      </c>
      <c r="H59" s="54" t="s">
        <v>185</v>
      </c>
      <c r="I59" s="54" t="s">
        <v>190</v>
      </c>
      <c r="J59" s="54" t="s">
        <v>185</v>
      </c>
      <c r="K59" s="54" t="s">
        <v>191</v>
      </c>
      <c r="L59" s="54" t="s">
        <v>185</v>
      </c>
      <c r="M59" s="54"/>
      <c r="N59" s="60" t="s">
        <v>339</v>
      </c>
      <c r="O59" s="55">
        <v>96.009</v>
      </c>
      <c r="P59" s="56">
        <v>23.3</v>
      </c>
      <c r="Q59" s="55">
        <v>72.709000000000003</v>
      </c>
      <c r="R59" s="57" t="s">
        <v>186</v>
      </c>
      <c r="S59" s="58" t="s">
        <v>341</v>
      </c>
      <c r="T59" s="54" t="s">
        <v>194</v>
      </c>
      <c r="U59" s="55">
        <v>67438.8</v>
      </c>
      <c r="V59" s="55">
        <v>47.16</v>
      </c>
      <c r="W59" s="55">
        <v>47.16</v>
      </c>
      <c r="X59" s="59" t="s">
        <v>342</v>
      </c>
      <c r="Y59" s="59" t="s">
        <v>196</v>
      </c>
      <c r="Z59" s="51" t="s">
        <v>197</v>
      </c>
      <c r="AA59" s="51" t="s">
        <v>340</v>
      </c>
      <c r="AB59" s="51"/>
    </row>
    <row r="60" spans="1:28" x14ac:dyDescent="0.25">
      <c r="A60" s="61" t="s">
        <v>186</v>
      </c>
      <c r="B60" s="52">
        <v>44220</v>
      </c>
      <c r="C60" s="53">
        <v>0.91982024305555599</v>
      </c>
      <c r="D60" s="54" t="s">
        <v>338</v>
      </c>
      <c r="E60" s="54" t="s">
        <v>188</v>
      </c>
      <c r="F60" s="54" t="s">
        <v>189</v>
      </c>
      <c r="G60" s="54" t="s">
        <v>184</v>
      </c>
      <c r="H60" s="54" t="s">
        <v>185</v>
      </c>
      <c r="I60" s="54" t="s">
        <v>190</v>
      </c>
      <c r="J60" s="54" t="s">
        <v>185</v>
      </c>
      <c r="K60" s="54" t="s">
        <v>191</v>
      </c>
      <c r="L60" s="54" t="s">
        <v>185</v>
      </c>
      <c r="M60" s="54"/>
      <c r="N60" s="60" t="s">
        <v>339</v>
      </c>
      <c r="O60" s="55">
        <v>96.009</v>
      </c>
      <c r="P60" s="56">
        <v>23.3</v>
      </c>
      <c r="Q60" s="55">
        <v>72.709000000000003</v>
      </c>
      <c r="R60" s="57" t="s">
        <v>186</v>
      </c>
      <c r="S60" s="58" t="s">
        <v>343</v>
      </c>
      <c r="T60" s="54" t="s">
        <v>194</v>
      </c>
      <c r="U60" s="55">
        <v>69397.899999999994</v>
      </c>
      <c r="V60" s="55">
        <v>48.53</v>
      </c>
      <c r="W60" s="55">
        <v>23.103000000000002</v>
      </c>
      <c r="X60" s="59" t="s">
        <v>344</v>
      </c>
      <c r="Y60" s="59" t="s">
        <v>196</v>
      </c>
      <c r="Z60" s="51" t="s">
        <v>197</v>
      </c>
      <c r="AA60" s="51" t="s">
        <v>340</v>
      </c>
      <c r="AB60" s="51"/>
    </row>
    <row r="61" spans="1:28" x14ac:dyDescent="0.25">
      <c r="A61" s="61" t="s">
        <v>186</v>
      </c>
      <c r="B61" s="52">
        <v>44220</v>
      </c>
      <c r="C61" s="53">
        <v>0.920380601851852</v>
      </c>
      <c r="D61" s="54" t="s">
        <v>345</v>
      </c>
      <c r="E61" s="54" t="s">
        <v>188</v>
      </c>
      <c r="F61" s="54" t="s">
        <v>189</v>
      </c>
      <c r="G61" s="54" t="s">
        <v>184</v>
      </c>
      <c r="H61" s="54" t="s">
        <v>185</v>
      </c>
      <c r="I61" s="54" t="s">
        <v>190</v>
      </c>
      <c r="J61" s="54" t="s">
        <v>185</v>
      </c>
      <c r="K61" s="54" t="s">
        <v>191</v>
      </c>
      <c r="L61" s="54" t="s">
        <v>185</v>
      </c>
      <c r="M61" s="54"/>
      <c r="N61" s="54" t="s">
        <v>346</v>
      </c>
      <c r="O61" s="55">
        <v>97.757000000000005</v>
      </c>
      <c r="P61" s="56">
        <v>23.3</v>
      </c>
      <c r="Q61" s="55">
        <v>74.456999999999994</v>
      </c>
      <c r="R61" s="57" t="s">
        <v>186</v>
      </c>
      <c r="S61" s="58" t="s">
        <v>347</v>
      </c>
      <c r="T61" s="54" t="s">
        <v>194</v>
      </c>
      <c r="U61" s="55">
        <v>72415.199999999997</v>
      </c>
      <c r="V61" s="55">
        <v>50.64</v>
      </c>
      <c r="W61" s="55">
        <v>49.03</v>
      </c>
      <c r="X61" s="59" t="s">
        <v>348</v>
      </c>
      <c r="Y61" s="59" t="s">
        <v>196</v>
      </c>
      <c r="Z61" s="51" t="s">
        <v>197</v>
      </c>
      <c r="AA61" s="51" t="s">
        <v>349</v>
      </c>
      <c r="AB61" s="51"/>
    </row>
    <row r="62" spans="1:28" x14ac:dyDescent="0.25">
      <c r="A62" s="61" t="s">
        <v>186</v>
      </c>
      <c r="B62" s="52">
        <v>44220</v>
      </c>
      <c r="C62" s="53">
        <v>0.920380601851852</v>
      </c>
      <c r="D62" s="54" t="s">
        <v>345</v>
      </c>
      <c r="E62" s="54" t="s">
        <v>188</v>
      </c>
      <c r="F62" s="54" t="s">
        <v>189</v>
      </c>
      <c r="G62" s="54" t="s">
        <v>184</v>
      </c>
      <c r="H62" s="54" t="s">
        <v>185</v>
      </c>
      <c r="I62" s="54" t="s">
        <v>190</v>
      </c>
      <c r="J62" s="54" t="s">
        <v>185</v>
      </c>
      <c r="K62" s="54" t="s">
        <v>191</v>
      </c>
      <c r="L62" s="54" t="s">
        <v>185</v>
      </c>
      <c r="M62" s="54"/>
      <c r="N62" s="54" t="s">
        <v>346</v>
      </c>
      <c r="O62" s="55">
        <v>97.757000000000005</v>
      </c>
      <c r="P62" s="56">
        <v>23.3</v>
      </c>
      <c r="Q62" s="55">
        <v>74.456999999999994</v>
      </c>
      <c r="R62" s="57" t="s">
        <v>186</v>
      </c>
      <c r="S62" s="58" t="s">
        <v>343</v>
      </c>
      <c r="T62" s="54" t="s">
        <v>194</v>
      </c>
      <c r="U62" s="55">
        <v>69397.899999999994</v>
      </c>
      <c r="V62" s="55">
        <v>48.53</v>
      </c>
      <c r="W62" s="55">
        <v>25.427</v>
      </c>
      <c r="X62" s="59" t="s">
        <v>344</v>
      </c>
      <c r="Y62" s="59" t="s">
        <v>196</v>
      </c>
      <c r="Z62" s="51" t="s">
        <v>197</v>
      </c>
      <c r="AA62" s="51" t="s">
        <v>349</v>
      </c>
      <c r="AB62" s="51"/>
    </row>
  </sheetData>
  <autoFilter ref="A1:AB62" xr:uid="{144390E0-6674-46BB-81CA-8E42362BAE08}">
    <filterColumn colId="7">
      <filters>
        <filter val="06.315.338/0181-66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2021-02-01T12:07:44Z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