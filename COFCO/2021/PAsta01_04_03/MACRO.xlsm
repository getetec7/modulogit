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01_04_03\"/>
    </mc:Choice>
  </mc:AlternateContent>
  <xr:revisionPtr revIDLastSave="0" documentId="13_ncr:1_{F588E615-5952-44A9-9969-215161BC53D0}" xr6:coauthVersionLast="46" xr6:coauthVersionMax="46" xr10:uidLastSave="{00000000-0000-0000-0000-000000000000}"/>
  <bookViews>
    <workbookView xWindow="-120" yWindow="-120" windowWidth="24240" windowHeight="17790" tabRatio="432" activeTab="1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DADOS!$A$1:$V$6560</definedName>
    <definedName name="_xlnm._FilterDatabase" localSheetId="0" hidden="1">SEND!$A$4:$N$4</definedName>
    <definedName name="tbl_base">OFFSET(DADOS!$A$1,0,0,COUNTA(DADOS!$A:$A),COUNTA(DADOS!$1:$1))</definedName>
  </definedNames>
  <calcPr calcId="191029"/>
  <pivotCaches>
    <pivotCache cacheId="4" r:id="rId4"/>
  </pivotCaches>
</workbook>
</file>

<file path=xl/calcChain.xml><?xml version="1.0" encoding="utf-8"?>
<calcChain xmlns="http://schemas.openxmlformats.org/spreadsheetml/2006/main">
  <c r="D5" i="3" l="1"/>
  <c r="D6" i="3" s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4" i="3"/>
  <c r="F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<sst xmlns="http://schemas.openxmlformats.org/spreadsheetml/2006/main" count="2245" uniqueCount="363">
  <si>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</si>
  <si>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</si>
  <si>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</si>
  <si>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</si>
  <si>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</si>
  <si>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</si>
  <si>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</si>
  <si>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</si>
  <si>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</si>
  <si>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</si>
  <si>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</si>
  <si>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</si>
  <si>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</si>
  <si>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</si>
  <si>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</si>
  <si>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</si>
  <si>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</si>
  <si>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</si>
  <si>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</si>
  <si>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</si>
  <si>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CNPJ  estabel (filial)</t>
  </si>
  <si>
    <t>CNPJ ORIGEM (transbordo)</t>
  </si>
  <si>
    <t>Terminal</t>
  </si>
  <si>
    <t>Filial</t>
  </si>
  <si>
    <t>DOCUMENTO FISCAL (DCL)</t>
  </si>
  <si>
    <t>Destino FINAL</t>
  </si>
  <si>
    <t>CNPJ DESTINO (terminal porto)</t>
  </si>
  <si>
    <t>CNPJ</t>
  </si>
  <si>
    <t>Nome</t>
  </si>
  <si>
    <t>24.962.466/0015-31</t>
  </si>
  <si>
    <t>Contrato</t>
  </si>
  <si>
    <t>Cliente</t>
  </si>
  <si>
    <t>Destino</t>
  </si>
  <si>
    <t>Mercadoria</t>
  </si>
  <si>
    <t>Placa</t>
  </si>
  <si>
    <t>Numero</t>
  </si>
  <si>
    <t>Data_emissao</t>
  </si>
  <si>
    <t>Chave</t>
  </si>
  <si>
    <t>Peso_declarado</t>
  </si>
  <si>
    <t>Peso_fiscal</t>
  </si>
  <si>
    <t>Peso_liquido</t>
  </si>
  <si>
    <t>Cnpj_remetente</t>
  </si>
  <si>
    <t>Remetente</t>
  </si>
  <si>
    <t>Municipio_remetente</t>
  </si>
  <si>
    <t>Cnpj_destinatario</t>
  </si>
  <si>
    <t>Destinatario</t>
  </si>
  <si>
    <t>Municipio_destinatario</t>
  </si>
  <si>
    <t>Municipio</t>
  </si>
  <si>
    <t>Praca</t>
  </si>
  <si>
    <t>COFCO INTERNATIONAL GRAINS LTDA</t>
  </si>
  <si>
    <t>COFCO INTERNATIONAL BRASIL S.A.</t>
  </si>
  <si>
    <t>COFCO INTERNATIONAL BRASIL S A</t>
  </si>
  <si>
    <t>TAG  ALTO ARAGUAIA</t>
  </si>
  <si>
    <t>37.227.676/0001-22</t>
  </si>
  <si>
    <t>24.962.466/0010-27</t>
  </si>
  <si>
    <t>Data_descarga</t>
  </si>
  <si>
    <t>PSS  SÃO SIMÃO</t>
  </si>
  <si>
    <t>2021 COFCO/SOJA/PSS X T12A</t>
  </si>
  <si>
    <t>T12A - TERMINAL 12 A S.A</t>
  </si>
  <si>
    <t>SOJA</t>
  </si>
  <si>
    <t>06.315.338/0181-66</t>
  </si>
  <si>
    <t>COFCO INTERNATIONAL BRASIL S.A</t>
  </si>
  <si>
    <t>CANARANA</t>
  </si>
  <si>
    <t>5102702 - Canarana</t>
  </si>
  <si>
    <t>2021 COFCO/SOJA/TAG X T12A</t>
  </si>
  <si>
    <t>29.332.398/0002-26</t>
  </si>
  <si>
    <t>RONDONOPOLIS</t>
  </si>
  <si>
    <t>5107800 - Santo Antônio do Leverger</t>
  </si>
  <si>
    <t>TRO  RONDONOPOLIS</t>
  </si>
  <si>
    <t>2021 COFCO BRASIL S A/SOJA/TRO X ARM.12-A</t>
  </si>
  <si>
    <t>ARM.12-A - TERMINAL 12 A S.A</t>
  </si>
  <si>
    <t>06.315.338/0206-59</t>
  </si>
  <si>
    <t>NOVA MUTUM</t>
  </si>
  <si>
    <t>5107305 - São José do Rio Claro</t>
  </si>
  <si>
    <t>5108006 - Tapurah</t>
  </si>
  <si>
    <t>NPC5685</t>
  </si>
  <si>
    <t>NFe51210306315338020659550010000059631448104696</t>
  </si>
  <si>
    <t>5106224 - Nova Mutum</t>
  </si>
  <si>
    <t>5105259 - Lucas do Rio Verde</t>
  </si>
  <si>
    <t>HRO7E46</t>
  </si>
  <si>
    <t>NFe51210306315338020659550010000059491120977224</t>
  </si>
  <si>
    <t>BAO7974</t>
  </si>
  <si>
    <t>NFe51210306315338020659550010000059511102121982</t>
  </si>
  <si>
    <t>BAO7968</t>
  </si>
  <si>
    <t>NFe51210306315338020659550010000059501549173423</t>
  </si>
  <si>
    <t>AGH5099</t>
  </si>
  <si>
    <t>NFe51210306315338020659550010000059521662823602</t>
  </si>
  <si>
    <t>AUH0G77</t>
  </si>
  <si>
    <t>NFe51210306315338020659550010000059451131054190</t>
  </si>
  <si>
    <t>IYZ8I39</t>
  </si>
  <si>
    <t>NFe51210306315338020659550010000059481830828146</t>
  </si>
  <si>
    <t>MLQ4147</t>
  </si>
  <si>
    <t>NFe51210306315338020659550010000059461397875894</t>
  </si>
  <si>
    <t>IYA3273</t>
  </si>
  <si>
    <t>NFe51210306315338020659550010000059401937126604</t>
  </si>
  <si>
    <t>HEH6908</t>
  </si>
  <si>
    <t>NFe51210306315338020659550010000059441533940961</t>
  </si>
  <si>
    <t>CDP0650</t>
  </si>
  <si>
    <t>NFe51210306315338018166550010000298621414680451</t>
  </si>
  <si>
    <t>FFA2742</t>
  </si>
  <si>
    <t>NFe51210306315338018166550010000298781798912320</t>
  </si>
  <si>
    <t>HNB5427</t>
  </si>
  <si>
    <t>NFe51210306315338018166550010000298851569312612</t>
  </si>
  <si>
    <t>5100201 - Água Boa</t>
  </si>
  <si>
    <t>PWU9251</t>
  </si>
  <si>
    <t>NFe51210306315338018166550010000298861899164622</t>
  </si>
  <si>
    <t>HIZ7050</t>
  </si>
  <si>
    <t>NFe51210306315338018166550010000298871580766335</t>
  </si>
  <si>
    <t>QQD0203</t>
  </si>
  <si>
    <t>NFe51210306315338018166550010000298841296155082</t>
  </si>
  <si>
    <t>RFA3E59</t>
  </si>
  <si>
    <t>NFe51210306315338018166550010000298831994497860</t>
  </si>
  <si>
    <t>EZU0730</t>
  </si>
  <si>
    <t>NFe51210306315338018166550010000298701368217547</t>
  </si>
  <si>
    <t>RAS2C81</t>
  </si>
  <si>
    <t>NFe51210206315338018166550010000297761444140044</t>
  </si>
  <si>
    <t>QCN4I92</t>
  </si>
  <si>
    <t>NFe51210306315338018166550010000298711401067585</t>
  </si>
  <si>
    <t>QCK5H33</t>
  </si>
  <si>
    <t>NFe51210306315338018166550010000298611412687168</t>
  </si>
  <si>
    <t>OBM1F39</t>
  </si>
  <si>
    <t>NFe51210306315338018166550010000298661131476836</t>
  </si>
  <si>
    <t>RMK0F41</t>
  </si>
  <si>
    <t>NFe51210306315338018166550010000298681301812160</t>
  </si>
  <si>
    <t>MKS1103</t>
  </si>
  <si>
    <t>NFe51210306315338018166550010000298801623634639</t>
  </si>
  <si>
    <t>OWL0540</t>
  </si>
  <si>
    <t>NFe51210306315338018166550010000298811271669200</t>
  </si>
  <si>
    <t>QPV3230</t>
  </si>
  <si>
    <t>NFe51210306315338018166550010000298391309232357</t>
  </si>
  <si>
    <t>QOG7798</t>
  </si>
  <si>
    <t>NFe51210306315338018166550010000298461729963790</t>
  </si>
  <si>
    <t>RMJ3C16</t>
  </si>
  <si>
    <t>NFe51210306315338018166550010000298381033153710</t>
  </si>
  <si>
    <t>PXA9160</t>
  </si>
  <si>
    <t>NFe51210206315338018166550010000298281225537672</t>
  </si>
  <si>
    <t>QNL8067</t>
  </si>
  <si>
    <t>NFe51210206315338018166550010000298331867697172</t>
  </si>
  <si>
    <t>QBZ6152</t>
  </si>
  <si>
    <t>NFe51210306315338018166550010000298411286337440</t>
  </si>
  <si>
    <t>FJP6989</t>
  </si>
  <si>
    <t>NFe51210206315338018166550010000298301949885906</t>
  </si>
  <si>
    <t>RMG3B83</t>
  </si>
  <si>
    <t>NFe51210306315338018166550010000298421337880363</t>
  </si>
  <si>
    <t>JRL8G27</t>
  </si>
  <si>
    <t>NFe51210206315338018166550010000298271144969320</t>
  </si>
  <si>
    <t>FNU5996</t>
  </si>
  <si>
    <t>NFe51210206315338018166550010000298011153897003</t>
  </si>
  <si>
    <t>OWR6947</t>
  </si>
  <si>
    <t>NFe51210206315338018166550010000298361310737585</t>
  </si>
  <si>
    <t>IYD8947</t>
  </si>
  <si>
    <t>NFe51210206315338018166550010000298021450755073</t>
  </si>
  <si>
    <t>2021 COFCO INTERNATIONAL GRAINS LTDA/SOJA/TRO X ARM.12-A</t>
  </si>
  <si>
    <t>PLM4F70</t>
  </si>
  <si>
    <t>NFe51210329332398001036550010000141181117533389</t>
  </si>
  <si>
    <t>29.332.398/0010-36</t>
  </si>
  <si>
    <t>DIAMANTINO</t>
  </si>
  <si>
    <t>5103502 - Diamantino</t>
  </si>
  <si>
    <t>QCH1B24</t>
  </si>
  <si>
    <t>NFe51210329332398000226550100001134621609362555</t>
  </si>
  <si>
    <t>5108204 - Torixoréu</t>
  </si>
  <si>
    <t>5101001 - Araguaiana</t>
  </si>
  <si>
    <t>OBR7540</t>
  </si>
  <si>
    <t>NFe51210329332398000811550010000081781469534267</t>
  </si>
  <si>
    <t>29.332.398/0008-11</t>
  </si>
  <si>
    <t>PRIMAVERA DO LESTE</t>
  </si>
  <si>
    <t>5107008 - Poxoréu</t>
  </si>
  <si>
    <t>5107602 - Rondonópolis</t>
  </si>
  <si>
    <t>OAU0754</t>
  </si>
  <si>
    <t>NFe51210329332398000811550010000081811262043758</t>
  </si>
  <si>
    <t>QCK1F54</t>
  </si>
  <si>
    <t>NFe51210329332398001036550010000141341229798426</t>
  </si>
  <si>
    <t>AFC6E43</t>
  </si>
  <si>
    <t>NFe51210329332398000307550010000214931911360502</t>
  </si>
  <si>
    <t>29.332.398/0003-07</t>
  </si>
  <si>
    <t>CAMPO VERDE</t>
  </si>
  <si>
    <t>5102678 - Campo Verde</t>
  </si>
  <si>
    <t>QCG7526</t>
  </si>
  <si>
    <t>NFe51210329332398000226550100001134311520143238</t>
  </si>
  <si>
    <t>QAQ9225</t>
  </si>
  <si>
    <t>NFe51210329332398001389550010000272131187178027</t>
  </si>
  <si>
    <t>29.332.398/0013-89</t>
  </si>
  <si>
    <t>LUCAS DO RIO VERDE</t>
  </si>
  <si>
    <t>5107768 - Santa Rita do Trivelato</t>
  </si>
  <si>
    <t>IZC3I61</t>
  </si>
  <si>
    <t>NFe51210329332398001389550010000272031574606204</t>
  </si>
  <si>
    <t>OAQ9141</t>
  </si>
  <si>
    <t>NFe51210329332398000307550010000214891322154123</t>
  </si>
  <si>
    <t>ITW4754</t>
  </si>
  <si>
    <t>NFe51210329332398001389550010000272091802525517</t>
  </si>
  <si>
    <t>JQE8898</t>
  </si>
  <si>
    <t>NFe51210329332398000226550100001135191804317665</t>
  </si>
  <si>
    <t>5104609 - Itiquira</t>
  </si>
  <si>
    <t>OAU6648</t>
  </si>
  <si>
    <t>NFe51210329332398001036550010000141231194688375</t>
  </si>
  <si>
    <t>ESU3183</t>
  </si>
  <si>
    <t>NFe51210329332398001036550010000141151515827046</t>
  </si>
  <si>
    <t>KAC8198</t>
  </si>
  <si>
    <t>NFe51210329332398001389550010000272121334805074</t>
  </si>
  <si>
    <t>AYN5725</t>
  </si>
  <si>
    <t>NFe51210329332398001389550010000271721014258148</t>
  </si>
  <si>
    <t>MKS2940</t>
  </si>
  <si>
    <t>NFe51210329332398001389550010000271981756374218</t>
  </si>
  <si>
    <t>MLB8188</t>
  </si>
  <si>
    <t>NFe51210329332398001389550010000271971501242645</t>
  </si>
  <si>
    <t>MGE7228</t>
  </si>
  <si>
    <t>NFe51210329332398001389550010000271961476283005</t>
  </si>
  <si>
    <t>QBY3850</t>
  </si>
  <si>
    <t>NFe51210329332398000307550010000214861830264282</t>
  </si>
  <si>
    <t>5106455 - Planalto da Serra</t>
  </si>
  <si>
    <t>5107040 - Primavera do Leste</t>
  </si>
  <si>
    <t>RAM9E07</t>
  </si>
  <si>
    <t>NFe51210329332398001036550010000140981997676874</t>
  </si>
  <si>
    <t>ASS1594</t>
  </si>
  <si>
    <t>NFe51210329332398001036550010000141171974819676</t>
  </si>
  <si>
    <t>QAO9270</t>
  </si>
  <si>
    <t>NFe51210329332398001389550010000271821097582130</t>
  </si>
  <si>
    <t>QAO9259</t>
  </si>
  <si>
    <t>NFe51210329332398001389550010000271761552716229</t>
  </si>
  <si>
    <t>RLG3B30</t>
  </si>
  <si>
    <t>NFe51210329332398001389550010000271921883654631</t>
  </si>
  <si>
    <t>NUG1656</t>
  </si>
  <si>
    <t>NFe51210329332398001389550010000271951726780666</t>
  </si>
  <si>
    <t>NPQ0794</t>
  </si>
  <si>
    <t>NFe51210329332398001036550010000141081704547976</t>
  </si>
  <si>
    <t>MIF7996</t>
  </si>
  <si>
    <t>NFe51210329332398001389550010000272011317876461</t>
  </si>
  <si>
    <t>MJO5738</t>
  </si>
  <si>
    <t>NFe51210329332398001389550010000272021923018500</t>
  </si>
  <si>
    <t>MHN8426</t>
  </si>
  <si>
    <t>NFe51210329332398001389550010000272041581674322</t>
  </si>
  <si>
    <t>MIS9312</t>
  </si>
  <si>
    <t>NFe51210329332398001389550010000272001719998718</t>
  </si>
  <si>
    <t>OBQ6974</t>
  </si>
  <si>
    <t>NFe51210329332398001036550010000141191007630735</t>
  </si>
  <si>
    <t>JZT8043</t>
  </si>
  <si>
    <t>NFe51210329332398001389550010000271571266286344</t>
  </si>
  <si>
    <t>OAX1447</t>
  </si>
  <si>
    <t>NFe51210329332398001036550010000141071924775571</t>
  </si>
  <si>
    <t>AUJ5E94</t>
  </si>
  <si>
    <t>NFe51210329332398001036550010000141021942528851</t>
  </si>
  <si>
    <t>MMF8340</t>
  </si>
  <si>
    <t>NFe51210329332398001389550010000271791377139312</t>
  </si>
  <si>
    <t>QCQ9218</t>
  </si>
  <si>
    <t>NFe51210329332398001389550010000271701430313878</t>
  </si>
  <si>
    <t>AUB6C89</t>
  </si>
  <si>
    <t>NFe51210329332398001389550010000271991468730920</t>
  </si>
  <si>
    <t>MHP6955</t>
  </si>
  <si>
    <t>NFe51210329332398001389550010000271931285561394</t>
  </si>
  <si>
    <t>RAK0218</t>
  </si>
  <si>
    <t>NFe51210329332398001036550010000140881154498302</t>
  </si>
  <si>
    <t>OAW6C62</t>
  </si>
  <si>
    <t>NFe51210329332398001389550010000271601882823398</t>
  </si>
  <si>
    <t>QBK3883</t>
  </si>
  <si>
    <t>NFe51210329332398001389550010000271751175192701</t>
  </si>
  <si>
    <t>QBK3873</t>
  </si>
  <si>
    <t>NFe51210329332398001389550010000271711635158308</t>
  </si>
  <si>
    <t>QBP8I77</t>
  </si>
  <si>
    <t>NFe51210329332398001389550010000271731480646457</t>
  </si>
  <si>
    <t>RAK4A12</t>
  </si>
  <si>
    <t>NFe51210329332398001389550010000271561424292881</t>
  </si>
  <si>
    <t>AHP6A03</t>
  </si>
  <si>
    <t>NFe51210329332398001036550010000141101444140047</t>
  </si>
  <si>
    <t>BDK2233</t>
  </si>
  <si>
    <t>NFe51210329332398001036550010000140941131005315</t>
  </si>
  <si>
    <t>5105903 - Nobres</t>
  </si>
  <si>
    <t>QCD0090</t>
  </si>
  <si>
    <t>NFe51210329332398001389550010000271691990931592</t>
  </si>
  <si>
    <t>IST3595</t>
  </si>
  <si>
    <t>NFe51210329332398001036550010000141091171284686</t>
  </si>
  <si>
    <t>JAI5I28</t>
  </si>
  <si>
    <t>NFe51210329332398001389550010000271621097868422</t>
  </si>
  <si>
    <t>QAW4I67</t>
  </si>
  <si>
    <t>NFe51210329332398001389550010000271611713516851</t>
  </si>
  <si>
    <t>BCC1216</t>
  </si>
  <si>
    <t>NFe51210329332398001389550010000271511948999341</t>
  </si>
  <si>
    <t>OBL0B70</t>
  </si>
  <si>
    <t>NFe51210329332398001389550010000271541315863280</t>
  </si>
  <si>
    <t>OBQ7918</t>
  </si>
  <si>
    <t>NFe51210329332398001036550010000141031666499268</t>
  </si>
  <si>
    <t>QCX4499</t>
  </si>
  <si>
    <t>NFe51210329332398001389550010000271741787866226</t>
  </si>
  <si>
    <t>QJL5899</t>
  </si>
  <si>
    <t>NFe51210329332398001389550010000271631833018420</t>
  </si>
  <si>
    <t>OBN7643</t>
  </si>
  <si>
    <t>NFe51210329332398001036550010000141041725277065</t>
  </si>
  <si>
    <t>NXA4114</t>
  </si>
  <si>
    <t>NFe51210329332398001389550010000271641602719543</t>
  </si>
  <si>
    <t>NFe51210329332398000226550100001133851914050528</t>
  </si>
  <si>
    <t>QCV9800</t>
  </si>
  <si>
    <t>NFe51210329332398001389550010000271651420535940</t>
  </si>
  <si>
    <t>AQG5745</t>
  </si>
  <si>
    <t>NFe51210329332398001036550010000140991739472734</t>
  </si>
  <si>
    <t>NPK6I31</t>
  </si>
  <si>
    <t>NFe51210329332398001036550010000140871392063446</t>
  </si>
  <si>
    <t>NFe51210329332398000811550010000081701317765438</t>
  </si>
  <si>
    <t>QCZ2796</t>
  </si>
  <si>
    <t>NFe51210329332398001389550010000271471939519429</t>
  </si>
  <si>
    <t>NFe51210329332398001389550010000271461835047558</t>
  </si>
  <si>
    <t>MEK5152</t>
  </si>
  <si>
    <t>NFe51210329332398000307550010000214851021177036</t>
  </si>
  <si>
    <t>ACS4329</t>
  </si>
  <si>
    <t>NFe51210329332398000811550010000081731452129805</t>
  </si>
  <si>
    <t>NFe51210329332398000811550010000081711311821490</t>
  </si>
  <si>
    <t>AZA5257</t>
  </si>
  <si>
    <t>NFe51210329332398001389550010000271531731434592</t>
  </si>
  <si>
    <t>NFe51210329332398000811550010000081721920956929</t>
  </si>
  <si>
    <t>BCO0540</t>
  </si>
  <si>
    <t>NFe51210329332398000811550010000081741536443303</t>
  </si>
  <si>
    <t>OBP9734</t>
  </si>
  <si>
    <t>NFe51210329332398000226550100001132851363723755</t>
  </si>
  <si>
    <t>HTT9J96</t>
  </si>
  <si>
    <t>NFe51210329332398000226550100001134171083644430</t>
  </si>
  <si>
    <t>AMD3983</t>
  </si>
  <si>
    <t>NFe51210329332398000226550100001134431280298870</t>
  </si>
  <si>
    <t>ITT5456</t>
  </si>
  <si>
    <t>NFe51210329332398000226550100001134411653085146</t>
  </si>
  <si>
    <t>ATJ5975</t>
  </si>
  <si>
    <t>NFe51210329332398000226550100001133421848739953</t>
  </si>
  <si>
    <t>HQG4F47</t>
  </si>
  <si>
    <t>NFe51210329332398000226550100001133411867682026</t>
  </si>
  <si>
    <t>HRO7I73</t>
  </si>
  <si>
    <t>NFe51210329332398000226550100001133381854549114</t>
  </si>
  <si>
    <t>JZP5007</t>
  </si>
  <si>
    <t>NFe51210329332398000226550100001133971040755503</t>
  </si>
  <si>
    <t>BWA4499</t>
  </si>
  <si>
    <t>NFe51210329332398000226550100001133981854628896</t>
  </si>
  <si>
    <t>JZV0028</t>
  </si>
  <si>
    <t>NFe51210329332398000226550100001132531389012879</t>
  </si>
  <si>
    <t>MDY8509</t>
  </si>
  <si>
    <t>NFe51210329332398000226550100001133041210097936</t>
  </si>
  <si>
    <t>QBO1488</t>
  </si>
  <si>
    <t>NFe51210329332398000226550100001132141156736612</t>
  </si>
  <si>
    <t>QCN4701</t>
  </si>
  <si>
    <t>NFe51210229332398000226550100001131891775584035</t>
  </si>
  <si>
    <t>OQQ2C20</t>
  </si>
  <si>
    <t>NFe51210229332398000226550100001131671965660479</t>
  </si>
  <si>
    <t>MKY7473</t>
  </si>
  <si>
    <t>NFe51210229332398000226550100001131691344617306</t>
  </si>
  <si>
    <t>LWI0075</t>
  </si>
  <si>
    <t>NFe51210329332398000226550100001133391490415696</t>
  </si>
  <si>
    <t>KBQ2D11</t>
  </si>
  <si>
    <t>NFe51210329332398000226550100001133341948999343</t>
  </si>
  <si>
    <t>AXC4115</t>
  </si>
  <si>
    <t>NFe51210329332398000226550100001132781915327353</t>
  </si>
  <si>
    <t>ACC9500</t>
  </si>
  <si>
    <t>NFe51210329332398000226550100001132831616674370</t>
  </si>
  <si>
    <t>BXC5695</t>
  </si>
  <si>
    <t>NFe51210329332398000226550100001133231302480898</t>
  </si>
  <si>
    <t>IOU8201</t>
  </si>
  <si>
    <t>NFe51210329332398000226550100001132101291773637</t>
  </si>
  <si>
    <t>MGZ4F26</t>
  </si>
  <si>
    <t>NFe51210329332398000226550100001132111551959198</t>
  </si>
  <si>
    <t>MFQ4I68</t>
  </si>
  <si>
    <t>NFe51210329332398000226550100001132011592601780</t>
  </si>
  <si>
    <t>IVL9399</t>
  </si>
  <si>
    <t>NFe51210329332398000226550100001132121444786670</t>
  </si>
  <si>
    <t>IQV5961</t>
  </si>
  <si>
    <t>NFe51210329332398000226550100001132091611600966</t>
  </si>
  <si>
    <t>ABY5243</t>
  </si>
  <si>
    <t>NFe51210329332398000226550100001132461414329066</t>
  </si>
  <si>
    <t>OOJ2G14</t>
  </si>
  <si>
    <t>NFe51210329332398000226550100001133321582118956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</si>
</sst>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66" formatCode="dd/mm/yyyy"/>
  </numFmts>
  <fonts count="2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1"/>
      <name val="Calibri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89999084444715716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3" fillId="0" borderId="0"/>
  </cellStyleXfs>
  <cellXfs count="5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22" fillId="33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33" borderId="5" xfId="0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23" fillId="0" borderId="5" xfId="54" applyNumberFormat="1" applyFont="1" applyBorder="1" applyAlignment="1" applyProtection="1">
      <alignment horizontal="center"/>
    </xf>
    <xf numFmtId="0" fontId="0" fillId="0" borderId="0" xfId="0" pivotButton="1"/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0" fillId="0" borderId="0" xfId="0" applyNumberFormat="1"/>
  </cellXfs>
  <cellStyles count="55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rmal 4" xfId="54" xr:uid="{00000000-0005-0000-0000-000023000000}"/>
    <cellStyle name="Nota" xfId="20" builtinId="10" customBuiltin="1"/>
    <cellStyle name="Saída" xfId="15" builtinId="21" customBuiltin="1"/>
    <cellStyle name="Separador de milhares 2 4" xfId="1" xr:uid="{00000000-0005-0000-0000-000026000000}"/>
    <cellStyle name="Separador de milhares 2 4 2" xfId="48" xr:uid="{00000000-0005-0000-0000-000027000000}"/>
    <cellStyle name="Separador de milhares 2 4 2 2" xfId="51" xr:uid="{00000000-0005-0000-0000-000028000000}"/>
    <cellStyle name="Separador de milhares 4" xfId="2" xr:uid="{00000000-0005-0000-0000-000029000000}"/>
    <cellStyle name="Separador de milhares 4 2" xfId="49" xr:uid="{00000000-0005-0000-0000-00002A000000}"/>
    <cellStyle name="Separador de milhares 4 2 2" xfId="52" xr:uid="{00000000-0005-0000-0000-00002B000000}"/>
    <cellStyle name="Separador de milhares 7" xfId="3" xr:uid="{00000000-0005-0000-0000-00002C000000}"/>
    <cellStyle name="Separador de milhares 7 2" xfId="50" xr:uid="{00000000-0005-0000-0000-00002D000000}"/>
    <cellStyle name="Separador de milhares 7 2 2" xfId="53" xr:uid="{00000000-0005-0000-0000-00002E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60.401793055556" createdVersion="6" refreshedVersion="6" minRefreshableVersion="3" recordCount="135" xr:uid="{00000000-000A-0000-FFFF-FFFF01000000}">
  <cacheSource type="worksheet">
    <worksheetSource name="=tbl_base"/>
  </cacheSource>
  <cacheFields count="22">
    <cacheField name="Terminal" numFmtId="49">
      <sharedItems count="3">
        <s v="TRO  RONDONOPOLIS"/>
        <s v="PSS  SÃO SIMÃO"/>
        <s v="TAG  ALTO ARAGUAIA"/>
      </sharedItems>
    </cacheField>
    <cacheField name="Contrato" numFmtId="0">
      <sharedItems/>
    </cacheField>
    <cacheField name="Cliente" numFmtId="0">
      <sharedItems/>
    </cacheField>
    <cacheField name="Destino" numFmtId="0">
      <sharedItems/>
    </cacheField>
    <cacheField name="Mercadoria" numFmtId="0">
      <sharedItems/>
    </cacheField>
    <cacheField name="Placa" numFmtId="0">
      <sharedItems/>
    </cacheField>
    <cacheField name="Data_descarga" numFmtId="14">
      <sharedItems containsSemiMixedTypes="0" containsNonDate="0" containsDate="1" containsString="0" minDate="2021-03-03T00:10:33" maxDate="2021-03-03T23:56:03"/>
    </cacheField>
    <cacheField name="Numero" numFmtId="0">
      <sharedItems containsSemiMixedTypes="0" containsString="0" containsNumber="1" containsInteger="1" minValue="5940" maxValue="113519"/>
    </cacheField>
    <cacheField name="Serie" numFmtId="0">
      <sharedItems containsSemiMixedTypes="0" containsString="0" containsNumber="1" containsInteger="1" minValue="1" maxValue="10"/>
    </cacheField>
    <cacheField name="Data_emissao" numFmtId="0">
      <sharedItems containsSemiMixedTypes="0" containsString="0" containsNumber="1" minValue="44254.878900462965" maxValue="44258.482615740744"/>
    </cacheField>
    <cacheField name="Chave" numFmtId="0">
      <sharedItems/>
    </cacheField>
    <cacheField name="Peso_declarado" numFmtId="0">
      <sharedItems containsSemiMixedTypes="0" containsString="0" containsNumber="1" containsInteger="1" minValue="7140" maxValue="52800"/>
    </cacheField>
    <cacheField name="Peso_fiscal" numFmtId="0">
      <sharedItems containsSemiMixedTypes="0" containsString="0" containsNumber="1" containsInteger="1" minValue="7140" maxValue="52800"/>
    </cacheField>
    <cacheField name="Peso_liquido" numFmtId="0">
      <sharedItems containsSemiMixedTypes="0" containsString="0" containsNumber="1" containsInteger="1" minValue="7134" maxValue="52780"/>
    </cacheField>
    <cacheField name="Cnpj_remetente" numFmtId="0">
      <sharedItems count="10">
        <s v="06.315.338/0206-59"/>
        <s v="06.315.338/0181-66"/>
        <s v="29.332.398/0010-36"/>
        <s v="29.332.398/0002-26"/>
        <s v="29.332.398/0008-11"/>
        <s v="29.332.398/0003-07"/>
        <s v="29.332.398/0013-89"/>
        <s v="29.332.398/0007-30" u="1"/>
        <s v="06.315.338/0184-09" u="1"/>
        <s v="29.332.398/0004-98" u="1"/>
      </sharedItems>
    </cacheField>
    <cacheField name="Remetente" numFmtId="0">
      <sharedItems/>
    </cacheField>
    <cacheField name="Municipio_remetente" numFmtId="0">
      <sharedItems/>
    </cacheField>
    <cacheField name="Cnpj_destinatario" numFmtId="0">
      <sharedItems/>
    </cacheField>
    <cacheField name="Destinatario" numFmtId="0">
      <sharedItems/>
    </cacheField>
    <cacheField name="Municipio_destinatario" numFmtId="0">
      <sharedItems/>
    </cacheField>
    <cacheField name="Municipio" numFmtId="0">
      <sharedItems containsBlank="1"/>
    </cacheField>
    <cacheField name="Prac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s v="2021 COFCO BRASIL S A/SOJA/TRO X ARM.12-A"/>
    <s v="COFCO INTERNATIONAL BRASIL S.A."/>
    <s v="ARM.12-A - TERMINAL 12 A S.A"/>
    <s v="SOJA"/>
    <s v="NPC5685"/>
    <d v="2021-03-03T23:24:24"/>
    <n v="5963"/>
    <n v="1"/>
    <n v="44257.821840277778"/>
    <s v="NFe51210306315338020659550010000059631448104696"/>
    <n v="50320"/>
    <n v="50320"/>
    <n v="5003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HRO7E46"/>
    <d v="2021-03-03T16:14:48"/>
    <n v="5949"/>
    <n v="1"/>
    <n v="44257.49423611111"/>
    <s v="NFe51210306315338020659550010000059491120977224"/>
    <n v="37320"/>
    <n v="37320"/>
    <n v="3715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BAO7974"/>
    <d v="2021-03-03T09:37:44"/>
    <n v="5951"/>
    <n v="1"/>
    <n v="44257.527175925927"/>
    <s v="NFe51210306315338020659550010000059511102121982"/>
    <n v="38210"/>
    <n v="38210"/>
    <n v="3813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BAO7968"/>
    <d v="2021-03-03T09:37:13"/>
    <n v="5950"/>
    <n v="1"/>
    <n v="44257.521053240744"/>
    <s v="NFe51210306315338020659550010000059501549173423"/>
    <n v="38230"/>
    <n v="38230"/>
    <n v="3816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AGH5099"/>
    <d v="2021-03-03T09:37:03"/>
    <n v="5952"/>
    <n v="1"/>
    <n v="44257.529872685183"/>
    <s v="NFe51210306315338020659550010000059521662823602"/>
    <n v="38340"/>
    <n v="38340"/>
    <n v="3829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AUH0G77"/>
    <d v="2021-03-03T03:58:15"/>
    <n v="5945"/>
    <n v="1"/>
    <n v="44256.81659722222"/>
    <s v="NFe51210306315338020659550010000059451131054190"/>
    <n v="48970"/>
    <n v="48970"/>
    <n v="4886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IYZ8I39"/>
    <d v="2021-03-03T03:24:26"/>
    <n v="5948"/>
    <n v="1"/>
    <n v="44257.475185185183"/>
    <s v="NFe51210306315338020659550010000059481830828146"/>
    <n v="49770"/>
    <n v="49770"/>
    <n v="4968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MLQ4147"/>
    <d v="2021-03-03T02:59:05"/>
    <n v="5946"/>
    <n v="1"/>
    <n v="44257.454942129632"/>
    <s v="NFe51210306315338020659550010000059461397875894"/>
    <n v="49890"/>
    <n v="49890"/>
    <n v="4981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IYA3273"/>
    <d v="2021-03-03T02:45:40"/>
    <n v="5940"/>
    <n v="1"/>
    <n v="44256.708124999997"/>
    <s v="NFe51210306315338020659550010000059401937126604"/>
    <n v="48780"/>
    <n v="48780"/>
    <n v="4871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0"/>
    <s v="2021 COFCO BRASIL S A/SOJA/TRO X ARM.12-A"/>
    <s v="COFCO INTERNATIONAL BRASIL S.A."/>
    <s v="ARM.12-A - TERMINAL 12 A S.A"/>
    <s v="SOJA"/>
    <s v="HEH6908"/>
    <d v="2021-03-03T00:25:49"/>
    <n v="5944"/>
    <n v="1"/>
    <n v="44256.790914351855"/>
    <s v="NFe51210306315338020659550010000059441533940961"/>
    <n v="47690"/>
    <n v="47690"/>
    <n v="47610"/>
    <x v="0"/>
    <s v="COFCO INTERNATIONAL BRASIL S.A."/>
    <s v="NOVA MUTUM"/>
    <s v="06.315.338/0206-59"/>
    <s v="COFCO INTERNATIONAL BRASIL S A"/>
    <s v="NOVA MUTUM"/>
    <s v="5106224 - Nova Mutum"/>
    <s v="5105259 - Lucas do Rio Verde"/>
  </r>
  <r>
    <x v="1"/>
    <s v="2021 COFCO/SOJA/PSS X T12A"/>
    <s v="COFCO INTERNATIONAL BRASIL S.A."/>
    <s v="T12A - TERMINAL 12 A S.A"/>
    <s v="SOJA"/>
    <s v="CDP0650"/>
    <d v="2021-03-03T21:20:12"/>
    <n v="29862"/>
    <n v="1"/>
    <n v="44256.573587962965"/>
    <s v="NFe51210306315338018166550010000298621414680451"/>
    <n v="50420"/>
    <n v="50420"/>
    <n v="5072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FFA2742"/>
    <d v="2021-03-03T21:09:13"/>
    <n v="29878"/>
    <n v="1"/>
    <n v="44256.640104166669"/>
    <s v="NFe51210306315338018166550010000298781798912320"/>
    <n v="49600"/>
    <n v="49600"/>
    <n v="49700"/>
    <x v="1"/>
    <s v="COFCO INTERNATIONAL BRASIL S.A"/>
    <s v="CANARANA"/>
    <s v="06.315.338/0181-66"/>
    <s v="COFCO INTERNATIONAL BRASIL S A"/>
    <s v="CANARANA"/>
    <m/>
    <m/>
  </r>
  <r>
    <x v="1"/>
    <s v="2021 COFCO/SOJA/PSS X T12A"/>
    <s v="COFCO INTERNATIONAL BRASIL S.A."/>
    <s v="T12A - TERMINAL 12 A S.A"/>
    <s v="SOJA"/>
    <s v="HNB5427"/>
    <d v="2021-03-03T20:16:44"/>
    <n v="29885"/>
    <n v="1"/>
    <n v="44256.698321759257"/>
    <s v="NFe51210306315338018166550010000298851569312612"/>
    <n v="49180"/>
    <n v="49180"/>
    <n v="4926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PWU9251"/>
    <d v="2021-03-03T19:53:26"/>
    <n v="29886"/>
    <n v="1"/>
    <n v="44256.706435185188"/>
    <s v="NFe51210306315338018166550010000298861899164622"/>
    <n v="50030"/>
    <n v="50030"/>
    <n v="5011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HIZ7050"/>
    <d v="2021-03-03T19:32:28"/>
    <n v="29887"/>
    <n v="1"/>
    <n v="44256.713171296295"/>
    <s v="NFe51210306315338018166550010000298871580766335"/>
    <n v="48970"/>
    <n v="48970"/>
    <n v="4915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QQD0203"/>
    <d v="2021-03-03T19:12:13"/>
    <n v="29884"/>
    <n v="1"/>
    <n v="44256.690868055557"/>
    <s v="NFe51210306315338018166550010000298841296155082"/>
    <n v="49670"/>
    <n v="49670"/>
    <n v="4976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RFA3E59"/>
    <d v="2021-03-03T18:08:42"/>
    <n v="29883"/>
    <n v="1"/>
    <n v="44256.688287037039"/>
    <s v="NFe51210306315338018166550010000298831994497860"/>
    <n v="50250"/>
    <n v="50250"/>
    <n v="5035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EZU0730"/>
    <d v="2021-03-03T18:06:28"/>
    <n v="29870"/>
    <n v="1"/>
    <n v="44256.5937962963"/>
    <s v="NFe51210306315338018166550010000298701368217547"/>
    <n v="50510"/>
    <n v="50510"/>
    <n v="5061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RAS2C81"/>
    <d v="2021-03-03T17:59:43"/>
    <n v="29776"/>
    <n v="1"/>
    <n v="44254.878900462965"/>
    <s v="NFe51210206315338018166550010000297761444140044"/>
    <n v="47060"/>
    <n v="47060"/>
    <n v="4713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QCN4I92"/>
    <d v="2021-03-03T17:21:52"/>
    <n v="29871"/>
    <n v="1"/>
    <n v="44256.59447916667"/>
    <s v="NFe51210306315338018166550010000298711401067585"/>
    <n v="49130"/>
    <n v="49130"/>
    <n v="4917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QCK5H33"/>
    <d v="2021-03-03T17:11:25"/>
    <n v="29861"/>
    <n v="1"/>
    <n v="44256.572256944448"/>
    <s v="NFe51210306315338018166550010000298611412687168"/>
    <n v="49160"/>
    <n v="49160"/>
    <n v="4923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OBM1F39"/>
    <d v="2021-03-03T16:30:50"/>
    <n v="29866"/>
    <n v="1"/>
    <n v="44256.580023148148"/>
    <s v="NFe51210306315338018166550010000298661131476836"/>
    <n v="50570"/>
    <n v="50570"/>
    <n v="5067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RMK0F41"/>
    <d v="2021-03-03T16:22:15"/>
    <n v="29868"/>
    <n v="1"/>
    <n v="44256.583020833335"/>
    <s v="NFe51210306315338018166550010000298681301812160"/>
    <n v="50090"/>
    <n v="50090"/>
    <n v="5015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MKS1103"/>
    <d v="2021-03-03T16:08:21"/>
    <n v="29880"/>
    <n v="1"/>
    <n v="44256.640625"/>
    <s v="NFe51210306315338018166550010000298801623634639"/>
    <n v="48810"/>
    <n v="48810"/>
    <n v="48890"/>
    <x v="1"/>
    <s v="COFCO INTERNATIONAL BRASIL S.A"/>
    <s v="CANARANA"/>
    <s v="06.315.338/0181-66"/>
    <s v="COFCO INTERNATIONAL BRASIL S A"/>
    <s v="CANARANA"/>
    <m/>
    <m/>
  </r>
  <r>
    <x v="1"/>
    <s v="2021 COFCO/SOJA/PSS X T12A"/>
    <s v="COFCO INTERNATIONAL BRASIL S.A."/>
    <s v="T12A - TERMINAL 12 A S.A"/>
    <s v="SOJA"/>
    <s v="OWL0540"/>
    <d v="2021-03-03T16:03:55"/>
    <n v="29881"/>
    <n v="1"/>
    <n v="44256.641909722224"/>
    <s v="NFe51210306315338018166550010000298811271669200"/>
    <n v="48820"/>
    <n v="48820"/>
    <n v="4894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QPV3230"/>
    <d v="2021-03-03T09:29:10"/>
    <n v="29839"/>
    <n v="1"/>
    <n v="44256.380335648151"/>
    <s v="NFe51210306315338018166550010000298391309232357"/>
    <n v="49360"/>
    <n v="49360"/>
    <n v="4940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QOG7798"/>
    <d v="2021-03-03T09:04:05"/>
    <n v="29846"/>
    <n v="1"/>
    <n v="44256.486608796295"/>
    <s v="NFe51210306315338018166550010000298461729963790"/>
    <n v="49740"/>
    <n v="49740"/>
    <n v="4981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RMJ3C16"/>
    <d v="2021-03-03T05:58:11"/>
    <n v="29838"/>
    <n v="1"/>
    <n v="44256.378067129626"/>
    <s v="NFe51210306315338018166550010000298381033153710"/>
    <n v="49700"/>
    <n v="49700"/>
    <n v="4998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PXA9160"/>
    <d v="2021-03-03T05:11:03"/>
    <n v="29828"/>
    <n v="1"/>
    <n v="44255.830138888887"/>
    <s v="NFe51210206315338018166550010000298281225537672"/>
    <n v="49140"/>
    <n v="49140"/>
    <n v="4941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QNL8067"/>
    <d v="2021-03-03T04:58:19"/>
    <n v="29833"/>
    <n v="1"/>
    <n v="44255.842083333337"/>
    <s v="NFe51210206315338018166550010000298331867697172"/>
    <n v="49100"/>
    <n v="49100"/>
    <n v="4938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QBZ6152"/>
    <d v="2021-03-03T04:46:25"/>
    <n v="29841"/>
    <n v="1"/>
    <n v="44256.419606481482"/>
    <s v="NFe51210306315338018166550010000298411286337440"/>
    <n v="49020"/>
    <n v="49020"/>
    <n v="4908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FJP6989"/>
    <d v="2021-03-03T04:30:23"/>
    <n v="29830"/>
    <n v="1"/>
    <n v="44255.835416666669"/>
    <s v="NFe51210206315338018166550010000298301949885906"/>
    <n v="50440"/>
    <n v="50440"/>
    <n v="5074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RMG3B83"/>
    <d v="2021-03-03T04:03:33"/>
    <n v="29842"/>
    <n v="1"/>
    <n v="44256.421331018515"/>
    <s v="NFe51210306315338018166550010000298421337880363"/>
    <n v="49610"/>
    <n v="49610"/>
    <n v="49670"/>
    <x v="1"/>
    <s v="COFCO INTERNATIONAL BRASIL S.A"/>
    <s v="CANARANA"/>
    <s v="06.315.338/0181-66"/>
    <s v="COFCO INTERNATIONAL BRASIL S A"/>
    <s v="CANARANA"/>
    <s v="5100201 - Água Boa"/>
    <s v="5100201 - Água Boa"/>
  </r>
  <r>
    <x v="1"/>
    <s v="2021 COFCO/SOJA/PSS X T12A"/>
    <s v="COFCO INTERNATIONAL BRASIL S.A."/>
    <s v="T12A - TERMINAL 12 A S.A"/>
    <s v="SOJA"/>
    <s v="JRL8G27"/>
    <d v="2021-03-03T03:54:15"/>
    <n v="29827"/>
    <n v="1"/>
    <n v="44255.81585648148"/>
    <s v="NFe51210206315338018166550010000298271144969320"/>
    <n v="50040"/>
    <n v="50040"/>
    <n v="5030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FNU5996"/>
    <d v="2021-03-03T02:13:00"/>
    <n v="29801"/>
    <n v="1"/>
    <n v="44255.660277777781"/>
    <s v="NFe51210206315338018166550010000298011153897003"/>
    <n v="47360"/>
    <n v="47360"/>
    <n v="4760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OWR6947"/>
    <d v="2021-03-03T00:44:34"/>
    <n v="29836"/>
    <n v="1"/>
    <n v="44255.855694444443"/>
    <s v="NFe51210206315338018166550010000298361310737585"/>
    <n v="49520"/>
    <n v="49520"/>
    <n v="49770"/>
    <x v="1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PSS X T12A"/>
    <s v="COFCO INTERNATIONAL BRASIL S.A."/>
    <s v="T12A - TERMINAL 12 A S.A"/>
    <s v="SOJA"/>
    <s v="IYD8947"/>
    <d v="2021-03-03T00:15:09"/>
    <n v="29802"/>
    <n v="1"/>
    <n v="44255.661122685182"/>
    <s v="NFe51210206315338018166550010000298021450755073"/>
    <n v="50100"/>
    <n v="50100"/>
    <n v="50350"/>
    <x v="1"/>
    <s v="COFCO INTERNATIONAL BRASIL S.A"/>
    <s v="CANARANA"/>
    <s v="06.315.338/0181-66"/>
    <s v="COFCO INTERNATIONAL BRASIL S A"/>
    <s v="CANARANA"/>
    <s v="5102702 - Canarana"/>
    <s v="5102702 - Canarana"/>
  </r>
  <r>
    <x v="0"/>
    <s v="2021 COFCO INTERNATIONAL GRAINS LTDA/SOJA/TRO X ARM.12-A"/>
    <s v="COFCO INTERNATIONAL GRAINS LTDA"/>
    <s v="ARM.12-A - TERMINAL 12 A S.A"/>
    <s v="SOJA"/>
    <s v="PLM4F70"/>
    <d v="2021-03-03T23:56:03"/>
    <n v="14118"/>
    <n v="1"/>
    <n v="44257.73778935185"/>
    <s v="NFe51210329332398001036550010000141181117533389"/>
    <n v="50540"/>
    <n v="50540"/>
    <n v="5052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QCH1B24"/>
    <d v="2021-03-03T23:53:38"/>
    <n v="113462"/>
    <n v="10"/>
    <n v="44257.724664351852"/>
    <s v="NFe51210329332398000226550100001134621609362555"/>
    <n v="49120"/>
    <n v="49120"/>
    <n v="49120"/>
    <x v="3"/>
    <s v="COFCO INTERNATIONAL GRAINS LTDA"/>
    <s v="RONDONOPOLIS"/>
    <s v="29.332.398/0002-26"/>
    <s v="COFCO INTERNATIONAL GRAINS LTDA"/>
    <s v="RONDONOPOLIS"/>
    <s v="5108204 - Torixoréu"/>
    <s v="5101001 - Araguaiana"/>
  </r>
  <r>
    <x v="0"/>
    <s v="2021 COFCO INTERNATIONAL GRAINS LTDA/SOJA/TRO X ARM.12-A"/>
    <s v="COFCO INTERNATIONAL GRAINS LTDA"/>
    <s v="ARM.12-A - TERMINAL 12 A S.A"/>
    <s v="SOJA"/>
    <s v="OBR7540"/>
    <d v="2021-03-03T23:50:28"/>
    <n v="8178"/>
    <n v="1"/>
    <n v="44258.405671296299"/>
    <s v="NFe51210329332398000811550010000081781469534267"/>
    <n v="50940"/>
    <n v="50940"/>
    <n v="50990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0"/>
    <s v="2021 COFCO INTERNATIONAL GRAINS LTDA/SOJA/TRO X ARM.12-A"/>
    <s v="COFCO INTERNATIONAL GRAINS LTDA"/>
    <s v="ARM.12-A - TERMINAL 12 A S.A"/>
    <s v="SOJA"/>
    <s v="OAU0754"/>
    <d v="2021-03-03T23:34:17"/>
    <n v="8181"/>
    <n v="1"/>
    <n v="44258.436215277776"/>
    <s v="NFe51210329332398000811550010000081811262043758"/>
    <n v="40480"/>
    <n v="40480"/>
    <n v="40480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0"/>
    <s v="2021 COFCO INTERNATIONAL GRAINS LTDA/SOJA/TRO X ARM.12-A"/>
    <s v="COFCO INTERNATIONAL GRAINS LTDA"/>
    <s v="ARM.12-A - TERMINAL 12 A S.A"/>
    <s v="SOJA"/>
    <s v="QCK1F54"/>
    <d v="2021-03-03T23:25:06"/>
    <n v="14134"/>
    <n v="1"/>
    <n v="44258.306990740741"/>
    <s v="NFe51210329332398001036550010000141341229798426"/>
    <n v="49240"/>
    <n v="49240"/>
    <n v="4885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AFC6E43"/>
    <d v="2021-03-03T23:03:02"/>
    <n v="21493"/>
    <n v="1"/>
    <n v="44258.366608796299"/>
    <s v="NFe51210329332398000307550010000214931911360502"/>
    <n v="31570"/>
    <n v="31570"/>
    <n v="31640"/>
    <x v="5"/>
    <s v="COFCO INTERNATIONAL GRAINS LTDA"/>
    <s v="CAMPO VERDE"/>
    <s v="29.332.398/0003-07"/>
    <s v="COFCO INTERNATIONAL GRAINS LTDA"/>
    <s v="CAMPO VERDE"/>
    <s v="5102678 - Campo Verde"/>
    <s v="5102678 - Campo Verde"/>
  </r>
  <r>
    <x v="0"/>
    <s v="2021 COFCO INTERNATIONAL GRAINS LTDA/SOJA/TRO X ARM.12-A"/>
    <s v="COFCO INTERNATIONAL GRAINS LTDA"/>
    <s v="ARM.12-A - TERMINAL 12 A S.A"/>
    <s v="SOJA"/>
    <s v="QCG7526"/>
    <d v="2021-03-03T22:45:19"/>
    <n v="113431"/>
    <n v="10"/>
    <n v="44257.646469907406"/>
    <s v="NFe51210329332398000226550100001134311520143238"/>
    <n v="47580"/>
    <n v="47580"/>
    <n v="47650"/>
    <x v="3"/>
    <s v="COFCO INTERNATIONAL GRAINS LTDA"/>
    <s v="RONDONOPOLIS"/>
    <s v="29.332.398/0002-26"/>
    <s v="COFCO INTERNATIONAL GRAINS LTDA"/>
    <s v="RONDONOPOLIS"/>
    <s v="5108204 - Torixoréu"/>
    <s v="5101001 - Araguaiana"/>
  </r>
  <r>
    <x v="0"/>
    <s v="2021 COFCO INTERNATIONAL GRAINS LTDA/SOJA/TRO X ARM.12-A"/>
    <s v="COFCO INTERNATIONAL GRAINS LTDA"/>
    <s v="ARM.12-A - TERMINAL 12 A S.A"/>
    <s v="SOJA"/>
    <s v="QAQ9225"/>
    <d v="2021-03-03T22:16:52"/>
    <n v="27213"/>
    <n v="1"/>
    <n v="44257.768587962964"/>
    <s v="NFe51210329332398001389550010000272131187178027"/>
    <n v="48900"/>
    <n v="48900"/>
    <n v="4882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IZC3I61"/>
    <d v="2021-03-03T22:00:42"/>
    <n v="27203"/>
    <n v="1"/>
    <n v="44257.684583333335"/>
    <s v="NFe51210329332398001389550010000272031574606204"/>
    <n v="50220"/>
    <n v="50220"/>
    <n v="5010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AQ9141"/>
    <d v="2021-03-03T21:58:09"/>
    <n v="21489"/>
    <n v="1"/>
    <n v="44257.712395833332"/>
    <s v="NFe51210329332398000307550010000214891322154123"/>
    <n v="33230"/>
    <n v="33230"/>
    <n v="33400"/>
    <x v="5"/>
    <s v="COFCO INTERNATIONAL GRAINS LTDA"/>
    <s v="CAMPO VERDE"/>
    <s v="29.332.398/0003-07"/>
    <s v="COFCO INTERNATIONAL GRAINS LTDA"/>
    <s v="CAMPO VERDE"/>
    <s v="5102678 - Campo Verde"/>
    <s v="5102678 - Campo Verde"/>
  </r>
  <r>
    <x v="0"/>
    <s v="2021 COFCO INTERNATIONAL GRAINS LTDA/SOJA/TRO X ARM.12-A"/>
    <s v="COFCO INTERNATIONAL GRAINS LTDA"/>
    <s v="ARM.12-A - TERMINAL 12 A S.A"/>
    <s v="SOJA"/>
    <s v="ITW4754"/>
    <d v="2021-03-03T21:40:01"/>
    <n v="27209"/>
    <n v="1"/>
    <n v="44257.719351851854"/>
    <s v="NFe51210329332398001389550010000272091802525517"/>
    <n v="49840"/>
    <n v="49840"/>
    <n v="4988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JQE8898"/>
    <d v="2021-03-03T21:34:20"/>
    <n v="113519"/>
    <n v="10"/>
    <n v="44258.482615740744"/>
    <s v="NFe51210329332398000226550100001135191804317665"/>
    <n v="37500"/>
    <n v="37500"/>
    <n v="37360"/>
    <x v="3"/>
    <s v="COFCO INTERNATIONAL GRAINS LTDA"/>
    <s v="RONDONOPOLIS"/>
    <s v="29.332.398/0002-26"/>
    <s v="COFCO INTERNATIONAL GRAINS LTDA"/>
    <s v="RONDONOPOLIS"/>
    <s v="5104609 - Itiquira"/>
    <s v="5107602 - Rondonópolis"/>
  </r>
  <r>
    <x v="0"/>
    <s v="2021 COFCO INTERNATIONAL GRAINS LTDA/SOJA/TRO X ARM.12-A"/>
    <s v="COFCO INTERNATIONAL GRAINS LTDA"/>
    <s v="ARM.12-A - TERMINAL 12 A S.A"/>
    <s v="SOJA"/>
    <s v="OAU6648"/>
    <d v="2021-03-03T21:31:43"/>
    <n v="14123"/>
    <n v="1"/>
    <n v="44257.76289351852"/>
    <s v="NFe51210329332398001036550010000141231194688375"/>
    <n v="49130"/>
    <n v="49130"/>
    <n v="4892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ESU3183"/>
    <d v="2021-03-03T21:21:09"/>
    <n v="14115"/>
    <n v="1"/>
    <n v="44257.704247685186"/>
    <s v="NFe51210329332398001036550010000141151515827046"/>
    <n v="51260"/>
    <n v="51260"/>
    <n v="5125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KAC8198"/>
    <d v="2021-03-03T21:08:33"/>
    <n v="27212"/>
    <n v="1"/>
    <n v="44257.736018518517"/>
    <s v="NFe51210329332398001389550010000272121334805074"/>
    <n v="37820"/>
    <n v="37820"/>
    <n v="3773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AYN5725"/>
    <d v="2021-03-03T20:55:41"/>
    <n v="27172"/>
    <n v="1"/>
    <n v="44257.457708333335"/>
    <s v="NFe51210329332398001389550010000271721014258148"/>
    <n v="46920"/>
    <n v="46920"/>
    <n v="4670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MKS2940"/>
    <d v="2021-03-03T20:43:21"/>
    <n v="27198"/>
    <n v="1"/>
    <n v="44257.672673611109"/>
    <s v="NFe51210329332398001389550010000271981756374218"/>
    <n v="30800"/>
    <n v="30800"/>
    <n v="3070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LB8188"/>
    <d v="2021-03-03T20:26:45"/>
    <n v="27197"/>
    <n v="1"/>
    <n v="44257.670671296299"/>
    <s v="NFe51210329332398001389550010000271971501242645"/>
    <n v="35140"/>
    <n v="35140"/>
    <n v="3507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GE7228"/>
    <d v="2021-03-03T20:26:24"/>
    <n v="27196"/>
    <n v="1"/>
    <n v="44257.642939814818"/>
    <s v="NFe51210329332398001389550010000271961476283005"/>
    <n v="30740"/>
    <n v="30740"/>
    <n v="3064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QBY3850"/>
    <d v="2021-03-03T20:06:30"/>
    <n v="21486"/>
    <n v="1"/>
    <n v="44257.674317129633"/>
    <s v="NFe51210329332398000307550010000214861830264282"/>
    <n v="50340"/>
    <n v="50340"/>
    <n v="50360"/>
    <x v="5"/>
    <s v="COFCO INTERNATIONAL GRAINS LTDA"/>
    <s v="CAMPO VERDE"/>
    <s v="29.332.398/0003-07"/>
    <s v="COFCO INTERNATIONAL GRAINS LTDA"/>
    <s v="CAMPO VERDE"/>
    <s v="5106455 - Planalto da Serra"/>
    <s v="5107040 - Primavera do Leste"/>
  </r>
  <r>
    <x v="0"/>
    <s v="2021 COFCO INTERNATIONAL GRAINS LTDA/SOJA/TRO X ARM.12-A"/>
    <s v="COFCO INTERNATIONAL GRAINS LTDA"/>
    <s v="ARM.12-A - TERMINAL 12 A S.A"/>
    <s v="SOJA"/>
    <s v="RAM9E07"/>
    <d v="2021-03-03T19:11:54"/>
    <n v="14098"/>
    <n v="1"/>
    <n v="44257.534143518518"/>
    <s v="NFe51210329332398001036550010000140981997676874"/>
    <n v="48340"/>
    <n v="48340"/>
    <n v="4827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ASS1594"/>
    <d v="2021-03-03T19:07:05"/>
    <n v="14117"/>
    <n v="1"/>
    <n v="44257.727106481485"/>
    <s v="NFe51210329332398001036550010000141171974819676"/>
    <n v="50700"/>
    <n v="50700"/>
    <n v="5063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QAO9270"/>
    <d v="2021-03-03T19:05:41"/>
    <n v="27182"/>
    <n v="1"/>
    <n v="44257.518692129626"/>
    <s v="NFe51210329332398001389550010000271821097582130"/>
    <n v="48380"/>
    <n v="48380"/>
    <n v="4805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QAO9259"/>
    <d v="2021-03-03T19:03:41"/>
    <n v="27176"/>
    <n v="1"/>
    <n v="44257.490555555552"/>
    <s v="NFe51210329332398001389550010000271761552716229"/>
    <n v="48380"/>
    <n v="48380"/>
    <n v="4788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RLG3B30"/>
    <d v="2021-03-03T18:54:35"/>
    <n v="27192"/>
    <n v="1"/>
    <n v="44257.614293981482"/>
    <s v="NFe51210329332398001389550010000271921883654631"/>
    <n v="48800"/>
    <n v="48800"/>
    <n v="4859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NUG1656"/>
    <d v="2021-03-03T18:11:14"/>
    <n v="27195"/>
    <n v="1"/>
    <n v="44257.642222222225"/>
    <s v="NFe51210329332398001389550010000271951726780666"/>
    <n v="50140"/>
    <n v="50140"/>
    <n v="5006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NPQ0794"/>
    <d v="2021-03-03T16:58:29"/>
    <n v="14108"/>
    <n v="1"/>
    <n v="44257.631574074076"/>
    <s v="NFe51210329332398001036550010000141081704547976"/>
    <n v="49240"/>
    <n v="49240"/>
    <n v="48960"/>
    <x v="2"/>
    <s v="COFCO INTERNATIONAL GRAINS LTDA"/>
    <s v="DIAMANTINO"/>
    <s v="29.332.398/0010-36"/>
    <s v="COFCO INTERNATIONAL GRAINS LTDA"/>
    <s v="DIAMANTINO"/>
    <s v="5107305 - São José do Rio Claro"/>
    <s v="5108006 - Tapurah"/>
  </r>
  <r>
    <x v="0"/>
    <s v="2021 COFCO INTERNATIONAL GRAINS LTDA/SOJA/TRO X ARM.12-A"/>
    <s v="COFCO INTERNATIONAL GRAINS LTDA"/>
    <s v="ARM.12-A - TERMINAL 12 A S.A"/>
    <s v="SOJA"/>
    <s v="MIF7996"/>
    <d v="2021-03-03T16:34:42"/>
    <n v="27201"/>
    <n v="1"/>
    <n v="44257.677812499998"/>
    <s v="NFe51210329332398001389550010000272011317876461"/>
    <n v="36840"/>
    <n v="36840"/>
    <n v="3680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JO5738"/>
    <d v="2021-03-03T16:33:11"/>
    <n v="27202"/>
    <n v="1"/>
    <n v="44257.68136574074"/>
    <s v="NFe51210329332398001389550010000272021923018500"/>
    <n v="37380"/>
    <n v="37380"/>
    <n v="3725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HN8426"/>
    <d v="2021-03-03T16:28:05"/>
    <n v="27204"/>
    <n v="1"/>
    <n v="44257.697430555556"/>
    <s v="NFe51210329332398001389550010000272041581674322"/>
    <n v="38120"/>
    <n v="38120"/>
    <n v="3804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IS9312"/>
    <d v="2021-03-03T16:27:44"/>
    <n v="27200"/>
    <n v="1"/>
    <n v="44257.675543981481"/>
    <s v="NFe51210329332398001389550010000272001719998718"/>
    <n v="38680"/>
    <n v="38680"/>
    <n v="3855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BQ6974"/>
    <d v="2021-03-03T16:01:51"/>
    <n v="14119"/>
    <n v="1"/>
    <n v="44257.740057870367"/>
    <s v="NFe51210329332398001036550010000141191007630735"/>
    <n v="49920"/>
    <n v="49920"/>
    <n v="4979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JZT8043"/>
    <d v="2021-03-03T15:58:52"/>
    <n v="27157"/>
    <n v="1"/>
    <n v="44256.809120370373"/>
    <s v="NFe51210329332398001389550010000271571266286344"/>
    <n v="39480"/>
    <n v="39480"/>
    <n v="3932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AX1447"/>
    <d v="2021-03-03T15:53:49"/>
    <n v="14107"/>
    <n v="1"/>
    <n v="44257.629259259258"/>
    <s v="NFe51210329332398001036550010000141071924775571"/>
    <n v="48980"/>
    <n v="48980"/>
    <n v="49000"/>
    <x v="2"/>
    <s v="COFCO INTERNATIONAL GRAINS LTDA"/>
    <s v="DIAMANTINO"/>
    <s v="29.332.398/0010-36"/>
    <s v="COFCO INTERNATIONAL GRAINS LTDA"/>
    <s v="DIAMANTINO"/>
    <s v="5107305 - São José do Rio Claro"/>
    <s v="5108006 - Tapurah"/>
  </r>
  <r>
    <x v="0"/>
    <s v="2021 COFCO INTERNATIONAL GRAINS LTDA/SOJA/TRO X ARM.12-A"/>
    <s v="COFCO INTERNATIONAL GRAINS LTDA"/>
    <s v="ARM.12-A - TERMINAL 12 A S.A"/>
    <s v="SOJA"/>
    <s v="AUJ5E94"/>
    <d v="2021-03-03T14:05:23"/>
    <n v="14102"/>
    <n v="1"/>
    <n v="44257.596585648149"/>
    <s v="NFe51210329332398001036550010000141021942528851"/>
    <n v="37740"/>
    <n v="37740"/>
    <n v="3768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MMF8340"/>
    <d v="2021-03-03T14:00:33"/>
    <n v="27179"/>
    <n v="1"/>
    <n v="44257.506516203706"/>
    <s v="NFe51210329332398001389550010000271791377139312"/>
    <n v="49120"/>
    <n v="49120"/>
    <n v="4900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QCQ9218"/>
    <d v="2021-03-03T13:52:09"/>
    <n v="27170"/>
    <n v="1"/>
    <n v="44257.456076388888"/>
    <s v="NFe51210329332398001389550010000271701430313878"/>
    <n v="47200"/>
    <n v="47200"/>
    <n v="4714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AUB6C89"/>
    <d v="2021-03-03T13:24:20"/>
    <n v="27199"/>
    <n v="1"/>
    <n v="44257.674814814818"/>
    <s v="NFe51210329332398001389550010000271991468730920"/>
    <n v="32380"/>
    <n v="32380"/>
    <n v="3233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HP6955"/>
    <d v="2021-03-03T12:17:32"/>
    <n v="27193"/>
    <n v="1"/>
    <n v="44257.615613425929"/>
    <s v="NFe51210329332398001389550010000271931285561394"/>
    <n v="36020"/>
    <n v="36020"/>
    <n v="3597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RAK0218"/>
    <d v="2021-03-03T12:04:24"/>
    <n v="14088"/>
    <n v="1"/>
    <n v="44256.784537037034"/>
    <s v="NFe51210329332398001036550010000140881154498302"/>
    <n v="49760"/>
    <n v="49760"/>
    <n v="49580"/>
    <x v="2"/>
    <s v="COFCO INTERNATIONAL GRAINS LTDA"/>
    <s v="DIAMANTINO"/>
    <s v="29.332.398/0010-36"/>
    <s v="COFCO INTERNATIONAL GRAINS LTDA"/>
    <s v="DIAMANTINO"/>
    <s v="5107305 - São José do Rio Claro"/>
    <s v="5108006 - Tapurah"/>
  </r>
  <r>
    <x v="0"/>
    <s v="2021 COFCO INTERNATIONAL GRAINS LTDA/SOJA/TRO X ARM.12-A"/>
    <s v="COFCO INTERNATIONAL GRAINS LTDA"/>
    <s v="ARM.12-A - TERMINAL 12 A S.A"/>
    <s v="SOJA"/>
    <s v="OAW6C62"/>
    <d v="2021-03-03T10:21:57"/>
    <n v="27160"/>
    <n v="1"/>
    <n v="44257.384097222224"/>
    <s v="NFe51210329332398001389550010000271601882823398"/>
    <n v="49340"/>
    <n v="49340"/>
    <n v="4925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QBK3883"/>
    <d v="2021-03-03T08:21:56"/>
    <n v="27175"/>
    <n v="1"/>
    <n v="44257.48605324074"/>
    <s v="NFe51210329332398001389550010000271751175192701"/>
    <n v="47420"/>
    <n v="47420"/>
    <n v="4721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QBK3873"/>
    <d v="2021-03-03T08:12:01"/>
    <n v="27171"/>
    <n v="1"/>
    <n v="44257.457349537035"/>
    <s v="NFe51210329332398001389550010000271711635158308"/>
    <n v="47060"/>
    <n v="47060"/>
    <n v="4686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QBP8I77"/>
    <d v="2021-03-03T07:43:37"/>
    <n v="27173"/>
    <n v="1"/>
    <n v="44257.460046296299"/>
    <s v="NFe51210329332398001389550010000271731480646457"/>
    <n v="46780"/>
    <n v="46780"/>
    <n v="4656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RAK4A12"/>
    <d v="2021-03-03T07:26:08"/>
    <n v="27156"/>
    <n v="1"/>
    <n v="44256.806446759256"/>
    <s v="NFe51210329332398001389550010000271561424292881"/>
    <n v="48540"/>
    <n v="48540"/>
    <n v="4849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AHP6A03"/>
    <d v="2021-03-03T06:02:03"/>
    <n v="14110"/>
    <n v="1"/>
    <n v="44257.657349537039"/>
    <s v="NFe51210329332398001036550010000141101444140047"/>
    <n v="44900"/>
    <n v="44900"/>
    <n v="44910"/>
    <x v="2"/>
    <s v="COFCO INTERNATIONAL GRAINS LTDA"/>
    <s v="DIAMANTINO"/>
    <s v="29.332.398/0010-36"/>
    <s v="COFCO INTERNATIONAL GRAINS LTDA"/>
    <s v="DIAMANTINO"/>
    <s v="5107305 - São José do Rio Claro"/>
    <s v="5108006 - Tapurah"/>
  </r>
  <r>
    <x v="0"/>
    <s v="2021 COFCO INTERNATIONAL GRAINS LTDA/SOJA/TRO X ARM.12-A"/>
    <s v="COFCO INTERNATIONAL GRAINS LTDA"/>
    <s v="ARM.12-A - TERMINAL 12 A S.A"/>
    <s v="SOJA"/>
    <s v="BDK2233"/>
    <d v="2021-03-03T05:56:07"/>
    <n v="14094"/>
    <n v="1"/>
    <n v="44257.392928240741"/>
    <s v="NFe51210329332398001036550010000140941131005315"/>
    <n v="49460"/>
    <n v="49460"/>
    <n v="49320"/>
    <x v="2"/>
    <s v="COFCO INTERNATIONAL GRAINS LTDA"/>
    <s v="DIAMANTINO"/>
    <s v="29.332.398/0010-36"/>
    <s v="COFCO INTERNATIONAL GRAINS LTDA"/>
    <s v="DIAMANTINO"/>
    <s v="5105903 - Nobres"/>
    <s v="5103502 - Diamantino"/>
  </r>
  <r>
    <x v="0"/>
    <s v="2021 COFCO INTERNATIONAL GRAINS LTDA/SOJA/TRO X ARM.12-A"/>
    <s v="COFCO INTERNATIONAL GRAINS LTDA"/>
    <s v="ARM.12-A - TERMINAL 12 A S.A"/>
    <s v="SOJA"/>
    <s v="QCD0090"/>
    <d v="2021-03-03T05:46:40"/>
    <n v="27169"/>
    <n v="1"/>
    <n v="44257.454687500001"/>
    <s v="NFe51210329332398001389550010000271691990931592"/>
    <n v="46620"/>
    <n v="46620"/>
    <n v="4638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IST3595"/>
    <d v="2021-03-03T05:44:22"/>
    <n v="14109"/>
    <n v="1"/>
    <n v="44257.644270833334"/>
    <s v="NFe51210329332398001036550010000141091171284686"/>
    <n v="51520"/>
    <n v="51520"/>
    <n v="5148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JAI5I28"/>
    <d v="2021-03-03T05:42:21"/>
    <n v="27162"/>
    <n v="1"/>
    <n v="44257.400127314817"/>
    <s v="NFe51210329332398001389550010000271621097868422"/>
    <n v="35080"/>
    <n v="35080"/>
    <n v="3503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QAW4I67"/>
    <d v="2021-03-03T05:35:20"/>
    <n v="27161"/>
    <n v="1"/>
    <n v="44257.387187499997"/>
    <s v="NFe51210329332398001389550010000271611713516851"/>
    <n v="30880"/>
    <n v="30880"/>
    <n v="3082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BCC1216"/>
    <d v="2021-03-03T05:30:49"/>
    <n v="27151"/>
    <n v="1"/>
    <n v="44256.771018518521"/>
    <s v="NFe51210329332398001389550010000271511948999341"/>
    <n v="38740"/>
    <n v="38740"/>
    <n v="3866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BL0B70"/>
    <d v="2021-03-03T05:19:06"/>
    <n v="27154"/>
    <n v="1"/>
    <n v="44256.795011574075"/>
    <s v="NFe51210329332398001389550010000271541315863280"/>
    <n v="49080"/>
    <n v="49080"/>
    <n v="4896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BQ7918"/>
    <d v="2021-03-03T04:57:59"/>
    <n v="14103"/>
    <n v="1"/>
    <n v="44257.602500000001"/>
    <s v="NFe51210329332398001036550010000141031666499268"/>
    <n v="50940"/>
    <n v="50940"/>
    <n v="5080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QCX4499"/>
    <d v="2021-03-03T04:52:12"/>
    <n v="27174"/>
    <n v="1"/>
    <n v="44257.463252314818"/>
    <s v="NFe51210329332398001389550010000271741787866226"/>
    <n v="47500"/>
    <n v="47500"/>
    <n v="4730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QJL5899"/>
    <d v="2021-03-03T04:51:18"/>
    <n v="27163"/>
    <n v="1"/>
    <n v="44257.40420138889"/>
    <s v="NFe51210329332398001389550010000271631833018420"/>
    <n v="48960"/>
    <n v="48960"/>
    <n v="4890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BN7643"/>
    <d v="2021-03-03T04:40:33"/>
    <n v="14104"/>
    <n v="1"/>
    <n v="44257.608055555553"/>
    <s v="NFe51210329332398001036550010000141041725277065"/>
    <n v="50680"/>
    <n v="50680"/>
    <n v="5066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NXA4114"/>
    <d v="2021-03-03T04:34:38"/>
    <n v="27164"/>
    <n v="1"/>
    <n v="44257.423784722225"/>
    <s v="NFe51210329332398001389550010000271641602719543"/>
    <n v="50400"/>
    <n v="50400"/>
    <n v="5002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JQE8898"/>
    <d v="2021-03-03T04:28:24"/>
    <n v="113385"/>
    <n v="10"/>
    <n v="44257.436423611114"/>
    <s v="NFe51210329332398000226550100001133851914050528"/>
    <n v="37050"/>
    <n v="37050"/>
    <n v="37000"/>
    <x v="3"/>
    <s v="COFCO INTERNATIONAL GRAINS LTDA"/>
    <s v="RONDONOPOLIS"/>
    <s v="29.332.398/0002-26"/>
    <s v="COFCO INTERNATIONAL GRAINS LTDA"/>
    <s v="RONDONOPOLIS"/>
    <s v="5104609 - Itiquira"/>
    <s v="5107602 - Rondonópolis"/>
  </r>
  <r>
    <x v="0"/>
    <s v="2021 COFCO INTERNATIONAL GRAINS LTDA/SOJA/TRO X ARM.12-A"/>
    <s v="COFCO INTERNATIONAL GRAINS LTDA"/>
    <s v="ARM.12-A - TERMINAL 12 A S.A"/>
    <s v="SOJA"/>
    <s v="QCV9800"/>
    <d v="2021-03-03T04:20:17"/>
    <n v="27165"/>
    <n v="1"/>
    <n v="44257.432118055556"/>
    <s v="NFe51210329332398001389550010000271651420535940"/>
    <n v="48460"/>
    <n v="48460"/>
    <n v="48360"/>
    <x v="6"/>
    <s v="COFCO INTERNATIONAL GRAINS LTDA"/>
    <s v="LUCAS DO RIO VERDE"/>
    <s v="29.332.398/0013-89"/>
    <s v="COFCO INTERNATIONAL GRAINS LTDA"/>
    <s v="LUCAS DO RIO VERDE"/>
    <s v="5106224 - Nova Mutum"/>
    <s v="5105259 - Lucas do Rio Verde"/>
  </r>
  <r>
    <x v="0"/>
    <s v="2021 COFCO INTERNATIONAL GRAINS LTDA/SOJA/TRO X ARM.12-A"/>
    <s v="COFCO INTERNATIONAL GRAINS LTDA"/>
    <s v="ARM.12-A - TERMINAL 12 A S.A"/>
    <s v="SOJA"/>
    <s v="AQG5745"/>
    <d v="2021-03-03T03:23:10"/>
    <n v="14099"/>
    <n v="1"/>
    <n v="44257.543391203704"/>
    <s v="NFe51210329332398001036550010000140991739472734"/>
    <n v="37980"/>
    <n v="37980"/>
    <n v="38000"/>
    <x v="2"/>
    <s v="COFCO INTERNATIONAL GRAINS LTDA"/>
    <s v="DIAMANTINO"/>
    <s v="29.332.398/0010-36"/>
    <s v="COFCO INTERNATIONAL GRAINS LTDA"/>
    <s v="DIAMANTINO"/>
    <s v="5103502 - Diamantino"/>
    <s v="5103502 - Diamantino"/>
  </r>
  <r>
    <x v="0"/>
    <s v="2021 COFCO INTERNATIONAL GRAINS LTDA/SOJA/TRO X ARM.12-A"/>
    <s v="COFCO INTERNATIONAL GRAINS LTDA"/>
    <s v="ARM.12-A - TERMINAL 12 A S.A"/>
    <s v="SOJA"/>
    <s v="NPK6I31"/>
    <d v="2021-03-03T02:48:55"/>
    <n v="14087"/>
    <n v="1"/>
    <n v="44256.782418981478"/>
    <s v="NFe51210329332398001036550010000140871392063446"/>
    <n v="49340"/>
    <n v="49340"/>
    <n v="49280"/>
    <x v="2"/>
    <s v="COFCO INTERNATIONAL GRAINS LTDA"/>
    <s v="DIAMANTINO"/>
    <s v="29.332.398/0010-36"/>
    <s v="COFCO INTERNATIONAL GRAINS LTDA"/>
    <s v="DIAMANTINO"/>
    <s v="5107305 - São José do Rio Claro"/>
    <s v="5108006 - Tapurah"/>
  </r>
  <r>
    <x v="0"/>
    <s v="2021 COFCO INTERNATIONAL GRAINS LTDA/SOJA/TRO X ARM.12-A"/>
    <s v="COFCO INTERNATIONAL GRAINS LTDA"/>
    <s v="ARM.12-A - TERMINAL 12 A S.A"/>
    <s v="SOJA"/>
    <s v="OBR7540"/>
    <d v="2021-03-03T02:13:51"/>
    <n v="8170"/>
    <n v="1"/>
    <n v="44257.559039351851"/>
    <s v="NFe51210329332398000811550010000081701317765438"/>
    <n v="50800"/>
    <n v="50800"/>
    <n v="50890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0"/>
    <s v="2021 COFCO INTERNATIONAL GRAINS LTDA/SOJA/TRO X ARM.12-A"/>
    <s v="COFCO INTERNATIONAL GRAINS LTDA"/>
    <s v="ARM.12-A - TERMINAL 12 A S.A"/>
    <s v="SOJA"/>
    <s v="QCZ2796"/>
    <d v="2021-03-03T02:13:14"/>
    <n v="27147"/>
    <n v="1"/>
    <n v="44256.710243055553"/>
    <s v="NFe51210329332398001389550010000271471939519429"/>
    <n v="42180"/>
    <n v="42180"/>
    <n v="42146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QCZ2796"/>
    <d v="2021-03-03T02:13:14"/>
    <n v="27146"/>
    <n v="1"/>
    <n v="44256.707361111112"/>
    <s v="NFe51210329332398001389550010000271461835047558"/>
    <n v="7140"/>
    <n v="7140"/>
    <n v="7134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MEK5152"/>
    <d v="2021-03-03T01:11:36"/>
    <n v="21485"/>
    <n v="1"/>
    <n v="44257.567569444444"/>
    <s v="NFe51210329332398000307550010000214851021177036"/>
    <n v="35620"/>
    <n v="35620"/>
    <n v="35680"/>
    <x v="5"/>
    <s v="COFCO INTERNATIONAL GRAINS LTDA"/>
    <s v="CAMPO VERDE"/>
    <s v="29.332.398/0003-07"/>
    <s v="COFCO INTERNATIONAL GRAINS LTDA"/>
    <s v="CAMPO VERDE"/>
    <s v="5106455 - Planalto da Serra"/>
    <s v="5107040 - Primavera do Leste"/>
  </r>
  <r>
    <x v="0"/>
    <s v="2021 COFCO INTERNATIONAL GRAINS LTDA/SOJA/TRO X ARM.12-A"/>
    <s v="COFCO INTERNATIONAL GRAINS LTDA"/>
    <s v="ARM.12-A - TERMINAL 12 A S.A"/>
    <s v="SOJA"/>
    <s v="ACS4329"/>
    <d v="2021-03-03T01:09:08"/>
    <n v="8173"/>
    <n v="1"/>
    <n v="44257.564409722225"/>
    <s v="NFe51210329332398000811550010000081731452129805"/>
    <n v="20540"/>
    <n v="20540"/>
    <n v="20597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0"/>
    <s v="2021 COFCO INTERNATIONAL GRAINS LTDA/SOJA/TRO X ARM.12-A"/>
    <s v="COFCO INTERNATIONAL GRAINS LTDA"/>
    <s v="ARM.12-A - TERMINAL 12 A S.A"/>
    <s v="SOJA"/>
    <s v="ACS4329"/>
    <d v="2021-03-03T01:09:08"/>
    <n v="8171"/>
    <n v="1"/>
    <n v="44257.560046296298"/>
    <s v="NFe51210329332398000811550010000081711311821490"/>
    <n v="30140"/>
    <n v="30140"/>
    <n v="30223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0"/>
    <s v="2021 COFCO INTERNATIONAL GRAINS LTDA/SOJA/TRO X ARM.12-A"/>
    <s v="COFCO INTERNATIONAL GRAINS LTDA"/>
    <s v="ARM.12-A - TERMINAL 12 A S.A"/>
    <s v="SOJA"/>
    <s v="AZA5257"/>
    <d v="2021-03-03T01:02:03"/>
    <n v="27153"/>
    <n v="1"/>
    <n v="44256.774456018517"/>
    <s v="NFe51210329332398001389550010000271531731434592"/>
    <n v="52800"/>
    <n v="52800"/>
    <n v="52780"/>
    <x v="6"/>
    <s v="COFCO INTERNATIONAL GRAINS LTDA"/>
    <s v="LUCAS DO RIO VERDE"/>
    <s v="29.332.398/0013-89"/>
    <s v="COFCO INTERNATIONAL GRAINS LTDA"/>
    <s v="LUCAS DO RIO VERDE"/>
    <s v="5107768 - Santa Rita do Trivelato"/>
    <s v="5105259 - Lucas do Rio Verde"/>
  </r>
  <r>
    <x v="0"/>
    <s v="2021 COFCO INTERNATIONAL GRAINS LTDA/SOJA/TRO X ARM.12-A"/>
    <s v="COFCO INTERNATIONAL GRAINS LTDA"/>
    <s v="ARM.12-A - TERMINAL 12 A S.A"/>
    <s v="SOJA"/>
    <s v="OAU0754"/>
    <d v="2021-03-03T00:59:37"/>
    <n v="8172"/>
    <n v="1"/>
    <n v="44257.563425925924"/>
    <s v="NFe51210329332398000811550010000081721920956929"/>
    <n v="50780"/>
    <n v="50780"/>
    <n v="50870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0"/>
    <s v="2021 COFCO INTERNATIONAL GRAINS LTDA/SOJA/TRO X ARM.12-A"/>
    <s v="COFCO INTERNATIONAL GRAINS LTDA"/>
    <s v="ARM.12-A - TERMINAL 12 A S.A"/>
    <s v="SOJA"/>
    <s v="BCO0540"/>
    <d v="2021-03-03T00:10:33"/>
    <n v="8174"/>
    <n v="1"/>
    <n v="44257.716944444444"/>
    <s v="NFe51210329332398000811550010000081741536443303"/>
    <n v="47900"/>
    <n v="47900"/>
    <n v="48020"/>
    <x v="4"/>
    <s v="COFCO INTERNATIONAL GRAINS LTDA"/>
    <s v="PRIMAVERA DO LESTE"/>
    <s v="29.332.398/0008-11"/>
    <s v="COFCO INTERNATIONAL GRAINS LTDA"/>
    <s v="PRIMAVERA DO LESTE"/>
    <s v="5107008 - Poxoréu"/>
    <s v="5107602 - Rondonópolis"/>
  </r>
  <r>
    <x v="2"/>
    <s v="2021 COFCO/SOJA/TAG X T12A"/>
    <s v="COFCO INTERNATIONAL GRAINS LTDA"/>
    <s v="T12A - TERMINAL 12 A S.A"/>
    <s v="SOJA"/>
    <s v="OBP9734"/>
    <d v="2021-03-03T14:16:20"/>
    <n v="113285"/>
    <n v="10"/>
    <n v="44256.686932870369"/>
    <s v="NFe51210329332398000226550100001132851363723755"/>
    <n v="51140"/>
    <n v="51140"/>
    <n v="5098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HTT9J96"/>
    <d v="2021-03-03T14:09:17"/>
    <n v="113417"/>
    <n v="10"/>
    <n v="44257.586516203701"/>
    <s v="NFe51210329332398000226550100001134171083644430"/>
    <n v="49840"/>
    <n v="49840"/>
    <n v="497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AMD3983"/>
    <d v="2021-03-03T14:06:24"/>
    <n v="113443"/>
    <n v="10"/>
    <n v="44257.672812500001"/>
    <s v="NFe51210329332398000226550100001134431280298870"/>
    <n v="39880"/>
    <n v="39880"/>
    <n v="389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ITT5456"/>
    <d v="2021-03-03T13:57:12"/>
    <n v="113441"/>
    <n v="10"/>
    <n v="44257.667025462964"/>
    <s v="NFe51210329332398000226550100001134411653085146"/>
    <n v="35720"/>
    <n v="35720"/>
    <n v="3558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ATJ5975"/>
    <d v="2021-03-03T13:34:38"/>
    <n v="113342"/>
    <n v="10"/>
    <n v="44256.841979166667"/>
    <s v="NFe51210329332398000226550100001133421848739953"/>
    <n v="31300"/>
    <n v="31300"/>
    <n v="3114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HQG4F47"/>
    <d v="2021-03-03T13:20:35"/>
    <n v="113341"/>
    <n v="10"/>
    <n v="44256.841516203705"/>
    <s v="NFe51210329332398000226550100001133411867682026"/>
    <n v="38740"/>
    <n v="38740"/>
    <n v="386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HRO7I73"/>
    <d v="2021-03-03T13:15:34"/>
    <n v="113338"/>
    <n v="10"/>
    <n v="44256.837743055556"/>
    <s v="NFe51210329332398000226550100001133381854549114"/>
    <n v="39340"/>
    <n v="39340"/>
    <n v="3916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JZP5007"/>
    <d v="2021-03-03T13:01:12"/>
    <n v="113397"/>
    <n v="10"/>
    <n v="44257.490902777776"/>
    <s v="NFe51210329332398000226550100001133971040755503"/>
    <n v="37960"/>
    <n v="37960"/>
    <n v="378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BWA4499"/>
    <d v="2021-03-03T12:26:12"/>
    <n v="113398"/>
    <n v="10"/>
    <n v="44257.494131944448"/>
    <s v="NFe51210329332398000226550100001133981854628896"/>
    <n v="38320"/>
    <n v="38320"/>
    <n v="382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JZV0028"/>
    <d v="2021-03-03T12:17:02"/>
    <n v="113253"/>
    <n v="10"/>
    <n v="44256.594305555554"/>
    <s v="NFe51210329332398000226550100001132531389012879"/>
    <n v="31600"/>
    <n v="31600"/>
    <n v="3150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MDY8509"/>
    <d v="2021-03-03T11:39:07"/>
    <n v="113304"/>
    <n v="10"/>
    <n v="44256.724826388891"/>
    <s v="NFe51210329332398000226550100001133041210097936"/>
    <n v="32000"/>
    <n v="32000"/>
    <n v="32000"/>
    <x v="3"/>
    <s v="COFCO INTERNATIONAL GRAINS LTDA"/>
    <s v="RONDONOPOLIS"/>
    <s v="29.332.398/0002-26"/>
    <s v="COFCO INTERNATIONAL GRAINS LTDA"/>
    <s v="RONDONOPOLIS"/>
    <s v="5107800 - Santo Antônio do Leverger"/>
    <m/>
  </r>
  <r>
    <x v="2"/>
    <s v="2021 COFCO/SOJA/TAG X T12A"/>
    <s v="COFCO INTERNATIONAL GRAINS LTDA"/>
    <s v="T12A - TERMINAL 12 A S.A"/>
    <s v="SOJA"/>
    <s v="QBO1488"/>
    <d v="2021-03-03T11:36:50"/>
    <n v="113214"/>
    <n v="10"/>
    <n v="44256.323946759258"/>
    <s v="NFe51210329332398000226550100001132141156736612"/>
    <n v="37780"/>
    <n v="37780"/>
    <n v="37740"/>
    <x v="3"/>
    <s v="COFCO INTERNATIONAL GRAINS LTDA"/>
    <s v="RONDONOPOLIS"/>
    <s v="29.332.398/0002-26"/>
    <s v="COFCO INTERNATIONAL GRAINS LTDA"/>
    <s v="RONDONOPOLIS"/>
    <s v="5107800 - Santo Antônio do Leverger"/>
    <m/>
  </r>
  <r>
    <x v="2"/>
    <s v="2021 COFCO/SOJA/TAG X T12A"/>
    <s v="COFCO INTERNATIONAL GRAINS LTDA"/>
    <s v="T12A - TERMINAL 12 A S.A"/>
    <s v="SOJA"/>
    <s v="QCN4701"/>
    <d v="2021-03-03T11:34:13"/>
    <n v="113189"/>
    <n v="10"/>
    <n v="44255.928078703706"/>
    <s v="NFe51210229332398000226550100001131891775584035"/>
    <n v="50640"/>
    <n v="50640"/>
    <n v="50620"/>
    <x v="3"/>
    <s v="COFCO INTERNATIONAL GRAINS LTDA"/>
    <s v="RONDONOPOLIS"/>
    <s v="29.332.398/0002-26"/>
    <s v="COFCO INTERNATIONAL GRAINS LTDA"/>
    <s v="RONDONOPOLIS"/>
    <s v="5107800 - Santo Antônio do Leverger"/>
    <m/>
  </r>
  <r>
    <x v="2"/>
    <s v="2021 COFCO/SOJA/TAG X T12A"/>
    <s v="COFCO INTERNATIONAL GRAINS LTDA"/>
    <s v="T12A - TERMINAL 12 A S.A"/>
    <s v="SOJA"/>
    <s v="OQQ2C20"/>
    <d v="2021-03-03T11:10:57"/>
    <n v="113167"/>
    <n v="10"/>
    <n v="44255.844421296293"/>
    <s v="NFe51210229332398000226550100001131671965660479"/>
    <n v="51120"/>
    <n v="51120"/>
    <n v="51080"/>
    <x v="3"/>
    <s v="COFCO INTERNATIONAL GRAINS LTDA"/>
    <s v="RONDONOPOLIS"/>
    <s v="29.332.398/0002-26"/>
    <s v="COFCO INTERNATIONAL GRAINS LTDA"/>
    <s v="RONDONOPOLIS"/>
    <s v="5107800 - Santo Antônio do Leverger"/>
    <m/>
  </r>
  <r>
    <x v="2"/>
    <s v="2021 COFCO/SOJA/TAG X T12A"/>
    <s v="COFCO INTERNATIONAL GRAINS LTDA"/>
    <s v="T12A - TERMINAL 12 A S.A"/>
    <s v="SOJA"/>
    <s v="MKY7473"/>
    <d v="2021-03-03T10:36:51"/>
    <n v="113169"/>
    <n v="10"/>
    <n v="44255.846284722225"/>
    <s v="NFe51210229332398000226550100001131691344617306"/>
    <n v="37980"/>
    <n v="37980"/>
    <n v="37940"/>
    <x v="3"/>
    <s v="COFCO INTERNATIONAL GRAINS LTDA"/>
    <s v="RONDONOPOLIS"/>
    <s v="29.332.398/0002-26"/>
    <s v="COFCO INTERNATIONAL GRAINS LTDA"/>
    <s v="RONDONOPOLIS"/>
    <s v="5107800 - Santo Antônio do Leverger"/>
    <m/>
  </r>
  <r>
    <x v="2"/>
    <s v="2021 COFCO/SOJA/TAG X T12A"/>
    <s v="COFCO INTERNATIONAL GRAINS LTDA"/>
    <s v="T12A - TERMINAL 12 A S.A"/>
    <s v="SOJA"/>
    <s v="LWI0075"/>
    <d v="2021-03-03T10:26:34"/>
    <n v="113339"/>
    <n v="10"/>
    <n v="44256.838831018518"/>
    <s v="NFe51210329332398000226550100001133391490415696"/>
    <n v="37200"/>
    <n v="37200"/>
    <n v="370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KBQ2D11"/>
    <d v="2021-03-03T10:22:23"/>
    <n v="113334"/>
    <n v="10"/>
    <n v="44256.833645833336"/>
    <s v="NFe51210329332398000226550100001133341948999343"/>
    <n v="31960"/>
    <n v="31960"/>
    <n v="3184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AXC4115"/>
    <d v="2021-03-03T10:17:14"/>
    <n v="113278"/>
    <n v="10"/>
    <n v="44256.674629629626"/>
    <s v="NFe51210329332398000226550100001132781915327353"/>
    <n v="51480"/>
    <n v="51480"/>
    <n v="5124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ACC9500"/>
    <d v="2021-03-03T10:04:46"/>
    <n v="113283"/>
    <n v="10"/>
    <n v="44256.685671296298"/>
    <s v="NFe51210329332398000226550100001132831616674370"/>
    <n v="32280"/>
    <n v="32280"/>
    <n v="3220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BXC5695"/>
    <d v="2021-03-03T09:41:30"/>
    <n v="113323"/>
    <n v="10"/>
    <n v="44256.791354166664"/>
    <s v="NFe51210329332398000226550100001133231302480898"/>
    <n v="26340"/>
    <n v="26340"/>
    <n v="2628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IOU8201"/>
    <d v="2021-03-03T09:31:30"/>
    <n v="113210"/>
    <n v="10"/>
    <n v="44256.318761574075"/>
    <s v="NFe51210329332398000226550100001132101291773637"/>
    <n v="32100"/>
    <n v="32100"/>
    <n v="3182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MGZ4F26"/>
    <d v="2021-03-03T09:26:31"/>
    <n v="113211"/>
    <n v="10"/>
    <n v="44256.31925925926"/>
    <s v="NFe51210329332398000226550100001132111551959198"/>
    <n v="38620"/>
    <n v="38620"/>
    <n v="3854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MFQ4I68"/>
    <d v="2021-03-03T09:14:45"/>
    <n v="113201"/>
    <n v="10"/>
    <n v="44256.299027777779"/>
    <s v="NFe51210329332398000226550100001132011592601780"/>
    <n v="37540"/>
    <n v="37540"/>
    <n v="3746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IVL9399"/>
    <d v="2021-03-03T09:13:03"/>
    <n v="113212"/>
    <n v="10"/>
    <n v="44256.320659722223"/>
    <s v="NFe51210329332398000226550100001132121444786670"/>
    <n v="37740"/>
    <n v="37740"/>
    <n v="3770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IQV5961"/>
    <d v="2021-03-03T08:56:42"/>
    <n v="113209"/>
    <n v="10"/>
    <n v="44256.31658564815"/>
    <s v="NFe51210329332398000226550100001132091611600966"/>
    <n v="38040"/>
    <n v="38040"/>
    <n v="3790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ABY5243"/>
    <d v="2021-03-03T08:45:49"/>
    <n v="113246"/>
    <n v="10"/>
    <n v="44256.573344907411"/>
    <s v="NFe51210329332398000226550100001132461414329066"/>
    <n v="38620"/>
    <n v="38620"/>
    <n v="38440"/>
    <x v="3"/>
    <s v="COFCO INTERNATIONAL GRAINS LTDA"/>
    <s v="RONDONOPOLIS"/>
    <s v="29.332.398/0002-26"/>
    <s v="COFCO INTERNATIONAL GRAINS LTDA"/>
    <s v="RONDONOPOLIS"/>
    <s v="5107602 - Rondonópolis"/>
    <s v="5107602 - Rondonópolis"/>
  </r>
  <r>
    <x v="2"/>
    <s v="2021 COFCO/SOJA/TAG X T12A"/>
    <s v="COFCO INTERNATIONAL GRAINS LTDA"/>
    <s v="T12A - TERMINAL 12 A S.A"/>
    <s v="SOJA"/>
    <s v="OOJ2G14"/>
    <d v="2021-03-03T08:22:36"/>
    <n v="113332"/>
    <n v="10"/>
    <n v="44256.831423611111"/>
    <s v="NFe51210329332398000226550100001133321582118956"/>
    <n v="50580"/>
    <n v="50580"/>
    <n v="50400"/>
    <x v="3"/>
    <s v="COFCO INTERNATIONAL GRAINS LTDA"/>
    <s v="RONDONOPOLIS"/>
    <s v="29.332.398/0002-26"/>
    <s v="COFCO INTERNATIONAL GRAINS LTDA"/>
    <s v="RONDONOPOLIS"/>
    <s v="5107602 - Rondonópolis"/>
    <s v="5107602 - Rondonópoli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gridDropZones="1" multipleFieldFilters="0">
  <location ref="E2:L11" firstHeaderRow="2" firstDataRow="2" firstDataCol="2"/>
  <pivotFields count="22">
    <pivotField axis="axisRow" compact="0" outline="0" showAll="0">
      <items count="4"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0">
        <item m="1" x="8"/>
        <item x="5"/>
        <item m="1" x="9"/>
        <item m="1" x="7"/>
        <item x="1"/>
        <item x="3"/>
        <item x="0"/>
        <item x="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4"/>
    <field x="0"/>
  </rowFields>
  <rowItems count="8">
    <i>
      <x v="1"/>
      <x v="2"/>
    </i>
    <i>
      <x v="4"/>
      <x v="1"/>
    </i>
    <i>
      <x v="5"/>
      <x/>
    </i>
    <i r="1">
      <x v="2"/>
    </i>
    <i>
      <x v="6"/>
      <x v="2"/>
    </i>
    <i>
      <x v="7"/>
      <x v="2"/>
    </i>
    <i>
      <x v="8"/>
      <x v="2"/>
    </i>
    <i>
      <x v="9"/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42"/>
  <sheetViews>
    <sheetView zoomScaleNormal="100" workbookViewId="0">
      <pane ySplit="4" topLeftCell="A5" activePane="bottomLeft" state="frozenSplit"/>
      <selection pane="bottomLeft" activeCell="J5" sqref="J5:J42"/>
    </sheetView>
  </sheetViews>
  <sheetFormatPr defaultRowHeight="1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54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>
      <c r="A1" s="34" t="s">
        <v>13</v>
      </c>
      <c r="B1" s="36" t="s">
        <v>12</v>
      </c>
      <c r="C1" s="43" t="s">
        <v>0</v>
      </c>
      <c r="D1" s="45" t="s">
        <v>1</v>
      </c>
      <c r="E1" s="1" t="s">
        <v>2</v>
      </c>
      <c r="F1" s="47" t="s">
        <v>3</v>
      </c>
      <c r="G1" s="38" t="s">
        <v>4</v>
      </c>
      <c r="H1" s="49" t="s">
        <v>5</v>
      </c>
      <c r="I1" s="38" t="s">
        <v>25</v>
      </c>
      <c r="J1" s="40" t="s">
        <v>6</v>
      </c>
      <c r="K1" s="41"/>
      <c r="L1" s="41"/>
      <c r="M1" s="41"/>
      <c r="N1" s="42"/>
    </row>
    <row r="2" spans="1:14" ht="15.75" thickBot="1">
      <c r="A2" s="35"/>
      <c r="B2" s="37"/>
      <c r="C2" s="44"/>
      <c r="D2" s="46"/>
      <c r="E2" s="2" t="s">
        <v>7</v>
      </c>
      <c r="F2" s="48"/>
      <c r="G2" s="39"/>
      <c r="H2" s="50"/>
      <c r="I2" s="39"/>
      <c r="J2" s="51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>
      <c r="A3" s="33"/>
      <c r="B3" s="7"/>
      <c r="C3" s="8"/>
      <c r="D3" s="9"/>
      <c r="E3" s="9"/>
      <c r="F3" s="10"/>
      <c r="G3" s="11"/>
      <c r="H3" s="12"/>
      <c r="I3" s="25"/>
      <c r="J3" s="52"/>
      <c r="K3" s="13"/>
      <c r="L3" s="14"/>
      <c r="M3" s="14"/>
      <c r="N3" s="15"/>
    </row>
    <row r="4" spans="1:14" s="23" customFormat="1">
      <c r="A4" s="16" t="s">
        <v>20</v>
      </c>
      <c r="B4" s="17" t="s">
        <v>14</v>
      </c>
      <c r="C4" s="18" t="s">
        <v>16</v>
      </c>
      <c r="D4" s="19" t="s">
        <v>24</v>
      </c>
      <c r="E4" s="19" t="s">
        <v>17</v>
      </c>
      <c r="F4" s="20" t="s">
        <v>23</v>
      </c>
      <c r="G4" s="16" t="s">
        <v>21</v>
      </c>
      <c r="H4" s="20" t="s">
        <v>22</v>
      </c>
      <c r="I4" s="16" t="s">
        <v>26</v>
      </c>
      <c r="J4" s="53" t="s">
        <v>15</v>
      </c>
      <c r="K4" s="17" t="s">
        <v>19</v>
      </c>
      <c r="L4" s="21"/>
      <c r="M4" s="21"/>
      <c r="N4" s="22" t="s">
        <v>18</v>
      </c>
    </row>
    <row r="5" spans="1:14">
      <c r="A5" s="6" t="s">
        <v>181</v>
      </c>
      <c r="B5">
        <v>1</v>
      </c>
      <c r="C5">
        <v>27213</v>
      </c>
      <c r="E5" t="s">
        <v>179</v>
      </c>
      <c r="G5" s="6" t="s">
        <v>181</v>
      </c>
      <c r="I5" s="6" t="s">
        <v>29</v>
      </c>
      <c r="J5" s="54">
        <v>44258.928379629629</v>
      </c>
      <c r="N5">
        <v>48820</v>
      </c>
    </row>
    <row r="6" spans="1:14">
      <c r="A6" s="6" t="s">
        <v>181</v>
      </c>
      <c r="B6">
        <v>1</v>
      </c>
      <c r="C6">
        <v>27203</v>
      </c>
      <c r="E6" t="s">
        <v>184</v>
      </c>
      <c r="G6" s="6" t="s">
        <v>181</v>
      </c>
      <c r="I6" s="6" t="s">
        <v>29</v>
      </c>
      <c r="J6" s="54">
        <v>44258.91715277778</v>
      </c>
      <c r="N6">
        <v>50100</v>
      </c>
    </row>
    <row r="7" spans="1:14">
      <c r="A7" s="6" t="s">
        <v>181</v>
      </c>
      <c r="B7">
        <v>1</v>
      </c>
      <c r="C7">
        <v>27209</v>
      </c>
      <c r="E7" t="s">
        <v>188</v>
      </c>
      <c r="G7" s="6" t="s">
        <v>181</v>
      </c>
      <c r="I7" s="6" t="s">
        <v>29</v>
      </c>
      <c r="J7" s="54">
        <v>44258.902789351851</v>
      </c>
      <c r="N7">
        <v>49880</v>
      </c>
    </row>
    <row r="8" spans="1:14">
      <c r="A8" s="6" t="s">
        <v>181</v>
      </c>
      <c r="B8">
        <v>1</v>
      </c>
      <c r="C8">
        <v>27212</v>
      </c>
      <c r="E8" t="s">
        <v>197</v>
      </c>
      <c r="G8" s="6" t="s">
        <v>181</v>
      </c>
      <c r="I8" s="6" t="s">
        <v>29</v>
      </c>
      <c r="J8" s="54">
        <v>44258.880937499998</v>
      </c>
      <c r="N8">
        <v>37730</v>
      </c>
    </row>
    <row r="9" spans="1:14">
      <c r="A9" s="6" t="s">
        <v>181</v>
      </c>
      <c r="B9">
        <v>1</v>
      </c>
      <c r="C9">
        <v>27172</v>
      </c>
      <c r="E9" t="s">
        <v>199</v>
      </c>
      <c r="G9" s="6" t="s">
        <v>181</v>
      </c>
      <c r="I9" s="6" t="s">
        <v>29</v>
      </c>
      <c r="J9" s="54">
        <v>44258.872002314813</v>
      </c>
      <c r="N9">
        <v>46700</v>
      </c>
    </row>
    <row r="10" spans="1:14">
      <c r="A10" s="6" t="s">
        <v>181</v>
      </c>
      <c r="B10">
        <v>1</v>
      </c>
      <c r="C10">
        <v>27198</v>
      </c>
      <c r="E10" t="s">
        <v>201</v>
      </c>
      <c r="G10" s="6" t="s">
        <v>181</v>
      </c>
      <c r="I10" s="6" t="s">
        <v>29</v>
      </c>
      <c r="J10" s="54">
        <v>44258.863437499997</v>
      </c>
      <c r="N10">
        <v>30700</v>
      </c>
    </row>
    <row r="11" spans="1:14">
      <c r="A11" s="6" t="s">
        <v>181</v>
      </c>
      <c r="B11">
        <v>1</v>
      </c>
      <c r="C11">
        <v>27197</v>
      </c>
      <c r="E11" t="s">
        <v>203</v>
      </c>
      <c r="G11" s="6" t="s">
        <v>181</v>
      </c>
      <c r="I11" s="6" t="s">
        <v>29</v>
      </c>
      <c r="J11" s="54">
        <v>44258.851909722223</v>
      </c>
      <c r="N11">
        <v>35070</v>
      </c>
    </row>
    <row r="12" spans="1:14">
      <c r="A12" s="6" t="s">
        <v>181</v>
      </c>
      <c r="B12">
        <v>1</v>
      </c>
      <c r="C12">
        <v>27196</v>
      </c>
      <c r="E12" t="s">
        <v>205</v>
      </c>
      <c r="G12" s="6" t="s">
        <v>181</v>
      </c>
      <c r="I12" s="6" t="s">
        <v>29</v>
      </c>
      <c r="J12" s="54">
        <v>44258.851666666669</v>
      </c>
      <c r="N12">
        <v>30640</v>
      </c>
    </row>
    <row r="13" spans="1:14">
      <c r="A13" s="6" t="s">
        <v>181</v>
      </c>
      <c r="B13">
        <v>1</v>
      </c>
      <c r="C13">
        <v>27182</v>
      </c>
      <c r="E13" t="s">
        <v>215</v>
      </c>
      <c r="G13" s="6" t="s">
        <v>181</v>
      </c>
      <c r="I13" s="6" t="s">
        <v>29</v>
      </c>
      <c r="J13" s="54">
        <v>44258.795613425929</v>
      </c>
      <c r="N13">
        <v>48050</v>
      </c>
    </row>
    <row r="14" spans="1:14">
      <c r="A14" s="6" t="s">
        <v>181</v>
      </c>
      <c r="B14">
        <v>1</v>
      </c>
      <c r="C14">
        <v>27176</v>
      </c>
      <c r="E14" t="s">
        <v>217</v>
      </c>
      <c r="G14" s="6" t="s">
        <v>181</v>
      </c>
      <c r="I14" s="6" t="s">
        <v>29</v>
      </c>
      <c r="J14" s="54">
        <v>44258.794224537036</v>
      </c>
      <c r="N14">
        <v>47880</v>
      </c>
    </row>
    <row r="15" spans="1:14">
      <c r="A15" s="6" t="s">
        <v>181</v>
      </c>
      <c r="B15">
        <v>1</v>
      </c>
      <c r="C15">
        <v>27192</v>
      </c>
      <c r="E15" t="s">
        <v>219</v>
      </c>
      <c r="G15" s="6" t="s">
        <v>181</v>
      </c>
      <c r="I15" s="6" t="s">
        <v>29</v>
      </c>
      <c r="J15" s="54">
        <v>44258.787905092591</v>
      </c>
      <c r="N15">
        <v>48590</v>
      </c>
    </row>
    <row r="16" spans="1:14">
      <c r="A16" s="6" t="s">
        <v>181</v>
      </c>
      <c r="B16">
        <v>1</v>
      </c>
      <c r="C16">
        <v>27195</v>
      </c>
      <c r="E16" t="s">
        <v>221</v>
      </c>
      <c r="G16" s="6" t="s">
        <v>181</v>
      </c>
      <c r="I16" s="6" t="s">
        <v>29</v>
      </c>
      <c r="J16" s="54">
        <v>44258.757800925923</v>
      </c>
      <c r="N16">
        <v>50060</v>
      </c>
    </row>
    <row r="17" spans="1:14">
      <c r="A17" s="6" t="s">
        <v>181</v>
      </c>
      <c r="B17">
        <v>1</v>
      </c>
      <c r="C17">
        <v>27201</v>
      </c>
      <c r="E17" t="s">
        <v>225</v>
      </c>
      <c r="G17" s="6" t="s">
        <v>181</v>
      </c>
      <c r="I17" s="6" t="s">
        <v>29</v>
      </c>
      <c r="J17" s="54">
        <v>44258.690763888888</v>
      </c>
      <c r="N17">
        <v>36800</v>
      </c>
    </row>
    <row r="18" spans="1:14">
      <c r="A18" s="6" t="s">
        <v>181</v>
      </c>
      <c r="B18">
        <v>1</v>
      </c>
      <c r="C18">
        <v>27202</v>
      </c>
      <c r="E18" t="s">
        <v>227</v>
      </c>
      <c r="G18" s="6" t="s">
        <v>181</v>
      </c>
      <c r="I18" s="6" t="s">
        <v>29</v>
      </c>
      <c r="J18" s="54">
        <v>44258.689710648148</v>
      </c>
      <c r="N18">
        <v>37250</v>
      </c>
    </row>
    <row r="19" spans="1:14">
      <c r="A19" s="6" t="s">
        <v>181</v>
      </c>
      <c r="B19">
        <v>1</v>
      </c>
      <c r="C19">
        <v>27204</v>
      </c>
      <c r="E19" t="s">
        <v>229</v>
      </c>
      <c r="G19" s="6" t="s">
        <v>181</v>
      </c>
      <c r="I19" s="6" t="s">
        <v>29</v>
      </c>
      <c r="J19" s="54">
        <v>44258.686168981483</v>
      </c>
      <c r="N19">
        <v>38040</v>
      </c>
    </row>
    <row r="20" spans="1:14">
      <c r="A20" s="6" t="s">
        <v>181</v>
      </c>
      <c r="B20">
        <v>1</v>
      </c>
      <c r="C20">
        <v>27200</v>
      </c>
      <c r="E20" t="s">
        <v>231</v>
      </c>
      <c r="G20" s="6" t="s">
        <v>181</v>
      </c>
      <c r="I20" s="6" t="s">
        <v>29</v>
      </c>
      <c r="J20" s="54">
        <v>44258.685925925929</v>
      </c>
      <c r="N20">
        <v>38550</v>
      </c>
    </row>
    <row r="21" spans="1:14">
      <c r="A21" s="6" t="s">
        <v>181</v>
      </c>
      <c r="B21">
        <v>1</v>
      </c>
      <c r="C21">
        <v>27157</v>
      </c>
      <c r="E21" t="s">
        <v>235</v>
      </c>
      <c r="G21" s="6" t="s">
        <v>181</v>
      </c>
      <c r="I21" s="6" t="s">
        <v>29</v>
      </c>
      <c r="J21" s="54">
        <v>44258.665879629632</v>
      </c>
      <c r="N21">
        <v>39320</v>
      </c>
    </row>
    <row r="22" spans="1:14">
      <c r="A22" s="6" t="s">
        <v>181</v>
      </c>
      <c r="B22">
        <v>1</v>
      </c>
      <c r="C22">
        <v>27179</v>
      </c>
      <c r="E22" t="s">
        <v>241</v>
      </c>
      <c r="G22" s="6" t="s">
        <v>181</v>
      </c>
      <c r="I22" s="6" t="s">
        <v>29</v>
      </c>
      <c r="J22" s="54">
        <v>44258.583715277775</v>
      </c>
      <c r="N22">
        <v>49000</v>
      </c>
    </row>
    <row r="23" spans="1:14">
      <c r="A23" s="6" t="s">
        <v>181</v>
      </c>
      <c r="B23">
        <v>1</v>
      </c>
      <c r="C23">
        <v>27170</v>
      </c>
      <c r="E23" t="s">
        <v>243</v>
      </c>
      <c r="G23" s="6" t="s">
        <v>181</v>
      </c>
      <c r="I23" s="6" t="s">
        <v>29</v>
      </c>
      <c r="J23" s="54">
        <v>44258.577881944446</v>
      </c>
      <c r="N23">
        <v>47140</v>
      </c>
    </row>
    <row r="24" spans="1:14">
      <c r="A24" s="6" t="s">
        <v>181</v>
      </c>
      <c r="B24">
        <v>1</v>
      </c>
      <c r="C24">
        <v>27199</v>
      </c>
      <c r="E24" t="s">
        <v>245</v>
      </c>
      <c r="G24" s="6" t="s">
        <v>181</v>
      </c>
      <c r="I24" s="6" t="s">
        <v>29</v>
      </c>
      <c r="J24" s="54">
        <v>44258.558564814812</v>
      </c>
      <c r="N24">
        <v>32330</v>
      </c>
    </row>
    <row r="25" spans="1:14">
      <c r="A25" s="6" t="s">
        <v>181</v>
      </c>
      <c r="B25">
        <v>1</v>
      </c>
      <c r="C25">
        <v>27193</v>
      </c>
      <c r="E25" t="s">
        <v>247</v>
      </c>
      <c r="G25" s="6" t="s">
        <v>181</v>
      </c>
      <c r="I25" s="6" t="s">
        <v>29</v>
      </c>
      <c r="J25" s="54">
        <v>44258.512175925927</v>
      </c>
      <c r="N25">
        <v>35970</v>
      </c>
    </row>
    <row r="26" spans="1:14">
      <c r="A26" s="6" t="s">
        <v>181</v>
      </c>
      <c r="B26">
        <v>1</v>
      </c>
      <c r="C26">
        <v>27160</v>
      </c>
      <c r="E26" t="s">
        <v>251</v>
      </c>
      <c r="G26" s="6" t="s">
        <v>181</v>
      </c>
      <c r="I26" s="6" t="s">
        <v>29</v>
      </c>
      <c r="J26" s="54">
        <v>44258.431909722225</v>
      </c>
      <c r="N26">
        <v>49250</v>
      </c>
    </row>
    <row r="27" spans="1:14">
      <c r="A27" s="6" t="s">
        <v>181</v>
      </c>
      <c r="B27">
        <v>1</v>
      </c>
      <c r="C27">
        <v>27175</v>
      </c>
      <c r="E27" t="s">
        <v>253</v>
      </c>
      <c r="G27" s="6" t="s">
        <v>181</v>
      </c>
      <c r="I27" s="6" t="s">
        <v>29</v>
      </c>
      <c r="J27" s="54">
        <v>44258.348564814813</v>
      </c>
      <c r="N27">
        <v>47210</v>
      </c>
    </row>
    <row r="28" spans="1:14">
      <c r="A28" s="6" t="s">
        <v>181</v>
      </c>
      <c r="B28">
        <v>1</v>
      </c>
      <c r="C28">
        <v>27171</v>
      </c>
      <c r="E28" t="s">
        <v>255</v>
      </c>
      <c r="G28" s="6" t="s">
        <v>181</v>
      </c>
      <c r="I28" s="6" t="s">
        <v>29</v>
      </c>
      <c r="J28" s="54">
        <v>44258.341678240744</v>
      </c>
      <c r="N28">
        <v>46860</v>
      </c>
    </row>
    <row r="29" spans="1:14">
      <c r="A29" s="6" t="s">
        <v>181</v>
      </c>
      <c r="B29">
        <v>1</v>
      </c>
      <c r="C29">
        <v>27173</v>
      </c>
      <c r="E29" t="s">
        <v>257</v>
      </c>
      <c r="G29" s="6" t="s">
        <v>181</v>
      </c>
      <c r="I29" s="6" t="s">
        <v>29</v>
      </c>
      <c r="J29" s="54">
        <v>44258.321956018517</v>
      </c>
      <c r="N29">
        <v>46560</v>
      </c>
    </row>
    <row r="30" spans="1:14">
      <c r="A30" s="6" t="s">
        <v>181</v>
      </c>
      <c r="B30">
        <v>1</v>
      </c>
      <c r="C30">
        <v>27156</v>
      </c>
      <c r="E30" t="s">
        <v>259</v>
      </c>
      <c r="G30" s="6" t="s">
        <v>181</v>
      </c>
      <c r="I30" s="6" t="s">
        <v>29</v>
      </c>
      <c r="J30" s="54">
        <v>44258.309814814813</v>
      </c>
      <c r="N30">
        <v>48490</v>
      </c>
    </row>
    <row r="31" spans="1:14">
      <c r="A31" s="6" t="s">
        <v>181</v>
      </c>
      <c r="B31">
        <v>1</v>
      </c>
      <c r="C31">
        <v>27169</v>
      </c>
      <c r="E31" t="s">
        <v>266</v>
      </c>
      <c r="G31" s="6" t="s">
        <v>181</v>
      </c>
      <c r="I31" s="6" t="s">
        <v>29</v>
      </c>
      <c r="J31" s="54">
        <v>44258.240740740737</v>
      </c>
      <c r="N31">
        <v>46380</v>
      </c>
    </row>
    <row r="32" spans="1:14">
      <c r="A32" s="6" t="s">
        <v>181</v>
      </c>
      <c r="B32">
        <v>1</v>
      </c>
      <c r="C32">
        <v>27162</v>
      </c>
      <c r="E32" t="s">
        <v>270</v>
      </c>
      <c r="G32" s="6" t="s">
        <v>181</v>
      </c>
      <c r="I32" s="6" t="s">
        <v>29</v>
      </c>
      <c r="J32" s="54">
        <v>44258.237743055557</v>
      </c>
      <c r="N32">
        <v>35030</v>
      </c>
    </row>
    <row r="33" spans="1:14">
      <c r="A33" s="6" t="s">
        <v>181</v>
      </c>
      <c r="B33">
        <v>1</v>
      </c>
      <c r="C33">
        <v>27161</v>
      </c>
      <c r="E33" t="s">
        <v>272</v>
      </c>
      <c r="G33" s="6" t="s">
        <v>181</v>
      </c>
      <c r="I33" s="6" t="s">
        <v>29</v>
      </c>
      <c r="J33" s="54">
        <v>44258.232870370368</v>
      </c>
      <c r="N33">
        <v>30820</v>
      </c>
    </row>
    <row r="34" spans="1:14">
      <c r="A34" s="6" t="s">
        <v>181</v>
      </c>
      <c r="B34">
        <v>1</v>
      </c>
      <c r="C34">
        <v>27151</v>
      </c>
      <c r="E34" t="s">
        <v>274</v>
      </c>
      <c r="G34" s="6" t="s">
        <v>181</v>
      </c>
      <c r="I34" s="6" t="s">
        <v>29</v>
      </c>
      <c r="J34" s="54">
        <v>44258.229733796295</v>
      </c>
      <c r="N34">
        <v>38660</v>
      </c>
    </row>
    <row r="35" spans="1:14">
      <c r="A35" s="6" t="s">
        <v>181</v>
      </c>
      <c r="B35">
        <v>1</v>
      </c>
      <c r="C35">
        <v>27154</v>
      </c>
      <c r="E35" t="s">
        <v>276</v>
      </c>
      <c r="G35" s="6" t="s">
        <v>181</v>
      </c>
      <c r="I35" s="6" t="s">
        <v>29</v>
      </c>
      <c r="J35" s="54">
        <v>44258.221597222226</v>
      </c>
      <c r="N35">
        <v>48960</v>
      </c>
    </row>
    <row r="36" spans="1:14">
      <c r="A36" s="6" t="s">
        <v>181</v>
      </c>
      <c r="B36">
        <v>1</v>
      </c>
      <c r="C36">
        <v>27174</v>
      </c>
      <c r="E36" t="s">
        <v>280</v>
      </c>
      <c r="G36" s="6" t="s">
        <v>181</v>
      </c>
      <c r="I36" s="6" t="s">
        <v>29</v>
      </c>
      <c r="J36" s="54">
        <v>44258.202916666669</v>
      </c>
      <c r="N36">
        <v>47300</v>
      </c>
    </row>
    <row r="37" spans="1:14">
      <c r="A37" s="6" t="s">
        <v>181</v>
      </c>
      <c r="B37">
        <v>1</v>
      </c>
      <c r="C37">
        <v>27163</v>
      </c>
      <c r="E37" t="s">
        <v>282</v>
      </c>
      <c r="G37" s="6" t="s">
        <v>181</v>
      </c>
      <c r="I37" s="6" t="s">
        <v>29</v>
      </c>
      <c r="J37" s="54">
        <v>44258.202291666668</v>
      </c>
      <c r="N37">
        <v>48900</v>
      </c>
    </row>
    <row r="38" spans="1:14">
      <c r="A38" s="6" t="s">
        <v>181</v>
      </c>
      <c r="B38">
        <v>1</v>
      </c>
      <c r="C38">
        <v>27164</v>
      </c>
      <c r="E38" t="s">
        <v>286</v>
      </c>
      <c r="G38" s="6" t="s">
        <v>181</v>
      </c>
      <c r="I38" s="6" t="s">
        <v>29</v>
      </c>
      <c r="J38" s="54">
        <v>44258.190717592595</v>
      </c>
      <c r="N38">
        <v>50020</v>
      </c>
    </row>
    <row r="39" spans="1:14">
      <c r="A39" s="6" t="s">
        <v>181</v>
      </c>
      <c r="B39">
        <v>1</v>
      </c>
      <c r="C39">
        <v>27165</v>
      </c>
      <c r="E39" t="s">
        <v>289</v>
      </c>
      <c r="G39" s="6" t="s">
        <v>181</v>
      </c>
      <c r="I39" s="6" t="s">
        <v>29</v>
      </c>
      <c r="J39" s="54">
        <v>44258.180752314816</v>
      </c>
      <c r="N39">
        <v>48360</v>
      </c>
    </row>
    <row r="40" spans="1:14">
      <c r="A40" s="6" t="s">
        <v>181</v>
      </c>
      <c r="B40">
        <v>1</v>
      </c>
      <c r="C40">
        <v>27147</v>
      </c>
      <c r="E40" t="s">
        <v>296</v>
      </c>
      <c r="G40" s="6" t="s">
        <v>181</v>
      </c>
      <c r="I40" s="6" t="s">
        <v>29</v>
      </c>
      <c r="J40" s="54">
        <v>44258.092523148145</v>
      </c>
      <c r="N40">
        <v>42146</v>
      </c>
    </row>
    <row r="41" spans="1:14">
      <c r="A41" s="6" t="s">
        <v>181</v>
      </c>
      <c r="B41">
        <v>1</v>
      </c>
      <c r="C41">
        <v>27146</v>
      </c>
      <c r="E41" t="s">
        <v>296</v>
      </c>
      <c r="G41" s="6" t="s">
        <v>181</v>
      </c>
      <c r="I41" s="6" t="s">
        <v>29</v>
      </c>
      <c r="J41" s="54">
        <v>44258.092523148145</v>
      </c>
      <c r="N41">
        <v>7134</v>
      </c>
    </row>
    <row r="42" spans="1:14">
      <c r="A42" s="6" t="s">
        <v>181</v>
      </c>
      <c r="B42">
        <v>1</v>
      </c>
      <c r="C42">
        <v>27153</v>
      </c>
      <c r="E42" t="s">
        <v>304</v>
      </c>
      <c r="G42" s="6" t="s">
        <v>181</v>
      </c>
      <c r="I42" s="6" t="s">
        <v>29</v>
      </c>
      <c r="J42" s="54">
        <v>44258.043090277781</v>
      </c>
      <c r="N42">
        <v>52780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V136"/>
  <sheetViews>
    <sheetView tabSelected="1" workbookViewId="0">
      <selection activeCell="F1" sqref="F1:F1048576"/>
    </sheetView>
  </sheetViews>
  <sheetFormatPr defaultColWidth="14.5703125" defaultRowHeight="15"/>
  <cols>
    <col min="1" max="1" width="20.140625" style="6" bestFit="1" customWidth="1"/>
    <col min="7" max="7" width="14.5703125" style="24"/>
  </cols>
  <sheetData>
    <row r="1" spans="1:22">
      <c r="A1" s="6" t="s">
        <v>22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s="24" t="s">
        <v>55</v>
      </c>
      <c r="H1" t="s">
        <v>35</v>
      </c>
      <c r="I1" t="s">
        <v>12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</row>
    <row r="2" spans="1:22">
      <c r="A2" s="6" t="s">
        <v>68</v>
      </c>
      <c r="B2" t="s">
        <v>69</v>
      </c>
      <c r="C2" t="s">
        <v>50</v>
      </c>
      <c r="D2" t="s">
        <v>70</v>
      </c>
      <c r="E2" t="s">
        <v>59</v>
      </c>
      <c r="F2" t="s">
        <v>75</v>
      </c>
      <c r="G2" s="24">
        <v>44258.975277777776</v>
      </c>
      <c r="H2">
        <v>5963</v>
      </c>
      <c r="I2">
        <v>1</v>
      </c>
      <c r="J2">
        <v>44257.821840277778</v>
      </c>
      <c r="K2" t="s">
        <v>76</v>
      </c>
      <c r="L2">
        <v>50320</v>
      </c>
      <c r="M2">
        <v>50320</v>
      </c>
      <c r="N2">
        <v>50030</v>
      </c>
      <c r="O2" t="s">
        <v>71</v>
      </c>
      <c r="P2" t="s">
        <v>50</v>
      </c>
      <c r="Q2" t="s">
        <v>72</v>
      </c>
      <c r="R2" t="s">
        <v>71</v>
      </c>
      <c r="S2" t="s">
        <v>51</v>
      </c>
      <c r="T2" t="s">
        <v>72</v>
      </c>
      <c r="U2" t="s">
        <v>77</v>
      </c>
      <c r="V2" t="s">
        <v>78</v>
      </c>
    </row>
    <row r="3" spans="1:22">
      <c r="A3" s="6" t="s">
        <v>68</v>
      </c>
      <c r="B3" t="s">
        <v>69</v>
      </c>
      <c r="C3" t="s">
        <v>50</v>
      </c>
      <c r="D3" t="s">
        <v>70</v>
      </c>
      <c r="E3" t="s">
        <v>59</v>
      </c>
      <c r="F3" t="s">
        <v>79</v>
      </c>
      <c r="G3" s="24">
        <v>44258.676944444444</v>
      </c>
      <c r="H3">
        <v>5949</v>
      </c>
      <c r="I3">
        <v>1</v>
      </c>
      <c r="J3">
        <v>44257.49423611111</v>
      </c>
      <c r="K3" t="s">
        <v>80</v>
      </c>
      <c r="L3">
        <v>37320</v>
      </c>
      <c r="M3">
        <v>37320</v>
      </c>
      <c r="N3">
        <v>37150</v>
      </c>
      <c r="O3" t="s">
        <v>71</v>
      </c>
      <c r="P3" t="s">
        <v>50</v>
      </c>
      <c r="Q3" t="s">
        <v>72</v>
      </c>
      <c r="R3" t="s">
        <v>71</v>
      </c>
      <c r="S3" t="s">
        <v>51</v>
      </c>
      <c r="T3" t="s">
        <v>72</v>
      </c>
      <c r="U3" t="s">
        <v>77</v>
      </c>
      <c r="V3" t="s">
        <v>78</v>
      </c>
    </row>
    <row r="4" spans="1:22">
      <c r="A4" s="6" t="s">
        <v>68</v>
      </c>
      <c r="B4" t="s">
        <v>69</v>
      </c>
      <c r="C4" t="s">
        <v>50</v>
      </c>
      <c r="D4" t="s">
        <v>70</v>
      </c>
      <c r="E4" t="s">
        <v>59</v>
      </c>
      <c r="F4" t="s">
        <v>81</v>
      </c>
      <c r="G4" s="24">
        <v>44258.401203703703</v>
      </c>
      <c r="H4">
        <v>5951</v>
      </c>
      <c r="I4">
        <v>1</v>
      </c>
      <c r="J4">
        <v>44257.527175925927</v>
      </c>
      <c r="K4" t="s">
        <v>82</v>
      </c>
      <c r="L4">
        <v>38210</v>
      </c>
      <c r="M4">
        <v>38210</v>
      </c>
      <c r="N4">
        <v>38130</v>
      </c>
      <c r="O4" t="s">
        <v>71</v>
      </c>
      <c r="P4" t="s">
        <v>50</v>
      </c>
      <c r="Q4" t="s">
        <v>72</v>
      </c>
      <c r="R4" t="s">
        <v>71</v>
      </c>
      <c r="S4" t="s">
        <v>51</v>
      </c>
      <c r="T4" t="s">
        <v>72</v>
      </c>
      <c r="U4" t="s">
        <v>77</v>
      </c>
      <c r="V4" t="s">
        <v>78</v>
      </c>
    </row>
    <row r="5" spans="1:22">
      <c r="A5" s="6" t="s">
        <v>68</v>
      </c>
      <c r="B5" t="s">
        <v>69</v>
      </c>
      <c r="C5" t="s">
        <v>50</v>
      </c>
      <c r="D5" t="s">
        <v>70</v>
      </c>
      <c r="E5" t="s">
        <v>59</v>
      </c>
      <c r="F5" t="s">
        <v>83</v>
      </c>
      <c r="G5" s="24">
        <v>44258.40084490741</v>
      </c>
      <c r="H5">
        <v>5950</v>
      </c>
      <c r="I5">
        <v>1</v>
      </c>
      <c r="J5">
        <v>44257.521053240744</v>
      </c>
      <c r="K5" t="s">
        <v>84</v>
      </c>
      <c r="L5">
        <v>38230</v>
      </c>
      <c r="M5">
        <v>38230</v>
      </c>
      <c r="N5">
        <v>38160</v>
      </c>
      <c r="O5" t="s">
        <v>71</v>
      </c>
      <c r="P5" t="s">
        <v>50</v>
      </c>
      <c r="Q5" t="s">
        <v>72</v>
      </c>
      <c r="R5" t="s">
        <v>71</v>
      </c>
      <c r="S5" t="s">
        <v>51</v>
      </c>
      <c r="T5" t="s">
        <v>72</v>
      </c>
      <c r="U5" t="s">
        <v>77</v>
      </c>
      <c r="V5" t="s">
        <v>78</v>
      </c>
    </row>
    <row r="6" spans="1:22">
      <c r="A6" s="6" t="s">
        <v>68</v>
      </c>
      <c r="B6" t="s">
        <v>69</v>
      </c>
      <c r="C6" t="s">
        <v>50</v>
      </c>
      <c r="D6" t="s">
        <v>70</v>
      </c>
      <c r="E6" t="s">
        <v>59</v>
      </c>
      <c r="F6" t="s">
        <v>85</v>
      </c>
      <c r="G6" s="24">
        <v>44258.400729166664</v>
      </c>
      <c r="H6">
        <v>5952</v>
      </c>
      <c r="I6">
        <v>1</v>
      </c>
      <c r="J6">
        <v>44257.529872685183</v>
      </c>
      <c r="K6" t="s">
        <v>86</v>
      </c>
      <c r="L6">
        <v>38340</v>
      </c>
      <c r="M6">
        <v>38340</v>
      </c>
      <c r="N6">
        <v>38290</v>
      </c>
      <c r="O6" t="s">
        <v>71</v>
      </c>
      <c r="P6" t="s">
        <v>50</v>
      </c>
      <c r="Q6" t="s">
        <v>72</v>
      </c>
      <c r="R6" t="s">
        <v>71</v>
      </c>
      <c r="S6" t="s">
        <v>51</v>
      </c>
      <c r="T6" t="s">
        <v>72</v>
      </c>
      <c r="U6" t="s">
        <v>77</v>
      </c>
      <c r="V6" t="s">
        <v>78</v>
      </c>
    </row>
    <row r="7" spans="1:22">
      <c r="A7" s="6" t="s">
        <v>68</v>
      </c>
      <c r="B7" t="s">
        <v>69</v>
      </c>
      <c r="C7" t="s">
        <v>50</v>
      </c>
      <c r="D7" t="s">
        <v>70</v>
      </c>
      <c r="E7" t="s">
        <v>59</v>
      </c>
      <c r="F7" t="s">
        <v>87</v>
      </c>
      <c r="G7" s="24">
        <v>44258.165451388886</v>
      </c>
      <c r="H7">
        <v>5945</v>
      </c>
      <c r="I7">
        <v>1</v>
      </c>
      <c r="J7">
        <v>44256.81659722222</v>
      </c>
      <c r="K7" t="s">
        <v>88</v>
      </c>
      <c r="L7">
        <v>48970</v>
      </c>
      <c r="M7">
        <v>48970</v>
      </c>
      <c r="N7">
        <v>48860</v>
      </c>
      <c r="O7" t="s">
        <v>71</v>
      </c>
      <c r="P7" t="s">
        <v>50</v>
      </c>
      <c r="Q7" t="s">
        <v>72</v>
      </c>
      <c r="R7" t="s">
        <v>71</v>
      </c>
      <c r="S7" t="s">
        <v>51</v>
      </c>
      <c r="T7" t="s">
        <v>72</v>
      </c>
      <c r="U7" t="s">
        <v>77</v>
      </c>
      <c r="V7" t="s">
        <v>78</v>
      </c>
    </row>
    <row r="8" spans="1:22">
      <c r="A8" s="6" t="s">
        <v>68</v>
      </c>
      <c r="B8" t="s">
        <v>69</v>
      </c>
      <c r="C8" t="s">
        <v>50</v>
      </c>
      <c r="D8" t="s">
        <v>70</v>
      </c>
      <c r="E8" t="s">
        <v>59</v>
      </c>
      <c r="F8" t="s">
        <v>89</v>
      </c>
      <c r="G8" s="24">
        <v>44258.141967592594</v>
      </c>
      <c r="H8">
        <v>5948</v>
      </c>
      <c r="I8">
        <v>1</v>
      </c>
      <c r="J8">
        <v>44257.475185185183</v>
      </c>
      <c r="K8" t="s">
        <v>90</v>
      </c>
      <c r="L8">
        <v>49770</v>
      </c>
      <c r="M8">
        <v>49770</v>
      </c>
      <c r="N8">
        <v>49680</v>
      </c>
      <c r="O8" t="s">
        <v>71</v>
      </c>
      <c r="P8" t="s">
        <v>50</v>
      </c>
      <c r="Q8" t="s">
        <v>72</v>
      </c>
      <c r="R8" t="s">
        <v>71</v>
      </c>
      <c r="S8" t="s">
        <v>51</v>
      </c>
      <c r="T8" t="s">
        <v>72</v>
      </c>
      <c r="U8" t="s">
        <v>77</v>
      </c>
      <c r="V8" t="s">
        <v>78</v>
      </c>
    </row>
    <row r="9" spans="1:22">
      <c r="A9" s="6" t="s">
        <v>68</v>
      </c>
      <c r="B9" t="s">
        <v>69</v>
      </c>
      <c r="C9" t="s">
        <v>50</v>
      </c>
      <c r="D9" t="s">
        <v>70</v>
      </c>
      <c r="E9" t="s">
        <v>59</v>
      </c>
      <c r="F9" t="s">
        <v>91</v>
      </c>
      <c r="G9" s="24">
        <v>44258.124363425923</v>
      </c>
      <c r="H9">
        <v>5946</v>
      </c>
      <c r="I9">
        <v>1</v>
      </c>
      <c r="J9">
        <v>44257.454942129632</v>
      </c>
      <c r="K9" t="s">
        <v>92</v>
      </c>
      <c r="L9">
        <v>49890</v>
      </c>
      <c r="M9">
        <v>49890</v>
      </c>
      <c r="N9">
        <v>49810</v>
      </c>
      <c r="O9" t="s">
        <v>71</v>
      </c>
      <c r="P9" t="s">
        <v>50</v>
      </c>
      <c r="Q9" t="s">
        <v>72</v>
      </c>
      <c r="R9" t="s">
        <v>71</v>
      </c>
      <c r="S9" t="s">
        <v>51</v>
      </c>
      <c r="T9" t="s">
        <v>72</v>
      </c>
      <c r="U9" t="s">
        <v>77</v>
      </c>
      <c r="V9" t="s">
        <v>78</v>
      </c>
    </row>
    <row r="10" spans="1:22">
      <c r="A10" s="6" t="s">
        <v>68</v>
      </c>
      <c r="B10" t="s">
        <v>69</v>
      </c>
      <c r="C10" t="s">
        <v>50</v>
      </c>
      <c r="D10" t="s">
        <v>70</v>
      </c>
      <c r="E10" t="s">
        <v>59</v>
      </c>
      <c r="F10" t="s">
        <v>93</v>
      </c>
      <c r="G10" s="24">
        <v>44258.115046296298</v>
      </c>
      <c r="H10">
        <v>5940</v>
      </c>
      <c r="I10">
        <v>1</v>
      </c>
      <c r="J10">
        <v>44256.708124999997</v>
      </c>
      <c r="K10" t="s">
        <v>94</v>
      </c>
      <c r="L10">
        <v>48780</v>
      </c>
      <c r="M10">
        <v>48780</v>
      </c>
      <c r="N10">
        <v>48710</v>
      </c>
      <c r="O10" t="s">
        <v>71</v>
      </c>
      <c r="P10" t="s">
        <v>50</v>
      </c>
      <c r="Q10" t="s">
        <v>72</v>
      </c>
      <c r="R10" t="s">
        <v>71</v>
      </c>
      <c r="S10" t="s">
        <v>51</v>
      </c>
      <c r="T10" t="s">
        <v>72</v>
      </c>
      <c r="U10" t="s">
        <v>77</v>
      </c>
      <c r="V10" t="s">
        <v>78</v>
      </c>
    </row>
    <row r="11" spans="1:22">
      <c r="A11" s="6" t="s">
        <v>68</v>
      </c>
      <c r="B11" t="s">
        <v>69</v>
      </c>
      <c r="C11" t="s">
        <v>50</v>
      </c>
      <c r="D11" t="s">
        <v>70</v>
      </c>
      <c r="E11" t="s">
        <v>59</v>
      </c>
      <c r="F11" t="s">
        <v>95</v>
      </c>
      <c r="G11" s="24">
        <v>44258.017928240741</v>
      </c>
      <c r="H11">
        <v>5944</v>
      </c>
      <c r="I11">
        <v>1</v>
      </c>
      <c r="J11">
        <v>44256.790914351855</v>
      </c>
      <c r="K11" t="s">
        <v>96</v>
      </c>
      <c r="L11">
        <v>47690</v>
      </c>
      <c r="M11">
        <v>47690</v>
      </c>
      <c r="N11">
        <v>47610</v>
      </c>
      <c r="O11" t="s">
        <v>71</v>
      </c>
      <c r="P11" t="s">
        <v>50</v>
      </c>
      <c r="Q11" t="s">
        <v>72</v>
      </c>
      <c r="R11" t="s">
        <v>71</v>
      </c>
      <c r="S11" t="s">
        <v>51</v>
      </c>
      <c r="T11" t="s">
        <v>72</v>
      </c>
      <c r="U11" t="s">
        <v>77</v>
      </c>
      <c r="V11" t="s">
        <v>78</v>
      </c>
    </row>
    <row r="12" spans="1:22">
      <c r="A12" s="6" t="s">
        <v>56</v>
      </c>
      <c r="B12" t="s">
        <v>57</v>
      </c>
      <c r="C12" t="s">
        <v>50</v>
      </c>
      <c r="D12" t="s">
        <v>58</v>
      </c>
      <c r="E12" t="s">
        <v>59</v>
      </c>
      <c r="F12" t="s">
        <v>97</v>
      </c>
      <c r="G12" s="24">
        <v>44258.889027777775</v>
      </c>
      <c r="H12">
        <v>29862</v>
      </c>
      <c r="I12">
        <v>1</v>
      </c>
      <c r="J12">
        <v>44256.573587962965</v>
      </c>
      <c r="K12" t="s">
        <v>98</v>
      </c>
      <c r="L12">
        <v>50420</v>
      </c>
      <c r="M12">
        <v>50420</v>
      </c>
      <c r="N12">
        <v>50720</v>
      </c>
      <c r="O12" t="s">
        <v>60</v>
      </c>
      <c r="P12" t="s">
        <v>61</v>
      </c>
      <c r="Q12" t="s">
        <v>62</v>
      </c>
      <c r="R12" t="s">
        <v>60</v>
      </c>
      <c r="S12" t="s">
        <v>51</v>
      </c>
      <c r="T12" t="s">
        <v>62</v>
      </c>
      <c r="U12" t="s">
        <v>63</v>
      </c>
      <c r="V12" t="s">
        <v>63</v>
      </c>
    </row>
    <row r="13" spans="1:22">
      <c r="A13" s="6" t="s">
        <v>56</v>
      </c>
      <c r="B13" t="s">
        <v>57</v>
      </c>
      <c r="C13" t="s">
        <v>50</v>
      </c>
      <c r="D13" t="s">
        <v>58</v>
      </c>
      <c r="E13" t="s">
        <v>59</v>
      </c>
      <c r="F13" t="s">
        <v>99</v>
      </c>
      <c r="G13" s="24">
        <v>44258.88140046296</v>
      </c>
      <c r="H13">
        <v>29878</v>
      </c>
      <c r="I13">
        <v>1</v>
      </c>
      <c r="J13">
        <v>44256.640104166669</v>
      </c>
      <c r="K13" t="s">
        <v>100</v>
      </c>
      <c r="L13">
        <v>49600</v>
      </c>
      <c r="M13">
        <v>49600</v>
      </c>
      <c r="N13">
        <v>49700</v>
      </c>
      <c r="O13" t="s">
        <v>60</v>
      </c>
      <c r="P13" t="s">
        <v>61</v>
      </c>
      <c r="Q13" t="s">
        <v>62</v>
      </c>
      <c r="R13" t="s">
        <v>60</v>
      </c>
      <c r="S13" t="s">
        <v>51</v>
      </c>
      <c r="T13" t="s">
        <v>62</v>
      </c>
    </row>
    <row r="14" spans="1:22">
      <c r="A14" s="6" t="s">
        <v>56</v>
      </c>
      <c r="B14" t="s">
        <v>57</v>
      </c>
      <c r="C14" t="s">
        <v>50</v>
      </c>
      <c r="D14" t="s">
        <v>58</v>
      </c>
      <c r="E14" t="s">
        <v>59</v>
      </c>
      <c r="F14" t="s">
        <v>101</v>
      </c>
      <c r="G14" s="24">
        <v>44258.844953703701</v>
      </c>
      <c r="H14">
        <v>29885</v>
      </c>
      <c r="I14">
        <v>1</v>
      </c>
      <c r="J14">
        <v>44256.698321759257</v>
      </c>
      <c r="K14" t="s">
        <v>102</v>
      </c>
      <c r="L14">
        <v>49180</v>
      </c>
      <c r="M14">
        <v>49180</v>
      </c>
      <c r="N14">
        <v>49260</v>
      </c>
      <c r="O14" t="s">
        <v>60</v>
      </c>
      <c r="P14" t="s">
        <v>61</v>
      </c>
      <c r="Q14" t="s">
        <v>62</v>
      </c>
      <c r="R14" t="s">
        <v>60</v>
      </c>
      <c r="S14" t="s">
        <v>51</v>
      </c>
      <c r="T14" t="s">
        <v>62</v>
      </c>
      <c r="U14" t="s">
        <v>103</v>
      </c>
      <c r="V14" t="s">
        <v>103</v>
      </c>
    </row>
    <row r="15" spans="1:22">
      <c r="A15" s="6" t="s">
        <v>56</v>
      </c>
      <c r="B15" t="s">
        <v>57</v>
      </c>
      <c r="C15" t="s">
        <v>50</v>
      </c>
      <c r="D15" t="s">
        <v>58</v>
      </c>
      <c r="E15" t="s">
        <v>59</v>
      </c>
      <c r="F15" t="s">
        <v>104</v>
      </c>
      <c r="G15" s="24">
        <v>44258.828773148147</v>
      </c>
      <c r="H15">
        <v>29886</v>
      </c>
      <c r="I15">
        <v>1</v>
      </c>
      <c r="J15">
        <v>44256.706435185188</v>
      </c>
      <c r="K15" t="s">
        <v>105</v>
      </c>
      <c r="L15">
        <v>50030</v>
      </c>
      <c r="M15">
        <v>50030</v>
      </c>
      <c r="N15">
        <v>50110</v>
      </c>
      <c r="O15" t="s">
        <v>60</v>
      </c>
      <c r="P15" t="s">
        <v>61</v>
      </c>
      <c r="Q15" t="s">
        <v>62</v>
      </c>
      <c r="R15" t="s">
        <v>60</v>
      </c>
      <c r="S15" t="s">
        <v>51</v>
      </c>
      <c r="T15" t="s">
        <v>62</v>
      </c>
      <c r="U15" t="s">
        <v>103</v>
      </c>
      <c r="V15" t="s">
        <v>103</v>
      </c>
    </row>
    <row r="16" spans="1:22">
      <c r="A16" s="6" t="s">
        <v>56</v>
      </c>
      <c r="B16" t="s">
        <v>57</v>
      </c>
      <c r="C16" t="s">
        <v>50</v>
      </c>
      <c r="D16" t="s">
        <v>58</v>
      </c>
      <c r="E16" t="s">
        <v>59</v>
      </c>
      <c r="F16" t="s">
        <v>106</v>
      </c>
      <c r="G16" s="24">
        <v>44258.814212962963</v>
      </c>
      <c r="H16">
        <v>29887</v>
      </c>
      <c r="I16">
        <v>1</v>
      </c>
      <c r="J16">
        <v>44256.713171296295</v>
      </c>
      <c r="K16" t="s">
        <v>107</v>
      </c>
      <c r="L16">
        <v>48970</v>
      </c>
      <c r="M16">
        <v>48970</v>
      </c>
      <c r="N16">
        <v>49150</v>
      </c>
      <c r="O16" t="s">
        <v>60</v>
      </c>
      <c r="P16" t="s">
        <v>61</v>
      </c>
      <c r="Q16" t="s">
        <v>62</v>
      </c>
      <c r="R16" t="s">
        <v>60</v>
      </c>
      <c r="S16" t="s">
        <v>51</v>
      </c>
      <c r="T16" t="s">
        <v>62</v>
      </c>
      <c r="U16" t="s">
        <v>103</v>
      </c>
      <c r="V16" t="s">
        <v>103</v>
      </c>
    </row>
    <row r="17" spans="1:22">
      <c r="A17" s="6" t="s">
        <v>56</v>
      </c>
      <c r="B17" t="s">
        <v>57</v>
      </c>
      <c r="C17" t="s">
        <v>50</v>
      </c>
      <c r="D17" t="s">
        <v>58</v>
      </c>
      <c r="E17" t="s">
        <v>59</v>
      </c>
      <c r="F17" t="s">
        <v>108</v>
      </c>
      <c r="G17" s="24">
        <v>44258.800150462965</v>
      </c>
      <c r="H17">
        <v>29884</v>
      </c>
      <c r="I17">
        <v>1</v>
      </c>
      <c r="J17">
        <v>44256.690868055557</v>
      </c>
      <c r="K17" t="s">
        <v>109</v>
      </c>
      <c r="L17">
        <v>49670</v>
      </c>
      <c r="M17">
        <v>49670</v>
      </c>
      <c r="N17">
        <v>49760</v>
      </c>
      <c r="O17" t="s">
        <v>60</v>
      </c>
      <c r="P17" t="s">
        <v>61</v>
      </c>
      <c r="Q17" t="s">
        <v>62</v>
      </c>
      <c r="R17" t="s">
        <v>60</v>
      </c>
      <c r="S17" t="s">
        <v>51</v>
      </c>
      <c r="T17" t="s">
        <v>62</v>
      </c>
      <c r="U17" t="s">
        <v>103</v>
      </c>
      <c r="V17" t="s">
        <v>103</v>
      </c>
    </row>
    <row r="18" spans="1:22">
      <c r="A18" s="6" t="s">
        <v>56</v>
      </c>
      <c r="B18" t="s">
        <v>57</v>
      </c>
      <c r="C18" t="s">
        <v>50</v>
      </c>
      <c r="D18" t="s">
        <v>58</v>
      </c>
      <c r="E18" t="s">
        <v>59</v>
      </c>
      <c r="F18" t="s">
        <v>110</v>
      </c>
      <c r="G18" s="24">
        <v>44258.756041666667</v>
      </c>
      <c r="H18">
        <v>29883</v>
      </c>
      <c r="I18">
        <v>1</v>
      </c>
      <c r="J18">
        <v>44256.688287037039</v>
      </c>
      <c r="K18" t="s">
        <v>111</v>
      </c>
      <c r="L18">
        <v>50250</v>
      </c>
      <c r="M18">
        <v>50250</v>
      </c>
      <c r="N18">
        <v>50350</v>
      </c>
      <c r="O18" t="s">
        <v>60</v>
      </c>
      <c r="P18" t="s">
        <v>61</v>
      </c>
      <c r="Q18" t="s">
        <v>62</v>
      </c>
      <c r="R18" t="s">
        <v>60</v>
      </c>
      <c r="S18" t="s">
        <v>51</v>
      </c>
      <c r="T18" t="s">
        <v>62</v>
      </c>
      <c r="U18" t="s">
        <v>103</v>
      </c>
      <c r="V18" t="s">
        <v>103</v>
      </c>
    </row>
    <row r="19" spans="1:22">
      <c r="A19" s="6" t="s">
        <v>56</v>
      </c>
      <c r="B19" t="s">
        <v>57</v>
      </c>
      <c r="C19" t="s">
        <v>50</v>
      </c>
      <c r="D19" t="s">
        <v>58</v>
      </c>
      <c r="E19" t="s">
        <v>59</v>
      </c>
      <c r="F19" t="s">
        <v>112</v>
      </c>
      <c r="G19" s="24">
        <v>44258.754490740743</v>
      </c>
      <c r="H19">
        <v>29870</v>
      </c>
      <c r="I19">
        <v>1</v>
      </c>
      <c r="J19">
        <v>44256.5937962963</v>
      </c>
      <c r="K19" t="s">
        <v>113</v>
      </c>
      <c r="L19">
        <v>50510</v>
      </c>
      <c r="M19">
        <v>50510</v>
      </c>
      <c r="N19">
        <v>50610</v>
      </c>
      <c r="O19" t="s">
        <v>60</v>
      </c>
      <c r="P19" t="s">
        <v>61</v>
      </c>
      <c r="Q19" t="s">
        <v>62</v>
      </c>
      <c r="R19" t="s">
        <v>60</v>
      </c>
      <c r="S19" t="s">
        <v>51</v>
      </c>
      <c r="T19" t="s">
        <v>62</v>
      </c>
      <c r="U19" t="s">
        <v>103</v>
      </c>
      <c r="V19" t="s">
        <v>103</v>
      </c>
    </row>
    <row r="20" spans="1:22">
      <c r="A20" s="6" t="s">
        <v>56</v>
      </c>
      <c r="B20" t="s">
        <v>57</v>
      </c>
      <c r="C20" t="s">
        <v>50</v>
      </c>
      <c r="D20" t="s">
        <v>58</v>
      </c>
      <c r="E20" t="s">
        <v>59</v>
      </c>
      <c r="F20" t="s">
        <v>114</v>
      </c>
      <c r="G20" s="24">
        <v>44258.749803240738</v>
      </c>
      <c r="H20">
        <v>29776</v>
      </c>
      <c r="I20">
        <v>1</v>
      </c>
      <c r="J20">
        <v>44254.878900462965</v>
      </c>
      <c r="K20" t="s">
        <v>115</v>
      </c>
      <c r="L20">
        <v>47060</v>
      </c>
      <c r="M20">
        <v>47060</v>
      </c>
      <c r="N20">
        <v>47130</v>
      </c>
      <c r="O20" t="s">
        <v>60</v>
      </c>
      <c r="P20" t="s">
        <v>61</v>
      </c>
      <c r="Q20" t="s">
        <v>62</v>
      </c>
      <c r="R20" t="s">
        <v>60</v>
      </c>
      <c r="S20" t="s">
        <v>51</v>
      </c>
      <c r="T20" t="s">
        <v>62</v>
      </c>
      <c r="U20" t="s">
        <v>103</v>
      </c>
      <c r="V20" t="s">
        <v>103</v>
      </c>
    </row>
    <row r="21" spans="1:22">
      <c r="A21" s="6" t="s">
        <v>56</v>
      </c>
      <c r="B21" t="s">
        <v>57</v>
      </c>
      <c r="C21" t="s">
        <v>50</v>
      </c>
      <c r="D21" t="s">
        <v>58</v>
      </c>
      <c r="E21" t="s">
        <v>59</v>
      </c>
      <c r="F21" t="s">
        <v>116</v>
      </c>
      <c r="G21" s="24">
        <v>44258.72351851852</v>
      </c>
      <c r="H21">
        <v>29871</v>
      </c>
      <c r="I21">
        <v>1</v>
      </c>
      <c r="J21">
        <v>44256.59447916667</v>
      </c>
      <c r="K21" t="s">
        <v>117</v>
      </c>
      <c r="L21">
        <v>49130</v>
      </c>
      <c r="M21">
        <v>49130</v>
      </c>
      <c r="N21">
        <v>49170</v>
      </c>
      <c r="O21" t="s">
        <v>60</v>
      </c>
      <c r="P21" t="s">
        <v>61</v>
      </c>
      <c r="Q21" t="s">
        <v>62</v>
      </c>
      <c r="R21" t="s">
        <v>60</v>
      </c>
      <c r="S21" t="s">
        <v>51</v>
      </c>
      <c r="T21" t="s">
        <v>62</v>
      </c>
      <c r="U21" t="s">
        <v>103</v>
      </c>
      <c r="V21" t="s">
        <v>103</v>
      </c>
    </row>
    <row r="22" spans="1:22">
      <c r="A22" s="6" t="s">
        <v>56</v>
      </c>
      <c r="B22" t="s">
        <v>57</v>
      </c>
      <c r="C22" t="s">
        <v>50</v>
      </c>
      <c r="D22" t="s">
        <v>58</v>
      </c>
      <c r="E22" t="s">
        <v>59</v>
      </c>
      <c r="F22" t="s">
        <v>118</v>
      </c>
      <c r="G22" s="24">
        <v>44258.716261574074</v>
      </c>
      <c r="H22">
        <v>29861</v>
      </c>
      <c r="I22">
        <v>1</v>
      </c>
      <c r="J22">
        <v>44256.572256944448</v>
      </c>
      <c r="K22" t="s">
        <v>119</v>
      </c>
      <c r="L22">
        <v>49160</v>
      </c>
      <c r="M22">
        <v>49160</v>
      </c>
      <c r="N22">
        <v>49230</v>
      </c>
      <c r="O22" t="s">
        <v>60</v>
      </c>
      <c r="P22" t="s">
        <v>61</v>
      </c>
      <c r="Q22" t="s">
        <v>62</v>
      </c>
      <c r="R22" t="s">
        <v>60</v>
      </c>
      <c r="S22" t="s">
        <v>51</v>
      </c>
      <c r="T22" t="s">
        <v>62</v>
      </c>
      <c r="U22" t="s">
        <v>103</v>
      </c>
      <c r="V22" t="s">
        <v>103</v>
      </c>
    </row>
    <row r="23" spans="1:22">
      <c r="A23" s="6" t="s">
        <v>56</v>
      </c>
      <c r="B23" t="s">
        <v>57</v>
      </c>
      <c r="C23" t="s">
        <v>50</v>
      </c>
      <c r="D23" t="s">
        <v>58</v>
      </c>
      <c r="E23" t="s">
        <v>59</v>
      </c>
      <c r="F23" t="s">
        <v>120</v>
      </c>
      <c r="G23" s="24">
        <v>44258.688078703701</v>
      </c>
      <c r="H23">
        <v>29866</v>
      </c>
      <c r="I23">
        <v>1</v>
      </c>
      <c r="J23">
        <v>44256.580023148148</v>
      </c>
      <c r="K23" t="s">
        <v>121</v>
      </c>
      <c r="L23">
        <v>50570</v>
      </c>
      <c r="M23">
        <v>50570</v>
      </c>
      <c r="N23">
        <v>50670</v>
      </c>
      <c r="O23" t="s">
        <v>60</v>
      </c>
      <c r="P23" t="s">
        <v>61</v>
      </c>
      <c r="Q23" t="s">
        <v>62</v>
      </c>
      <c r="R23" t="s">
        <v>60</v>
      </c>
      <c r="S23" t="s">
        <v>51</v>
      </c>
      <c r="T23" t="s">
        <v>62</v>
      </c>
      <c r="U23" t="s">
        <v>103</v>
      </c>
      <c r="V23" t="s">
        <v>103</v>
      </c>
    </row>
    <row r="24" spans="1:22">
      <c r="A24" s="6" t="s">
        <v>56</v>
      </c>
      <c r="B24" t="s">
        <v>57</v>
      </c>
      <c r="C24" t="s">
        <v>50</v>
      </c>
      <c r="D24" t="s">
        <v>58</v>
      </c>
      <c r="E24" t="s">
        <v>59</v>
      </c>
      <c r="F24" t="s">
        <v>122</v>
      </c>
      <c r="G24" s="24">
        <v>44258.682118055556</v>
      </c>
      <c r="H24">
        <v>29868</v>
      </c>
      <c r="I24">
        <v>1</v>
      </c>
      <c r="J24">
        <v>44256.583020833335</v>
      </c>
      <c r="K24" t="s">
        <v>123</v>
      </c>
      <c r="L24">
        <v>50090</v>
      </c>
      <c r="M24">
        <v>50090</v>
      </c>
      <c r="N24">
        <v>50150</v>
      </c>
      <c r="O24" t="s">
        <v>60</v>
      </c>
      <c r="P24" t="s">
        <v>61</v>
      </c>
      <c r="Q24" t="s">
        <v>62</v>
      </c>
      <c r="R24" t="s">
        <v>60</v>
      </c>
      <c r="S24" t="s">
        <v>51</v>
      </c>
      <c r="T24" t="s">
        <v>62</v>
      </c>
      <c r="U24" t="s">
        <v>103</v>
      </c>
      <c r="V24" t="s">
        <v>103</v>
      </c>
    </row>
    <row r="25" spans="1:22">
      <c r="A25" s="6" t="s">
        <v>56</v>
      </c>
      <c r="B25" t="s">
        <v>57</v>
      </c>
      <c r="C25" t="s">
        <v>50</v>
      </c>
      <c r="D25" t="s">
        <v>58</v>
      </c>
      <c r="E25" t="s">
        <v>59</v>
      </c>
      <c r="F25" t="s">
        <v>124</v>
      </c>
      <c r="G25" s="24">
        <v>44258.672465277778</v>
      </c>
      <c r="H25">
        <v>29880</v>
      </c>
      <c r="I25">
        <v>1</v>
      </c>
      <c r="J25">
        <v>44256.640625</v>
      </c>
      <c r="K25" t="s">
        <v>125</v>
      </c>
      <c r="L25">
        <v>48810</v>
      </c>
      <c r="M25">
        <v>48810</v>
      </c>
      <c r="N25">
        <v>48890</v>
      </c>
      <c r="O25" t="s">
        <v>60</v>
      </c>
      <c r="P25" t="s">
        <v>61</v>
      </c>
      <c r="Q25" t="s">
        <v>62</v>
      </c>
      <c r="R25" t="s">
        <v>60</v>
      </c>
      <c r="S25" t="s">
        <v>51</v>
      </c>
      <c r="T25" t="s">
        <v>62</v>
      </c>
    </row>
    <row r="26" spans="1:22">
      <c r="A26" s="6" t="s">
        <v>56</v>
      </c>
      <c r="B26" t="s">
        <v>57</v>
      </c>
      <c r="C26" t="s">
        <v>50</v>
      </c>
      <c r="D26" t="s">
        <v>58</v>
      </c>
      <c r="E26" t="s">
        <v>59</v>
      </c>
      <c r="F26" t="s">
        <v>126</v>
      </c>
      <c r="G26" s="24">
        <v>44258.669386574074</v>
      </c>
      <c r="H26">
        <v>29881</v>
      </c>
      <c r="I26">
        <v>1</v>
      </c>
      <c r="J26">
        <v>44256.641909722224</v>
      </c>
      <c r="K26" t="s">
        <v>127</v>
      </c>
      <c r="L26">
        <v>48820</v>
      </c>
      <c r="M26">
        <v>48820</v>
      </c>
      <c r="N26">
        <v>48940</v>
      </c>
      <c r="O26" t="s">
        <v>60</v>
      </c>
      <c r="P26" t="s">
        <v>61</v>
      </c>
      <c r="Q26" t="s">
        <v>62</v>
      </c>
      <c r="R26" t="s">
        <v>60</v>
      </c>
      <c r="S26" t="s">
        <v>51</v>
      </c>
      <c r="T26" t="s">
        <v>62</v>
      </c>
      <c r="U26" t="s">
        <v>103</v>
      </c>
      <c r="V26" t="s">
        <v>103</v>
      </c>
    </row>
    <row r="27" spans="1:22">
      <c r="A27" s="6" t="s">
        <v>56</v>
      </c>
      <c r="B27" t="s">
        <v>57</v>
      </c>
      <c r="C27" t="s">
        <v>50</v>
      </c>
      <c r="D27" t="s">
        <v>58</v>
      </c>
      <c r="E27" t="s">
        <v>59</v>
      </c>
      <c r="F27" t="s">
        <v>128</v>
      </c>
      <c r="G27" s="24">
        <v>44258.395254629628</v>
      </c>
      <c r="H27">
        <v>29839</v>
      </c>
      <c r="I27">
        <v>1</v>
      </c>
      <c r="J27">
        <v>44256.380335648151</v>
      </c>
      <c r="K27" t="s">
        <v>129</v>
      </c>
      <c r="L27">
        <v>49360</v>
      </c>
      <c r="M27">
        <v>49360</v>
      </c>
      <c r="N27">
        <v>49400</v>
      </c>
      <c r="O27" t="s">
        <v>60</v>
      </c>
      <c r="P27" t="s">
        <v>61</v>
      </c>
      <c r="Q27" t="s">
        <v>62</v>
      </c>
      <c r="R27" t="s">
        <v>60</v>
      </c>
      <c r="S27" t="s">
        <v>51</v>
      </c>
      <c r="T27" t="s">
        <v>62</v>
      </c>
      <c r="U27" t="s">
        <v>103</v>
      </c>
      <c r="V27" t="s">
        <v>103</v>
      </c>
    </row>
    <row r="28" spans="1:22">
      <c r="A28" s="6" t="s">
        <v>56</v>
      </c>
      <c r="B28" t="s">
        <v>57</v>
      </c>
      <c r="C28" t="s">
        <v>50</v>
      </c>
      <c r="D28" t="s">
        <v>58</v>
      </c>
      <c r="E28" t="s">
        <v>59</v>
      </c>
      <c r="F28" t="s">
        <v>130</v>
      </c>
      <c r="G28" s="24">
        <v>44258.377835648149</v>
      </c>
      <c r="H28">
        <v>29846</v>
      </c>
      <c r="I28">
        <v>1</v>
      </c>
      <c r="J28">
        <v>44256.486608796295</v>
      </c>
      <c r="K28" t="s">
        <v>131</v>
      </c>
      <c r="L28">
        <v>49740</v>
      </c>
      <c r="M28">
        <v>49740</v>
      </c>
      <c r="N28">
        <v>49810</v>
      </c>
      <c r="O28" t="s">
        <v>60</v>
      </c>
      <c r="P28" t="s">
        <v>61</v>
      </c>
      <c r="Q28" t="s">
        <v>62</v>
      </c>
      <c r="R28" t="s">
        <v>60</v>
      </c>
      <c r="S28" t="s">
        <v>51</v>
      </c>
      <c r="T28" t="s">
        <v>62</v>
      </c>
      <c r="U28" t="s">
        <v>103</v>
      </c>
      <c r="V28" t="s">
        <v>103</v>
      </c>
    </row>
    <row r="29" spans="1:22">
      <c r="A29" s="6" t="s">
        <v>56</v>
      </c>
      <c r="B29" t="s">
        <v>57</v>
      </c>
      <c r="C29" t="s">
        <v>50</v>
      </c>
      <c r="D29" t="s">
        <v>58</v>
      </c>
      <c r="E29" t="s">
        <v>59</v>
      </c>
      <c r="F29" t="s">
        <v>132</v>
      </c>
      <c r="G29" s="24">
        <v>44258.248738425929</v>
      </c>
      <c r="H29">
        <v>29838</v>
      </c>
      <c r="I29">
        <v>1</v>
      </c>
      <c r="J29">
        <v>44256.378067129626</v>
      </c>
      <c r="K29" t="s">
        <v>133</v>
      </c>
      <c r="L29">
        <v>49700</v>
      </c>
      <c r="M29">
        <v>49700</v>
      </c>
      <c r="N29">
        <v>49980</v>
      </c>
      <c r="O29" t="s">
        <v>60</v>
      </c>
      <c r="P29" t="s">
        <v>61</v>
      </c>
      <c r="Q29" t="s">
        <v>62</v>
      </c>
      <c r="R29" t="s">
        <v>60</v>
      </c>
      <c r="S29" t="s">
        <v>51</v>
      </c>
      <c r="T29" t="s">
        <v>62</v>
      </c>
      <c r="U29" t="s">
        <v>63</v>
      </c>
      <c r="V29" t="s">
        <v>63</v>
      </c>
    </row>
    <row r="30" spans="1:22">
      <c r="A30" s="6" t="s">
        <v>56</v>
      </c>
      <c r="B30" t="s">
        <v>57</v>
      </c>
      <c r="C30" t="s">
        <v>50</v>
      </c>
      <c r="D30" t="s">
        <v>58</v>
      </c>
      <c r="E30" t="s">
        <v>59</v>
      </c>
      <c r="F30" t="s">
        <v>134</v>
      </c>
      <c r="G30" s="24">
        <v>44258.216006944444</v>
      </c>
      <c r="H30">
        <v>29828</v>
      </c>
      <c r="I30">
        <v>1</v>
      </c>
      <c r="J30">
        <v>44255.830138888887</v>
      </c>
      <c r="K30" t="s">
        <v>135</v>
      </c>
      <c r="L30">
        <v>49140</v>
      </c>
      <c r="M30">
        <v>49140</v>
      </c>
      <c r="N30">
        <v>49410</v>
      </c>
      <c r="O30" t="s">
        <v>60</v>
      </c>
      <c r="P30" t="s">
        <v>61</v>
      </c>
      <c r="Q30" t="s">
        <v>62</v>
      </c>
      <c r="R30" t="s">
        <v>60</v>
      </c>
      <c r="S30" t="s">
        <v>51</v>
      </c>
      <c r="T30" t="s">
        <v>62</v>
      </c>
      <c r="U30" t="s">
        <v>63</v>
      </c>
      <c r="V30" t="s">
        <v>63</v>
      </c>
    </row>
    <row r="31" spans="1:22">
      <c r="A31" s="6" t="s">
        <v>56</v>
      </c>
      <c r="B31" t="s">
        <v>57</v>
      </c>
      <c r="C31" t="s">
        <v>50</v>
      </c>
      <c r="D31" t="s">
        <v>58</v>
      </c>
      <c r="E31" t="s">
        <v>59</v>
      </c>
      <c r="F31" t="s">
        <v>136</v>
      </c>
      <c r="G31" s="24">
        <v>44258.20716435185</v>
      </c>
      <c r="H31">
        <v>29833</v>
      </c>
      <c r="I31">
        <v>1</v>
      </c>
      <c r="J31">
        <v>44255.842083333337</v>
      </c>
      <c r="K31" t="s">
        <v>137</v>
      </c>
      <c r="L31">
        <v>49100</v>
      </c>
      <c r="M31">
        <v>49100</v>
      </c>
      <c r="N31">
        <v>49380</v>
      </c>
      <c r="O31" t="s">
        <v>60</v>
      </c>
      <c r="P31" t="s">
        <v>61</v>
      </c>
      <c r="Q31" t="s">
        <v>62</v>
      </c>
      <c r="R31" t="s">
        <v>60</v>
      </c>
      <c r="S31" t="s">
        <v>51</v>
      </c>
      <c r="T31" t="s">
        <v>62</v>
      </c>
      <c r="U31" t="s">
        <v>63</v>
      </c>
      <c r="V31" t="s">
        <v>63</v>
      </c>
    </row>
    <row r="32" spans="1:22">
      <c r="A32" s="6" t="s">
        <v>56</v>
      </c>
      <c r="B32" t="s">
        <v>57</v>
      </c>
      <c r="C32" t="s">
        <v>50</v>
      </c>
      <c r="D32" t="s">
        <v>58</v>
      </c>
      <c r="E32" t="s">
        <v>59</v>
      </c>
      <c r="F32" t="s">
        <v>138</v>
      </c>
      <c r="G32" s="24">
        <v>44258.198900462965</v>
      </c>
      <c r="H32">
        <v>29841</v>
      </c>
      <c r="I32">
        <v>1</v>
      </c>
      <c r="J32">
        <v>44256.419606481482</v>
      </c>
      <c r="K32" t="s">
        <v>139</v>
      </c>
      <c r="L32">
        <v>49020</v>
      </c>
      <c r="M32">
        <v>49020</v>
      </c>
      <c r="N32">
        <v>49080</v>
      </c>
      <c r="O32" t="s">
        <v>60</v>
      </c>
      <c r="P32" t="s">
        <v>61</v>
      </c>
      <c r="Q32" t="s">
        <v>62</v>
      </c>
      <c r="R32" t="s">
        <v>60</v>
      </c>
      <c r="S32" t="s">
        <v>51</v>
      </c>
      <c r="T32" t="s">
        <v>62</v>
      </c>
      <c r="U32" t="s">
        <v>103</v>
      </c>
      <c r="V32" t="s">
        <v>103</v>
      </c>
    </row>
    <row r="33" spans="1:22">
      <c r="A33" s="6" t="s">
        <v>56</v>
      </c>
      <c r="B33" t="s">
        <v>57</v>
      </c>
      <c r="C33" t="s">
        <v>50</v>
      </c>
      <c r="D33" t="s">
        <v>58</v>
      </c>
      <c r="E33" t="s">
        <v>59</v>
      </c>
      <c r="F33" t="s">
        <v>140</v>
      </c>
      <c r="G33" s="24">
        <v>44258.1877662037</v>
      </c>
      <c r="H33">
        <v>29830</v>
      </c>
      <c r="I33">
        <v>1</v>
      </c>
      <c r="J33">
        <v>44255.835416666669</v>
      </c>
      <c r="K33" t="s">
        <v>141</v>
      </c>
      <c r="L33">
        <v>50440</v>
      </c>
      <c r="M33">
        <v>50440</v>
      </c>
      <c r="N33">
        <v>50740</v>
      </c>
      <c r="O33" t="s">
        <v>60</v>
      </c>
      <c r="P33" t="s">
        <v>61</v>
      </c>
      <c r="Q33" t="s">
        <v>62</v>
      </c>
      <c r="R33" t="s">
        <v>60</v>
      </c>
      <c r="S33" t="s">
        <v>51</v>
      </c>
      <c r="T33" t="s">
        <v>62</v>
      </c>
      <c r="U33" t="s">
        <v>63</v>
      </c>
      <c r="V33" t="s">
        <v>63</v>
      </c>
    </row>
    <row r="34" spans="1:22">
      <c r="A34" s="6" t="s">
        <v>56</v>
      </c>
      <c r="B34" t="s">
        <v>57</v>
      </c>
      <c r="C34" t="s">
        <v>50</v>
      </c>
      <c r="D34" t="s">
        <v>58</v>
      </c>
      <c r="E34" t="s">
        <v>59</v>
      </c>
      <c r="F34" t="s">
        <v>142</v>
      </c>
      <c r="G34" s="24">
        <v>44258.169131944444</v>
      </c>
      <c r="H34">
        <v>29842</v>
      </c>
      <c r="I34">
        <v>1</v>
      </c>
      <c r="J34">
        <v>44256.421331018515</v>
      </c>
      <c r="K34" t="s">
        <v>143</v>
      </c>
      <c r="L34">
        <v>49610</v>
      </c>
      <c r="M34">
        <v>49610</v>
      </c>
      <c r="N34">
        <v>49670</v>
      </c>
      <c r="O34" t="s">
        <v>60</v>
      </c>
      <c r="P34" t="s">
        <v>61</v>
      </c>
      <c r="Q34" t="s">
        <v>62</v>
      </c>
      <c r="R34" t="s">
        <v>60</v>
      </c>
      <c r="S34" t="s">
        <v>51</v>
      </c>
      <c r="T34" t="s">
        <v>62</v>
      </c>
      <c r="U34" t="s">
        <v>103</v>
      </c>
      <c r="V34" t="s">
        <v>103</v>
      </c>
    </row>
    <row r="35" spans="1:22">
      <c r="A35" s="6" t="s">
        <v>56</v>
      </c>
      <c r="B35" t="s">
        <v>57</v>
      </c>
      <c r="C35" t="s">
        <v>50</v>
      </c>
      <c r="D35" t="s">
        <v>58</v>
      </c>
      <c r="E35" t="s">
        <v>59</v>
      </c>
      <c r="F35" t="s">
        <v>144</v>
      </c>
      <c r="G35" s="24">
        <v>44258.162673611114</v>
      </c>
      <c r="H35">
        <v>29827</v>
      </c>
      <c r="I35">
        <v>1</v>
      </c>
      <c r="J35">
        <v>44255.81585648148</v>
      </c>
      <c r="K35" t="s">
        <v>145</v>
      </c>
      <c r="L35">
        <v>50040</v>
      </c>
      <c r="M35">
        <v>50040</v>
      </c>
      <c r="N35">
        <v>50300</v>
      </c>
      <c r="O35" t="s">
        <v>60</v>
      </c>
      <c r="P35" t="s">
        <v>61</v>
      </c>
      <c r="Q35" t="s">
        <v>62</v>
      </c>
      <c r="R35" t="s">
        <v>60</v>
      </c>
      <c r="S35" t="s">
        <v>51</v>
      </c>
      <c r="T35" t="s">
        <v>62</v>
      </c>
      <c r="U35" t="s">
        <v>63</v>
      </c>
      <c r="V35" t="s">
        <v>63</v>
      </c>
    </row>
    <row r="36" spans="1:22">
      <c r="A36" s="6" t="s">
        <v>56</v>
      </c>
      <c r="B36" t="s">
        <v>57</v>
      </c>
      <c r="C36" t="s">
        <v>50</v>
      </c>
      <c r="D36" t="s">
        <v>58</v>
      </c>
      <c r="E36" t="s">
        <v>59</v>
      </c>
      <c r="F36" t="s">
        <v>146</v>
      </c>
      <c r="G36" s="24">
        <v>44258.092361111114</v>
      </c>
      <c r="H36">
        <v>29801</v>
      </c>
      <c r="I36">
        <v>1</v>
      </c>
      <c r="J36">
        <v>44255.660277777781</v>
      </c>
      <c r="K36" t="s">
        <v>147</v>
      </c>
      <c r="L36">
        <v>47360</v>
      </c>
      <c r="M36">
        <v>47360</v>
      </c>
      <c r="N36">
        <v>47600</v>
      </c>
      <c r="O36" t="s">
        <v>60</v>
      </c>
      <c r="P36" t="s">
        <v>61</v>
      </c>
      <c r="Q36" t="s">
        <v>62</v>
      </c>
      <c r="R36" t="s">
        <v>60</v>
      </c>
      <c r="S36" t="s">
        <v>51</v>
      </c>
      <c r="T36" t="s">
        <v>62</v>
      </c>
      <c r="U36" t="s">
        <v>63</v>
      </c>
      <c r="V36" t="s">
        <v>63</v>
      </c>
    </row>
    <row r="37" spans="1:22">
      <c r="A37" s="6" t="s">
        <v>56</v>
      </c>
      <c r="B37" t="s">
        <v>57</v>
      </c>
      <c r="C37" t="s">
        <v>50</v>
      </c>
      <c r="D37" t="s">
        <v>58</v>
      </c>
      <c r="E37" t="s">
        <v>59</v>
      </c>
      <c r="F37" t="s">
        <v>148</v>
      </c>
      <c r="G37" s="24">
        <v>44258.030949074076</v>
      </c>
      <c r="H37">
        <v>29836</v>
      </c>
      <c r="I37">
        <v>1</v>
      </c>
      <c r="J37">
        <v>44255.855694444443</v>
      </c>
      <c r="K37" t="s">
        <v>149</v>
      </c>
      <c r="L37">
        <v>49520</v>
      </c>
      <c r="M37">
        <v>49520</v>
      </c>
      <c r="N37">
        <v>49770</v>
      </c>
      <c r="O37" t="s">
        <v>60</v>
      </c>
      <c r="P37" t="s">
        <v>61</v>
      </c>
      <c r="Q37" t="s">
        <v>62</v>
      </c>
      <c r="R37" t="s">
        <v>60</v>
      </c>
      <c r="S37" t="s">
        <v>51</v>
      </c>
      <c r="T37" t="s">
        <v>62</v>
      </c>
      <c r="U37" t="s">
        <v>63</v>
      </c>
      <c r="V37" t="s">
        <v>63</v>
      </c>
    </row>
    <row r="38" spans="1:22">
      <c r="A38" s="6" t="s">
        <v>56</v>
      </c>
      <c r="B38" t="s">
        <v>57</v>
      </c>
      <c r="C38" t="s">
        <v>50</v>
      </c>
      <c r="D38" t="s">
        <v>58</v>
      </c>
      <c r="E38" t="s">
        <v>59</v>
      </c>
      <c r="F38" t="s">
        <v>150</v>
      </c>
      <c r="G38" s="24">
        <v>44258.010520833333</v>
      </c>
      <c r="H38">
        <v>29802</v>
      </c>
      <c r="I38">
        <v>1</v>
      </c>
      <c r="J38">
        <v>44255.661122685182</v>
      </c>
      <c r="K38" t="s">
        <v>151</v>
      </c>
      <c r="L38">
        <v>50100</v>
      </c>
      <c r="M38">
        <v>50100</v>
      </c>
      <c r="N38">
        <v>50350</v>
      </c>
      <c r="O38" t="s">
        <v>60</v>
      </c>
      <c r="P38" t="s">
        <v>61</v>
      </c>
      <c r="Q38" t="s">
        <v>62</v>
      </c>
      <c r="R38" t="s">
        <v>60</v>
      </c>
      <c r="S38" t="s">
        <v>51</v>
      </c>
      <c r="T38" t="s">
        <v>62</v>
      </c>
      <c r="U38" t="s">
        <v>63</v>
      </c>
      <c r="V38" t="s">
        <v>63</v>
      </c>
    </row>
    <row r="39" spans="1:22">
      <c r="A39" s="6" t="s">
        <v>68</v>
      </c>
      <c r="B39" t="s">
        <v>152</v>
      </c>
      <c r="C39" t="s">
        <v>49</v>
      </c>
      <c r="D39" t="s">
        <v>70</v>
      </c>
      <c r="E39" t="s">
        <v>59</v>
      </c>
      <c r="F39" t="s">
        <v>153</v>
      </c>
      <c r="G39" s="24">
        <v>44258.997256944444</v>
      </c>
      <c r="H39">
        <v>14118</v>
      </c>
      <c r="I39">
        <v>1</v>
      </c>
      <c r="J39">
        <v>44257.73778935185</v>
      </c>
      <c r="K39" t="s">
        <v>154</v>
      </c>
      <c r="L39">
        <v>50540</v>
      </c>
      <c r="M39">
        <v>50540</v>
      </c>
      <c r="N39">
        <v>50520</v>
      </c>
      <c r="O39" t="s">
        <v>155</v>
      </c>
      <c r="P39" t="s">
        <v>49</v>
      </c>
      <c r="Q39" t="s">
        <v>156</v>
      </c>
      <c r="R39" t="s">
        <v>155</v>
      </c>
      <c r="S39" t="s">
        <v>49</v>
      </c>
      <c r="T39" t="s">
        <v>156</v>
      </c>
      <c r="U39" t="s">
        <v>157</v>
      </c>
      <c r="V39" t="s">
        <v>157</v>
      </c>
    </row>
    <row r="40" spans="1:22">
      <c r="A40" s="6" t="s">
        <v>68</v>
      </c>
      <c r="B40" t="s">
        <v>152</v>
      </c>
      <c r="C40" t="s">
        <v>49</v>
      </c>
      <c r="D40" t="s">
        <v>70</v>
      </c>
      <c r="E40" t="s">
        <v>59</v>
      </c>
      <c r="F40" t="s">
        <v>158</v>
      </c>
      <c r="G40" s="24">
        <v>44258.995578703703</v>
      </c>
      <c r="H40">
        <v>113462</v>
      </c>
      <c r="I40">
        <v>10</v>
      </c>
      <c r="J40">
        <v>44257.724664351852</v>
      </c>
      <c r="K40" t="s">
        <v>159</v>
      </c>
      <c r="L40">
        <v>49120</v>
      </c>
      <c r="M40">
        <v>49120</v>
      </c>
      <c r="N40">
        <v>49120</v>
      </c>
      <c r="O40" t="s">
        <v>65</v>
      </c>
      <c r="P40" t="s">
        <v>49</v>
      </c>
      <c r="Q40" t="s">
        <v>66</v>
      </c>
      <c r="R40" t="s">
        <v>65</v>
      </c>
      <c r="S40" t="s">
        <v>49</v>
      </c>
      <c r="T40" t="s">
        <v>66</v>
      </c>
      <c r="U40" t="s">
        <v>160</v>
      </c>
      <c r="V40" t="s">
        <v>161</v>
      </c>
    </row>
    <row r="41" spans="1:22">
      <c r="A41" s="6" t="s">
        <v>68</v>
      </c>
      <c r="B41" t="s">
        <v>152</v>
      </c>
      <c r="C41" t="s">
        <v>49</v>
      </c>
      <c r="D41" t="s">
        <v>70</v>
      </c>
      <c r="E41" t="s">
        <v>59</v>
      </c>
      <c r="F41" t="s">
        <v>162</v>
      </c>
      <c r="G41" s="24">
        <v>44258.993379629632</v>
      </c>
      <c r="H41">
        <v>8178</v>
      </c>
      <c r="I41">
        <v>1</v>
      </c>
      <c r="J41">
        <v>44258.405671296299</v>
      </c>
      <c r="K41" t="s">
        <v>163</v>
      </c>
      <c r="L41">
        <v>50940</v>
      </c>
      <c r="M41">
        <v>50940</v>
      </c>
      <c r="N41">
        <v>50990</v>
      </c>
      <c r="O41" t="s">
        <v>164</v>
      </c>
      <c r="P41" t="s">
        <v>49</v>
      </c>
      <c r="Q41" t="s">
        <v>165</v>
      </c>
      <c r="R41" t="s">
        <v>164</v>
      </c>
      <c r="S41" t="s">
        <v>49</v>
      </c>
      <c r="T41" t="s">
        <v>165</v>
      </c>
      <c r="U41" t="s">
        <v>166</v>
      </c>
      <c r="V41" t="s">
        <v>167</v>
      </c>
    </row>
    <row r="42" spans="1:22">
      <c r="A42" s="6" t="s">
        <v>68</v>
      </c>
      <c r="B42" t="s">
        <v>152</v>
      </c>
      <c r="C42" t="s">
        <v>49</v>
      </c>
      <c r="D42" t="s">
        <v>70</v>
      </c>
      <c r="E42" t="s">
        <v>59</v>
      </c>
      <c r="F42" t="s">
        <v>168</v>
      </c>
      <c r="G42" s="24">
        <v>44258.982141203705</v>
      </c>
      <c r="H42">
        <v>8181</v>
      </c>
      <c r="I42">
        <v>1</v>
      </c>
      <c r="J42">
        <v>44258.436215277776</v>
      </c>
      <c r="K42" t="s">
        <v>169</v>
      </c>
      <c r="L42">
        <v>40480</v>
      </c>
      <c r="M42">
        <v>40480</v>
      </c>
      <c r="N42">
        <v>40480</v>
      </c>
      <c r="O42" t="s">
        <v>164</v>
      </c>
      <c r="P42" t="s">
        <v>49</v>
      </c>
      <c r="Q42" t="s">
        <v>165</v>
      </c>
      <c r="R42" t="s">
        <v>164</v>
      </c>
      <c r="S42" t="s">
        <v>49</v>
      </c>
      <c r="T42" t="s">
        <v>165</v>
      </c>
      <c r="U42" t="s">
        <v>166</v>
      </c>
      <c r="V42" t="s">
        <v>167</v>
      </c>
    </row>
    <row r="43" spans="1:22">
      <c r="A43" s="6" t="s">
        <v>68</v>
      </c>
      <c r="B43" t="s">
        <v>152</v>
      </c>
      <c r="C43" t="s">
        <v>49</v>
      </c>
      <c r="D43" t="s">
        <v>70</v>
      </c>
      <c r="E43" t="s">
        <v>59</v>
      </c>
      <c r="F43" t="s">
        <v>170</v>
      </c>
      <c r="G43" s="24">
        <v>44258.975763888891</v>
      </c>
      <c r="H43">
        <v>14134</v>
      </c>
      <c r="I43">
        <v>1</v>
      </c>
      <c r="J43">
        <v>44258.306990740741</v>
      </c>
      <c r="K43" t="s">
        <v>171</v>
      </c>
      <c r="L43">
        <v>49240</v>
      </c>
      <c r="M43">
        <v>49240</v>
      </c>
      <c r="N43">
        <v>48850</v>
      </c>
      <c r="O43" t="s">
        <v>155</v>
      </c>
      <c r="P43" t="s">
        <v>49</v>
      </c>
      <c r="Q43" t="s">
        <v>156</v>
      </c>
      <c r="R43" t="s">
        <v>155</v>
      </c>
      <c r="S43" t="s">
        <v>49</v>
      </c>
      <c r="T43" t="s">
        <v>156</v>
      </c>
      <c r="U43" t="s">
        <v>157</v>
      </c>
      <c r="V43" t="s">
        <v>157</v>
      </c>
    </row>
    <row r="44" spans="1:22">
      <c r="A44" s="6" t="s">
        <v>68</v>
      </c>
      <c r="B44" t="s">
        <v>152</v>
      </c>
      <c r="C44" t="s">
        <v>49</v>
      </c>
      <c r="D44" t="s">
        <v>70</v>
      </c>
      <c r="E44" t="s">
        <v>59</v>
      </c>
      <c r="F44" t="s">
        <v>172</v>
      </c>
      <c r="G44" s="24">
        <v>44258.960439814815</v>
      </c>
      <c r="H44">
        <v>21493</v>
      </c>
      <c r="I44">
        <v>1</v>
      </c>
      <c r="J44">
        <v>44258.366608796299</v>
      </c>
      <c r="K44" t="s">
        <v>173</v>
      </c>
      <c r="L44">
        <v>31570</v>
      </c>
      <c r="M44">
        <v>31570</v>
      </c>
      <c r="N44">
        <v>31640</v>
      </c>
      <c r="O44" t="s">
        <v>174</v>
      </c>
      <c r="P44" t="s">
        <v>49</v>
      </c>
      <c r="Q44" t="s">
        <v>175</v>
      </c>
      <c r="R44" t="s">
        <v>174</v>
      </c>
      <c r="S44" t="s">
        <v>49</v>
      </c>
      <c r="T44" t="s">
        <v>175</v>
      </c>
      <c r="U44" t="s">
        <v>176</v>
      </c>
      <c r="V44" t="s">
        <v>176</v>
      </c>
    </row>
    <row r="45" spans="1:22">
      <c r="A45" s="6" t="s">
        <v>68</v>
      </c>
      <c r="B45" t="s">
        <v>152</v>
      </c>
      <c r="C45" t="s">
        <v>49</v>
      </c>
      <c r="D45" t="s">
        <v>70</v>
      </c>
      <c r="E45" t="s">
        <v>59</v>
      </c>
      <c r="F45" t="s">
        <v>177</v>
      </c>
      <c r="G45" s="24">
        <v>44258.948136574072</v>
      </c>
      <c r="H45">
        <v>113431</v>
      </c>
      <c r="I45">
        <v>10</v>
      </c>
      <c r="J45">
        <v>44257.646469907406</v>
      </c>
      <c r="K45" t="s">
        <v>178</v>
      </c>
      <c r="L45">
        <v>47580</v>
      </c>
      <c r="M45">
        <v>47580</v>
      </c>
      <c r="N45">
        <v>47650</v>
      </c>
      <c r="O45" t="s">
        <v>65</v>
      </c>
      <c r="P45" t="s">
        <v>49</v>
      </c>
      <c r="Q45" t="s">
        <v>66</v>
      </c>
      <c r="R45" t="s">
        <v>65</v>
      </c>
      <c r="S45" t="s">
        <v>49</v>
      </c>
      <c r="T45" t="s">
        <v>66</v>
      </c>
      <c r="U45" t="s">
        <v>160</v>
      </c>
      <c r="V45" t="s">
        <v>161</v>
      </c>
    </row>
    <row r="46" spans="1:22">
      <c r="A46" s="6" t="s">
        <v>68</v>
      </c>
      <c r="B46" t="s">
        <v>152</v>
      </c>
      <c r="C46" t="s">
        <v>49</v>
      </c>
      <c r="D46" t="s">
        <v>70</v>
      </c>
      <c r="E46" t="s">
        <v>59</v>
      </c>
      <c r="F46" t="s">
        <v>179</v>
      </c>
      <c r="G46" s="24">
        <v>44258.928379629629</v>
      </c>
      <c r="H46">
        <v>27213</v>
      </c>
      <c r="I46">
        <v>1</v>
      </c>
      <c r="J46">
        <v>44257.768587962964</v>
      </c>
      <c r="K46" t="s">
        <v>180</v>
      </c>
      <c r="L46">
        <v>48900</v>
      </c>
      <c r="M46">
        <v>48900</v>
      </c>
      <c r="N46">
        <v>48820</v>
      </c>
      <c r="O46" t="s">
        <v>181</v>
      </c>
      <c r="P46" t="s">
        <v>49</v>
      </c>
      <c r="Q46" t="s">
        <v>182</v>
      </c>
      <c r="R46" t="s">
        <v>181</v>
      </c>
      <c r="S46" t="s">
        <v>49</v>
      </c>
      <c r="T46" t="s">
        <v>182</v>
      </c>
      <c r="U46" t="s">
        <v>183</v>
      </c>
      <c r="V46" t="s">
        <v>78</v>
      </c>
    </row>
    <row r="47" spans="1:22">
      <c r="A47" s="6" t="s">
        <v>68</v>
      </c>
      <c r="B47" t="s">
        <v>152</v>
      </c>
      <c r="C47" t="s">
        <v>49</v>
      </c>
      <c r="D47" t="s">
        <v>70</v>
      </c>
      <c r="E47" t="s">
        <v>59</v>
      </c>
      <c r="F47" t="s">
        <v>184</v>
      </c>
      <c r="G47" s="24">
        <v>44258.91715277778</v>
      </c>
      <c r="H47">
        <v>27203</v>
      </c>
      <c r="I47">
        <v>1</v>
      </c>
      <c r="J47">
        <v>44257.684583333335</v>
      </c>
      <c r="K47" t="s">
        <v>185</v>
      </c>
      <c r="L47">
        <v>50220</v>
      </c>
      <c r="M47">
        <v>50220</v>
      </c>
      <c r="N47">
        <v>50100</v>
      </c>
      <c r="O47" t="s">
        <v>181</v>
      </c>
      <c r="P47" t="s">
        <v>49</v>
      </c>
      <c r="Q47" t="s">
        <v>182</v>
      </c>
      <c r="R47" t="s">
        <v>181</v>
      </c>
      <c r="S47" t="s">
        <v>49</v>
      </c>
      <c r="T47" t="s">
        <v>182</v>
      </c>
      <c r="U47" t="s">
        <v>183</v>
      </c>
      <c r="V47" t="s">
        <v>78</v>
      </c>
    </row>
    <row r="48" spans="1:22">
      <c r="A48" s="6" t="s">
        <v>68</v>
      </c>
      <c r="B48" t="s">
        <v>152</v>
      </c>
      <c r="C48" t="s">
        <v>49</v>
      </c>
      <c r="D48" t="s">
        <v>70</v>
      </c>
      <c r="E48" t="s">
        <v>59</v>
      </c>
      <c r="F48" t="s">
        <v>186</v>
      </c>
      <c r="G48" s="24">
        <v>44258.915381944447</v>
      </c>
      <c r="H48">
        <v>21489</v>
      </c>
      <c r="I48">
        <v>1</v>
      </c>
      <c r="J48">
        <v>44257.712395833332</v>
      </c>
      <c r="K48" t="s">
        <v>187</v>
      </c>
      <c r="L48">
        <v>33230</v>
      </c>
      <c r="M48">
        <v>33230</v>
      </c>
      <c r="N48">
        <v>33400</v>
      </c>
      <c r="O48" t="s">
        <v>174</v>
      </c>
      <c r="P48" t="s">
        <v>49</v>
      </c>
      <c r="Q48" t="s">
        <v>175</v>
      </c>
      <c r="R48" t="s">
        <v>174</v>
      </c>
      <c r="S48" t="s">
        <v>49</v>
      </c>
      <c r="T48" t="s">
        <v>175</v>
      </c>
      <c r="U48" t="s">
        <v>176</v>
      </c>
      <c r="V48" t="s">
        <v>176</v>
      </c>
    </row>
    <row r="49" spans="1:22">
      <c r="A49" s="6" t="s">
        <v>68</v>
      </c>
      <c r="B49" t="s">
        <v>152</v>
      </c>
      <c r="C49" t="s">
        <v>49</v>
      </c>
      <c r="D49" t="s">
        <v>70</v>
      </c>
      <c r="E49" t="s">
        <v>59</v>
      </c>
      <c r="F49" t="s">
        <v>188</v>
      </c>
      <c r="G49" s="24">
        <v>44258.902789351851</v>
      </c>
      <c r="H49">
        <v>27209</v>
      </c>
      <c r="I49">
        <v>1</v>
      </c>
      <c r="J49">
        <v>44257.719351851854</v>
      </c>
      <c r="K49" t="s">
        <v>189</v>
      </c>
      <c r="L49">
        <v>49840</v>
      </c>
      <c r="M49">
        <v>49840</v>
      </c>
      <c r="N49">
        <v>49880</v>
      </c>
      <c r="O49" t="s">
        <v>181</v>
      </c>
      <c r="P49" t="s">
        <v>49</v>
      </c>
      <c r="Q49" t="s">
        <v>182</v>
      </c>
      <c r="R49" t="s">
        <v>181</v>
      </c>
      <c r="S49" t="s">
        <v>49</v>
      </c>
      <c r="T49" t="s">
        <v>182</v>
      </c>
      <c r="U49" t="s">
        <v>77</v>
      </c>
      <c r="V49" t="s">
        <v>78</v>
      </c>
    </row>
    <row r="50" spans="1:22">
      <c r="A50" s="6" t="s">
        <v>68</v>
      </c>
      <c r="B50" t="s">
        <v>152</v>
      </c>
      <c r="C50" t="s">
        <v>49</v>
      </c>
      <c r="D50" t="s">
        <v>70</v>
      </c>
      <c r="E50" t="s">
        <v>59</v>
      </c>
      <c r="F50" t="s">
        <v>190</v>
      </c>
      <c r="G50" s="24">
        <v>44258.898842592593</v>
      </c>
      <c r="H50">
        <v>113519</v>
      </c>
      <c r="I50">
        <v>10</v>
      </c>
      <c r="J50">
        <v>44258.482615740744</v>
      </c>
      <c r="K50" t="s">
        <v>191</v>
      </c>
      <c r="L50">
        <v>37500</v>
      </c>
      <c r="M50">
        <v>37500</v>
      </c>
      <c r="N50">
        <v>37360</v>
      </c>
      <c r="O50" t="s">
        <v>65</v>
      </c>
      <c r="P50" t="s">
        <v>49</v>
      </c>
      <c r="Q50" t="s">
        <v>66</v>
      </c>
      <c r="R50" t="s">
        <v>65</v>
      </c>
      <c r="S50" t="s">
        <v>49</v>
      </c>
      <c r="T50" t="s">
        <v>66</v>
      </c>
      <c r="U50" t="s">
        <v>192</v>
      </c>
      <c r="V50" t="s">
        <v>167</v>
      </c>
    </row>
    <row r="51" spans="1:22">
      <c r="A51" s="6" t="s">
        <v>68</v>
      </c>
      <c r="B51" t="s">
        <v>152</v>
      </c>
      <c r="C51" t="s">
        <v>49</v>
      </c>
      <c r="D51" t="s">
        <v>70</v>
      </c>
      <c r="E51" t="s">
        <v>59</v>
      </c>
      <c r="F51" t="s">
        <v>193</v>
      </c>
      <c r="G51" s="24">
        <v>44258.89702546296</v>
      </c>
      <c r="H51">
        <v>14123</v>
      </c>
      <c r="I51">
        <v>1</v>
      </c>
      <c r="J51">
        <v>44257.76289351852</v>
      </c>
      <c r="K51" t="s">
        <v>194</v>
      </c>
      <c r="L51">
        <v>49130</v>
      </c>
      <c r="M51">
        <v>49130</v>
      </c>
      <c r="N51">
        <v>48920</v>
      </c>
      <c r="O51" t="s">
        <v>155</v>
      </c>
      <c r="P51" t="s">
        <v>49</v>
      </c>
      <c r="Q51" t="s">
        <v>156</v>
      </c>
      <c r="R51" t="s">
        <v>155</v>
      </c>
      <c r="S51" t="s">
        <v>49</v>
      </c>
      <c r="T51" t="s">
        <v>156</v>
      </c>
      <c r="U51" t="s">
        <v>157</v>
      </c>
      <c r="V51" t="s">
        <v>157</v>
      </c>
    </row>
    <row r="52" spans="1:22">
      <c r="A52" s="6" t="s">
        <v>68</v>
      </c>
      <c r="B52" t="s">
        <v>152</v>
      </c>
      <c r="C52" t="s">
        <v>49</v>
      </c>
      <c r="D52" t="s">
        <v>70</v>
      </c>
      <c r="E52" t="s">
        <v>59</v>
      </c>
      <c r="F52" t="s">
        <v>195</v>
      </c>
      <c r="G52" s="24">
        <v>44258.889687499999</v>
      </c>
      <c r="H52">
        <v>14115</v>
      </c>
      <c r="I52">
        <v>1</v>
      </c>
      <c r="J52">
        <v>44257.704247685186</v>
      </c>
      <c r="K52" t="s">
        <v>196</v>
      </c>
      <c r="L52">
        <v>51260</v>
      </c>
      <c r="M52">
        <v>51260</v>
      </c>
      <c r="N52">
        <v>51250</v>
      </c>
      <c r="O52" t="s">
        <v>155</v>
      </c>
      <c r="P52" t="s">
        <v>49</v>
      </c>
      <c r="Q52" t="s">
        <v>156</v>
      </c>
      <c r="R52" t="s">
        <v>155</v>
      </c>
      <c r="S52" t="s">
        <v>49</v>
      </c>
      <c r="T52" t="s">
        <v>156</v>
      </c>
      <c r="U52" t="s">
        <v>157</v>
      </c>
      <c r="V52" t="s">
        <v>157</v>
      </c>
    </row>
    <row r="53" spans="1:22">
      <c r="A53" s="6" t="s">
        <v>68</v>
      </c>
      <c r="B53" t="s">
        <v>152</v>
      </c>
      <c r="C53" t="s">
        <v>49</v>
      </c>
      <c r="D53" t="s">
        <v>70</v>
      </c>
      <c r="E53" t="s">
        <v>59</v>
      </c>
      <c r="F53" t="s">
        <v>197</v>
      </c>
      <c r="G53" s="24">
        <v>44258.880937499998</v>
      </c>
      <c r="H53">
        <v>27212</v>
      </c>
      <c r="I53">
        <v>1</v>
      </c>
      <c r="J53">
        <v>44257.736018518517</v>
      </c>
      <c r="K53" t="s">
        <v>198</v>
      </c>
      <c r="L53">
        <v>37820</v>
      </c>
      <c r="M53">
        <v>37820</v>
      </c>
      <c r="N53">
        <v>37730</v>
      </c>
      <c r="O53" t="s">
        <v>181</v>
      </c>
      <c r="P53" t="s">
        <v>49</v>
      </c>
      <c r="Q53" t="s">
        <v>182</v>
      </c>
      <c r="R53" t="s">
        <v>181</v>
      </c>
      <c r="S53" t="s">
        <v>49</v>
      </c>
      <c r="T53" t="s">
        <v>182</v>
      </c>
      <c r="U53" t="s">
        <v>183</v>
      </c>
      <c r="V53" t="s">
        <v>78</v>
      </c>
    </row>
    <row r="54" spans="1:22">
      <c r="A54" s="6" t="s">
        <v>68</v>
      </c>
      <c r="B54" t="s">
        <v>152</v>
      </c>
      <c r="C54" t="s">
        <v>49</v>
      </c>
      <c r="D54" t="s">
        <v>70</v>
      </c>
      <c r="E54" t="s">
        <v>59</v>
      </c>
      <c r="F54" t="s">
        <v>199</v>
      </c>
      <c r="G54" s="24">
        <v>44258.872002314813</v>
      </c>
      <c r="H54">
        <v>27172</v>
      </c>
      <c r="I54">
        <v>1</v>
      </c>
      <c r="J54">
        <v>44257.457708333335</v>
      </c>
      <c r="K54" t="s">
        <v>200</v>
      </c>
      <c r="L54">
        <v>46920</v>
      </c>
      <c r="M54">
        <v>46920</v>
      </c>
      <c r="N54">
        <v>46700</v>
      </c>
      <c r="O54" t="s">
        <v>181</v>
      </c>
      <c r="P54" t="s">
        <v>49</v>
      </c>
      <c r="Q54" t="s">
        <v>182</v>
      </c>
      <c r="R54" t="s">
        <v>181</v>
      </c>
      <c r="S54" t="s">
        <v>49</v>
      </c>
      <c r="T54" t="s">
        <v>182</v>
      </c>
      <c r="U54" t="s">
        <v>77</v>
      </c>
      <c r="V54" t="s">
        <v>78</v>
      </c>
    </row>
    <row r="55" spans="1:22">
      <c r="A55" s="6" t="s">
        <v>68</v>
      </c>
      <c r="B55" t="s">
        <v>152</v>
      </c>
      <c r="C55" t="s">
        <v>49</v>
      </c>
      <c r="D55" t="s">
        <v>70</v>
      </c>
      <c r="E55" t="s">
        <v>59</v>
      </c>
      <c r="F55" t="s">
        <v>201</v>
      </c>
      <c r="G55" s="24">
        <v>44258.863437499997</v>
      </c>
      <c r="H55">
        <v>27198</v>
      </c>
      <c r="I55">
        <v>1</v>
      </c>
      <c r="J55">
        <v>44257.672673611109</v>
      </c>
      <c r="K55" t="s">
        <v>202</v>
      </c>
      <c r="L55">
        <v>30800</v>
      </c>
      <c r="M55">
        <v>30800</v>
      </c>
      <c r="N55">
        <v>30700</v>
      </c>
      <c r="O55" t="s">
        <v>181</v>
      </c>
      <c r="P55" t="s">
        <v>49</v>
      </c>
      <c r="Q55" t="s">
        <v>182</v>
      </c>
      <c r="R55" t="s">
        <v>181</v>
      </c>
      <c r="S55" t="s">
        <v>49</v>
      </c>
      <c r="T55" t="s">
        <v>182</v>
      </c>
      <c r="U55" t="s">
        <v>183</v>
      </c>
      <c r="V55" t="s">
        <v>78</v>
      </c>
    </row>
    <row r="56" spans="1:22">
      <c r="A56" s="6" t="s">
        <v>68</v>
      </c>
      <c r="B56" t="s">
        <v>152</v>
      </c>
      <c r="C56" t="s">
        <v>49</v>
      </c>
      <c r="D56" t="s">
        <v>70</v>
      </c>
      <c r="E56" t="s">
        <v>59</v>
      </c>
      <c r="F56" t="s">
        <v>203</v>
      </c>
      <c r="G56" s="24">
        <v>44258.851909722223</v>
      </c>
      <c r="H56">
        <v>27197</v>
      </c>
      <c r="I56">
        <v>1</v>
      </c>
      <c r="J56">
        <v>44257.670671296299</v>
      </c>
      <c r="K56" t="s">
        <v>204</v>
      </c>
      <c r="L56">
        <v>35140</v>
      </c>
      <c r="M56">
        <v>35140</v>
      </c>
      <c r="N56">
        <v>35070</v>
      </c>
      <c r="O56" t="s">
        <v>181</v>
      </c>
      <c r="P56" t="s">
        <v>49</v>
      </c>
      <c r="Q56" t="s">
        <v>182</v>
      </c>
      <c r="R56" t="s">
        <v>181</v>
      </c>
      <c r="S56" t="s">
        <v>49</v>
      </c>
      <c r="T56" t="s">
        <v>182</v>
      </c>
      <c r="U56" t="s">
        <v>183</v>
      </c>
      <c r="V56" t="s">
        <v>78</v>
      </c>
    </row>
    <row r="57" spans="1:22">
      <c r="A57" s="6" t="s">
        <v>68</v>
      </c>
      <c r="B57" t="s">
        <v>152</v>
      </c>
      <c r="C57" t="s">
        <v>49</v>
      </c>
      <c r="D57" t="s">
        <v>70</v>
      </c>
      <c r="E57" t="s">
        <v>59</v>
      </c>
      <c r="F57" t="s">
        <v>205</v>
      </c>
      <c r="G57" s="24">
        <v>44258.851666666669</v>
      </c>
      <c r="H57">
        <v>27196</v>
      </c>
      <c r="I57">
        <v>1</v>
      </c>
      <c r="J57">
        <v>44257.642939814818</v>
      </c>
      <c r="K57" t="s">
        <v>206</v>
      </c>
      <c r="L57">
        <v>30740</v>
      </c>
      <c r="M57">
        <v>30740</v>
      </c>
      <c r="N57">
        <v>30640</v>
      </c>
      <c r="O57" t="s">
        <v>181</v>
      </c>
      <c r="P57" t="s">
        <v>49</v>
      </c>
      <c r="Q57" t="s">
        <v>182</v>
      </c>
      <c r="R57" t="s">
        <v>181</v>
      </c>
      <c r="S57" t="s">
        <v>49</v>
      </c>
      <c r="T57" t="s">
        <v>182</v>
      </c>
      <c r="U57" t="s">
        <v>183</v>
      </c>
      <c r="V57" t="s">
        <v>78</v>
      </c>
    </row>
    <row r="58" spans="1:22">
      <c r="A58" s="6" t="s">
        <v>68</v>
      </c>
      <c r="B58" t="s">
        <v>152</v>
      </c>
      <c r="C58" t="s">
        <v>49</v>
      </c>
      <c r="D58" t="s">
        <v>70</v>
      </c>
      <c r="E58" t="s">
        <v>59</v>
      </c>
      <c r="F58" t="s">
        <v>207</v>
      </c>
      <c r="G58" s="24">
        <v>44258.837847222225</v>
      </c>
      <c r="H58">
        <v>21486</v>
      </c>
      <c r="I58">
        <v>1</v>
      </c>
      <c r="J58">
        <v>44257.674317129633</v>
      </c>
      <c r="K58" t="s">
        <v>208</v>
      </c>
      <c r="L58">
        <v>50340</v>
      </c>
      <c r="M58">
        <v>50340</v>
      </c>
      <c r="N58">
        <v>50360</v>
      </c>
      <c r="O58" t="s">
        <v>174</v>
      </c>
      <c r="P58" t="s">
        <v>49</v>
      </c>
      <c r="Q58" t="s">
        <v>175</v>
      </c>
      <c r="R58" t="s">
        <v>174</v>
      </c>
      <c r="S58" t="s">
        <v>49</v>
      </c>
      <c r="T58" t="s">
        <v>175</v>
      </c>
      <c r="U58" t="s">
        <v>209</v>
      </c>
      <c r="V58" t="s">
        <v>210</v>
      </c>
    </row>
    <row r="59" spans="1:22">
      <c r="A59" s="6" t="s">
        <v>68</v>
      </c>
      <c r="B59" t="s">
        <v>152</v>
      </c>
      <c r="C59" t="s">
        <v>49</v>
      </c>
      <c r="D59" t="s">
        <v>70</v>
      </c>
      <c r="E59" t="s">
        <v>59</v>
      </c>
      <c r="F59" t="s">
        <v>211</v>
      </c>
      <c r="G59" s="24">
        <v>44258.799930555557</v>
      </c>
      <c r="H59">
        <v>14098</v>
      </c>
      <c r="I59">
        <v>1</v>
      </c>
      <c r="J59">
        <v>44257.534143518518</v>
      </c>
      <c r="K59" t="s">
        <v>212</v>
      </c>
      <c r="L59">
        <v>48340</v>
      </c>
      <c r="M59">
        <v>48340</v>
      </c>
      <c r="N59">
        <v>48270</v>
      </c>
      <c r="O59" t="s">
        <v>155</v>
      </c>
      <c r="P59" t="s">
        <v>49</v>
      </c>
      <c r="Q59" t="s">
        <v>156</v>
      </c>
      <c r="R59" t="s">
        <v>155</v>
      </c>
      <c r="S59" t="s">
        <v>49</v>
      </c>
      <c r="T59" t="s">
        <v>156</v>
      </c>
      <c r="U59" t="s">
        <v>157</v>
      </c>
      <c r="V59" t="s">
        <v>157</v>
      </c>
    </row>
    <row r="60" spans="1:22">
      <c r="A60" s="6" t="s">
        <v>68</v>
      </c>
      <c r="B60" t="s">
        <v>152</v>
      </c>
      <c r="C60" t="s">
        <v>49</v>
      </c>
      <c r="D60" t="s">
        <v>70</v>
      </c>
      <c r="E60" t="s">
        <v>59</v>
      </c>
      <c r="F60" t="s">
        <v>213</v>
      </c>
      <c r="G60" s="24">
        <v>44258.796585648146</v>
      </c>
      <c r="H60">
        <v>14117</v>
      </c>
      <c r="I60">
        <v>1</v>
      </c>
      <c r="J60">
        <v>44257.727106481485</v>
      </c>
      <c r="K60" t="s">
        <v>214</v>
      </c>
      <c r="L60">
        <v>50700</v>
      </c>
      <c r="M60">
        <v>50700</v>
      </c>
      <c r="N60">
        <v>50630</v>
      </c>
      <c r="O60" t="s">
        <v>155</v>
      </c>
      <c r="P60" t="s">
        <v>49</v>
      </c>
      <c r="Q60" t="s">
        <v>156</v>
      </c>
      <c r="R60" t="s">
        <v>155</v>
      </c>
      <c r="S60" t="s">
        <v>49</v>
      </c>
      <c r="T60" t="s">
        <v>156</v>
      </c>
      <c r="U60" t="s">
        <v>157</v>
      </c>
      <c r="V60" t="s">
        <v>157</v>
      </c>
    </row>
    <row r="61" spans="1:22">
      <c r="A61" s="6" t="s">
        <v>68</v>
      </c>
      <c r="B61" t="s">
        <v>152</v>
      </c>
      <c r="C61" t="s">
        <v>49</v>
      </c>
      <c r="D61" t="s">
        <v>70</v>
      </c>
      <c r="E61" t="s">
        <v>59</v>
      </c>
      <c r="F61" t="s">
        <v>215</v>
      </c>
      <c r="G61" s="24">
        <v>44258.795613425929</v>
      </c>
      <c r="H61">
        <v>27182</v>
      </c>
      <c r="I61">
        <v>1</v>
      </c>
      <c r="J61">
        <v>44257.518692129626</v>
      </c>
      <c r="K61" t="s">
        <v>216</v>
      </c>
      <c r="L61">
        <v>48380</v>
      </c>
      <c r="M61">
        <v>48380</v>
      </c>
      <c r="N61">
        <v>48050</v>
      </c>
      <c r="O61" t="s">
        <v>181</v>
      </c>
      <c r="P61" t="s">
        <v>49</v>
      </c>
      <c r="Q61" t="s">
        <v>182</v>
      </c>
      <c r="R61" t="s">
        <v>181</v>
      </c>
      <c r="S61" t="s">
        <v>49</v>
      </c>
      <c r="T61" t="s">
        <v>182</v>
      </c>
      <c r="U61" t="s">
        <v>77</v>
      </c>
      <c r="V61" t="s">
        <v>78</v>
      </c>
    </row>
    <row r="62" spans="1:22">
      <c r="A62" s="6" t="s">
        <v>68</v>
      </c>
      <c r="B62" t="s">
        <v>152</v>
      </c>
      <c r="C62" t="s">
        <v>49</v>
      </c>
      <c r="D62" t="s">
        <v>70</v>
      </c>
      <c r="E62" t="s">
        <v>59</v>
      </c>
      <c r="F62" t="s">
        <v>217</v>
      </c>
      <c r="G62" s="24">
        <v>44258.794224537036</v>
      </c>
      <c r="H62">
        <v>27176</v>
      </c>
      <c r="I62">
        <v>1</v>
      </c>
      <c r="J62">
        <v>44257.490555555552</v>
      </c>
      <c r="K62" t="s">
        <v>218</v>
      </c>
      <c r="L62">
        <v>48380</v>
      </c>
      <c r="M62">
        <v>48380</v>
      </c>
      <c r="N62">
        <v>47880</v>
      </c>
      <c r="O62" t="s">
        <v>181</v>
      </c>
      <c r="P62" t="s">
        <v>49</v>
      </c>
      <c r="Q62" t="s">
        <v>182</v>
      </c>
      <c r="R62" t="s">
        <v>181</v>
      </c>
      <c r="S62" t="s">
        <v>49</v>
      </c>
      <c r="T62" t="s">
        <v>182</v>
      </c>
      <c r="U62" t="s">
        <v>77</v>
      </c>
      <c r="V62" t="s">
        <v>78</v>
      </c>
    </row>
    <row r="63" spans="1:22">
      <c r="A63" s="6" t="s">
        <v>68</v>
      </c>
      <c r="B63" t="s">
        <v>152</v>
      </c>
      <c r="C63" t="s">
        <v>49</v>
      </c>
      <c r="D63" t="s">
        <v>70</v>
      </c>
      <c r="E63" t="s">
        <v>59</v>
      </c>
      <c r="F63" t="s">
        <v>219</v>
      </c>
      <c r="G63" s="24">
        <v>44258.787905092591</v>
      </c>
      <c r="H63">
        <v>27192</v>
      </c>
      <c r="I63">
        <v>1</v>
      </c>
      <c r="J63">
        <v>44257.614293981482</v>
      </c>
      <c r="K63" t="s">
        <v>220</v>
      </c>
      <c r="L63">
        <v>48800</v>
      </c>
      <c r="M63">
        <v>48800</v>
      </c>
      <c r="N63">
        <v>48590</v>
      </c>
      <c r="O63" t="s">
        <v>181</v>
      </c>
      <c r="P63" t="s">
        <v>49</v>
      </c>
      <c r="Q63" t="s">
        <v>182</v>
      </c>
      <c r="R63" t="s">
        <v>181</v>
      </c>
      <c r="S63" t="s">
        <v>49</v>
      </c>
      <c r="T63" t="s">
        <v>182</v>
      </c>
      <c r="U63" t="s">
        <v>183</v>
      </c>
      <c r="V63" t="s">
        <v>78</v>
      </c>
    </row>
    <row r="64" spans="1:22">
      <c r="A64" s="6" t="s">
        <v>68</v>
      </c>
      <c r="B64" t="s">
        <v>152</v>
      </c>
      <c r="C64" t="s">
        <v>49</v>
      </c>
      <c r="D64" t="s">
        <v>70</v>
      </c>
      <c r="E64" t="s">
        <v>59</v>
      </c>
      <c r="F64" t="s">
        <v>221</v>
      </c>
      <c r="G64" s="24">
        <v>44258.757800925923</v>
      </c>
      <c r="H64">
        <v>27195</v>
      </c>
      <c r="I64">
        <v>1</v>
      </c>
      <c r="J64">
        <v>44257.642222222225</v>
      </c>
      <c r="K64" t="s">
        <v>222</v>
      </c>
      <c r="L64">
        <v>50140</v>
      </c>
      <c r="M64">
        <v>50140</v>
      </c>
      <c r="N64">
        <v>50060</v>
      </c>
      <c r="O64" t="s">
        <v>181</v>
      </c>
      <c r="P64" t="s">
        <v>49</v>
      </c>
      <c r="Q64" t="s">
        <v>182</v>
      </c>
      <c r="R64" t="s">
        <v>181</v>
      </c>
      <c r="S64" t="s">
        <v>49</v>
      </c>
      <c r="T64" t="s">
        <v>182</v>
      </c>
      <c r="U64" t="s">
        <v>183</v>
      </c>
      <c r="V64" t="s">
        <v>78</v>
      </c>
    </row>
    <row r="65" spans="1:22">
      <c r="A65" s="6" t="s">
        <v>68</v>
      </c>
      <c r="B65" t="s">
        <v>152</v>
      </c>
      <c r="C65" t="s">
        <v>49</v>
      </c>
      <c r="D65" t="s">
        <v>70</v>
      </c>
      <c r="E65" t="s">
        <v>59</v>
      </c>
      <c r="F65" t="s">
        <v>223</v>
      </c>
      <c r="G65" s="24">
        <v>44258.707280092596</v>
      </c>
      <c r="H65">
        <v>14108</v>
      </c>
      <c r="I65">
        <v>1</v>
      </c>
      <c r="J65">
        <v>44257.631574074076</v>
      </c>
      <c r="K65" t="s">
        <v>224</v>
      </c>
      <c r="L65">
        <v>49240</v>
      </c>
      <c r="M65">
        <v>49240</v>
      </c>
      <c r="N65">
        <v>48960</v>
      </c>
      <c r="O65" t="s">
        <v>155</v>
      </c>
      <c r="P65" t="s">
        <v>49</v>
      </c>
      <c r="Q65" t="s">
        <v>156</v>
      </c>
      <c r="R65" t="s">
        <v>155</v>
      </c>
      <c r="S65" t="s">
        <v>49</v>
      </c>
      <c r="T65" t="s">
        <v>156</v>
      </c>
      <c r="U65" t="s">
        <v>73</v>
      </c>
      <c r="V65" t="s">
        <v>74</v>
      </c>
    </row>
    <row r="66" spans="1:22">
      <c r="A66" s="6" t="s">
        <v>68</v>
      </c>
      <c r="B66" t="s">
        <v>152</v>
      </c>
      <c r="C66" t="s">
        <v>49</v>
      </c>
      <c r="D66" t="s">
        <v>70</v>
      </c>
      <c r="E66" t="s">
        <v>59</v>
      </c>
      <c r="F66" t="s">
        <v>225</v>
      </c>
      <c r="G66" s="24">
        <v>44258.690763888888</v>
      </c>
      <c r="H66">
        <v>27201</v>
      </c>
      <c r="I66">
        <v>1</v>
      </c>
      <c r="J66">
        <v>44257.677812499998</v>
      </c>
      <c r="K66" t="s">
        <v>226</v>
      </c>
      <c r="L66">
        <v>36840</v>
      </c>
      <c r="M66">
        <v>36840</v>
      </c>
      <c r="N66">
        <v>36800</v>
      </c>
      <c r="O66" t="s">
        <v>181</v>
      </c>
      <c r="P66" t="s">
        <v>49</v>
      </c>
      <c r="Q66" t="s">
        <v>182</v>
      </c>
      <c r="R66" t="s">
        <v>181</v>
      </c>
      <c r="S66" t="s">
        <v>49</v>
      </c>
      <c r="T66" t="s">
        <v>182</v>
      </c>
      <c r="U66" t="s">
        <v>183</v>
      </c>
      <c r="V66" t="s">
        <v>78</v>
      </c>
    </row>
    <row r="67" spans="1:22">
      <c r="A67" s="6" t="s">
        <v>68</v>
      </c>
      <c r="B67" t="s">
        <v>152</v>
      </c>
      <c r="C67" t="s">
        <v>49</v>
      </c>
      <c r="D67" t="s">
        <v>70</v>
      </c>
      <c r="E67" t="s">
        <v>59</v>
      </c>
      <c r="F67" t="s">
        <v>227</v>
      </c>
      <c r="G67" s="24">
        <v>44258.689710648148</v>
      </c>
      <c r="H67">
        <v>27202</v>
      </c>
      <c r="I67">
        <v>1</v>
      </c>
      <c r="J67">
        <v>44257.68136574074</v>
      </c>
      <c r="K67" t="s">
        <v>228</v>
      </c>
      <c r="L67">
        <v>37380</v>
      </c>
      <c r="M67">
        <v>37380</v>
      </c>
      <c r="N67">
        <v>37250</v>
      </c>
      <c r="O67" t="s">
        <v>181</v>
      </c>
      <c r="P67" t="s">
        <v>49</v>
      </c>
      <c r="Q67" t="s">
        <v>182</v>
      </c>
      <c r="R67" t="s">
        <v>181</v>
      </c>
      <c r="S67" t="s">
        <v>49</v>
      </c>
      <c r="T67" t="s">
        <v>182</v>
      </c>
      <c r="U67" t="s">
        <v>183</v>
      </c>
      <c r="V67" t="s">
        <v>78</v>
      </c>
    </row>
    <row r="68" spans="1:22">
      <c r="A68" s="6" t="s">
        <v>68</v>
      </c>
      <c r="B68" t="s">
        <v>152</v>
      </c>
      <c r="C68" t="s">
        <v>49</v>
      </c>
      <c r="D68" t="s">
        <v>70</v>
      </c>
      <c r="E68" t="s">
        <v>59</v>
      </c>
      <c r="F68" t="s">
        <v>229</v>
      </c>
      <c r="G68" s="24">
        <v>44258.686168981483</v>
      </c>
      <c r="H68">
        <v>27204</v>
      </c>
      <c r="I68">
        <v>1</v>
      </c>
      <c r="J68">
        <v>44257.697430555556</v>
      </c>
      <c r="K68" t="s">
        <v>230</v>
      </c>
      <c r="L68">
        <v>38120</v>
      </c>
      <c r="M68">
        <v>38120</v>
      </c>
      <c r="N68">
        <v>38040</v>
      </c>
      <c r="O68" t="s">
        <v>181</v>
      </c>
      <c r="P68" t="s">
        <v>49</v>
      </c>
      <c r="Q68" t="s">
        <v>182</v>
      </c>
      <c r="R68" t="s">
        <v>181</v>
      </c>
      <c r="S68" t="s">
        <v>49</v>
      </c>
      <c r="T68" t="s">
        <v>182</v>
      </c>
      <c r="U68" t="s">
        <v>183</v>
      </c>
      <c r="V68" t="s">
        <v>78</v>
      </c>
    </row>
    <row r="69" spans="1:22">
      <c r="A69" s="6" t="s">
        <v>68</v>
      </c>
      <c r="B69" t="s">
        <v>152</v>
      </c>
      <c r="C69" t="s">
        <v>49</v>
      </c>
      <c r="D69" t="s">
        <v>70</v>
      </c>
      <c r="E69" t="s">
        <v>59</v>
      </c>
      <c r="F69" t="s">
        <v>231</v>
      </c>
      <c r="G69" s="24">
        <v>44258.685925925929</v>
      </c>
      <c r="H69">
        <v>27200</v>
      </c>
      <c r="I69">
        <v>1</v>
      </c>
      <c r="J69">
        <v>44257.675543981481</v>
      </c>
      <c r="K69" t="s">
        <v>232</v>
      </c>
      <c r="L69">
        <v>38680</v>
      </c>
      <c r="M69">
        <v>38680</v>
      </c>
      <c r="N69">
        <v>38550</v>
      </c>
      <c r="O69" t="s">
        <v>181</v>
      </c>
      <c r="P69" t="s">
        <v>49</v>
      </c>
      <c r="Q69" t="s">
        <v>182</v>
      </c>
      <c r="R69" t="s">
        <v>181</v>
      </c>
      <c r="S69" t="s">
        <v>49</v>
      </c>
      <c r="T69" t="s">
        <v>182</v>
      </c>
      <c r="U69" t="s">
        <v>183</v>
      </c>
      <c r="V69" t="s">
        <v>78</v>
      </c>
    </row>
    <row r="70" spans="1:22">
      <c r="A70" s="6" t="s">
        <v>68</v>
      </c>
      <c r="B70" t="s">
        <v>152</v>
      </c>
      <c r="C70" t="s">
        <v>49</v>
      </c>
      <c r="D70" t="s">
        <v>70</v>
      </c>
      <c r="E70" t="s">
        <v>59</v>
      </c>
      <c r="F70" t="s">
        <v>233</v>
      </c>
      <c r="G70" s="24">
        <v>44258.667951388888</v>
      </c>
      <c r="H70">
        <v>14119</v>
      </c>
      <c r="I70">
        <v>1</v>
      </c>
      <c r="J70">
        <v>44257.740057870367</v>
      </c>
      <c r="K70" t="s">
        <v>234</v>
      </c>
      <c r="L70">
        <v>49920</v>
      </c>
      <c r="M70">
        <v>49920</v>
      </c>
      <c r="N70">
        <v>49790</v>
      </c>
      <c r="O70" t="s">
        <v>155</v>
      </c>
      <c r="P70" t="s">
        <v>49</v>
      </c>
      <c r="Q70" t="s">
        <v>156</v>
      </c>
      <c r="R70" t="s">
        <v>155</v>
      </c>
      <c r="S70" t="s">
        <v>49</v>
      </c>
      <c r="T70" t="s">
        <v>156</v>
      </c>
      <c r="U70" t="s">
        <v>157</v>
      </c>
      <c r="V70" t="s">
        <v>157</v>
      </c>
    </row>
    <row r="71" spans="1:22">
      <c r="A71" s="6" t="s">
        <v>68</v>
      </c>
      <c r="B71" t="s">
        <v>152</v>
      </c>
      <c r="C71" t="s">
        <v>49</v>
      </c>
      <c r="D71" t="s">
        <v>70</v>
      </c>
      <c r="E71" t="s">
        <v>59</v>
      </c>
      <c r="F71" t="s">
        <v>235</v>
      </c>
      <c r="G71" s="24">
        <v>44258.665879629632</v>
      </c>
      <c r="H71">
        <v>27157</v>
      </c>
      <c r="I71">
        <v>1</v>
      </c>
      <c r="J71">
        <v>44256.809120370373</v>
      </c>
      <c r="K71" t="s">
        <v>236</v>
      </c>
      <c r="L71">
        <v>39480</v>
      </c>
      <c r="M71">
        <v>39480</v>
      </c>
      <c r="N71">
        <v>39320</v>
      </c>
      <c r="O71" t="s">
        <v>181</v>
      </c>
      <c r="P71" t="s">
        <v>49</v>
      </c>
      <c r="Q71" t="s">
        <v>182</v>
      </c>
      <c r="R71" t="s">
        <v>181</v>
      </c>
      <c r="S71" t="s">
        <v>49</v>
      </c>
      <c r="T71" t="s">
        <v>182</v>
      </c>
      <c r="U71" t="s">
        <v>183</v>
      </c>
      <c r="V71" t="s">
        <v>78</v>
      </c>
    </row>
    <row r="72" spans="1:22">
      <c r="A72" s="6" t="s">
        <v>68</v>
      </c>
      <c r="B72" t="s">
        <v>152</v>
      </c>
      <c r="C72" t="s">
        <v>49</v>
      </c>
      <c r="D72" t="s">
        <v>70</v>
      </c>
      <c r="E72" t="s">
        <v>59</v>
      </c>
      <c r="F72" t="s">
        <v>237</v>
      </c>
      <c r="G72" s="24">
        <v>44258.662372685183</v>
      </c>
      <c r="H72">
        <v>14107</v>
      </c>
      <c r="I72">
        <v>1</v>
      </c>
      <c r="J72">
        <v>44257.629259259258</v>
      </c>
      <c r="K72" t="s">
        <v>238</v>
      </c>
      <c r="L72">
        <v>48980</v>
      </c>
      <c r="M72">
        <v>48980</v>
      </c>
      <c r="N72">
        <v>49000</v>
      </c>
      <c r="O72" t="s">
        <v>155</v>
      </c>
      <c r="P72" t="s">
        <v>49</v>
      </c>
      <c r="Q72" t="s">
        <v>156</v>
      </c>
      <c r="R72" t="s">
        <v>155</v>
      </c>
      <c r="S72" t="s">
        <v>49</v>
      </c>
      <c r="T72" t="s">
        <v>156</v>
      </c>
      <c r="U72" t="s">
        <v>73</v>
      </c>
      <c r="V72" t="s">
        <v>74</v>
      </c>
    </row>
    <row r="73" spans="1:22">
      <c r="A73" s="6" t="s">
        <v>68</v>
      </c>
      <c r="B73" t="s">
        <v>152</v>
      </c>
      <c r="C73" t="s">
        <v>49</v>
      </c>
      <c r="D73" t="s">
        <v>70</v>
      </c>
      <c r="E73" t="s">
        <v>59</v>
      </c>
      <c r="F73" t="s">
        <v>239</v>
      </c>
      <c r="G73" s="24">
        <v>44258.587071759262</v>
      </c>
      <c r="H73">
        <v>14102</v>
      </c>
      <c r="I73">
        <v>1</v>
      </c>
      <c r="J73">
        <v>44257.596585648149</v>
      </c>
      <c r="K73" t="s">
        <v>240</v>
      </c>
      <c r="L73">
        <v>37740</v>
      </c>
      <c r="M73">
        <v>37740</v>
      </c>
      <c r="N73">
        <v>37680</v>
      </c>
      <c r="O73" t="s">
        <v>155</v>
      </c>
      <c r="P73" t="s">
        <v>49</v>
      </c>
      <c r="Q73" t="s">
        <v>156</v>
      </c>
      <c r="R73" t="s">
        <v>155</v>
      </c>
      <c r="S73" t="s">
        <v>49</v>
      </c>
      <c r="T73" t="s">
        <v>156</v>
      </c>
      <c r="U73" t="s">
        <v>157</v>
      </c>
      <c r="V73" t="s">
        <v>157</v>
      </c>
    </row>
    <row r="74" spans="1:22">
      <c r="A74" s="6" t="s">
        <v>68</v>
      </c>
      <c r="B74" t="s">
        <v>152</v>
      </c>
      <c r="C74" t="s">
        <v>49</v>
      </c>
      <c r="D74" t="s">
        <v>70</v>
      </c>
      <c r="E74" t="s">
        <v>59</v>
      </c>
      <c r="F74" t="s">
        <v>241</v>
      </c>
      <c r="G74" s="24">
        <v>44258.583715277775</v>
      </c>
      <c r="H74">
        <v>27179</v>
      </c>
      <c r="I74">
        <v>1</v>
      </c>
      <c r="J74">
        <v>44257.506516203706</v>
      </c>
      <c r="K74" t="s">
        <v>242</v>
      </c>
      <c r="L74">
        <v>49120</v>
      </c>
      <c r="M74">
        <v>49120</v>
      </c>
      <c r="N74">
        <v>49000</v>
      </c>
      <c r="O74" t="s">
        <v>181</v>
      </c>
      <c r="P74" t="s">
        <v>49</v>
      </c>
      <c r="Q74" t="s">
        <v>182</v>
      </c>
      <c r="R74" t="s">
        <v>181</v>
      </c>
      <c r="S74" t="s">
        <v>49</v>
      </c>
      <c r="T74" t="s">
        <v>182</v>
      </c>
      <c r="U74" t="s">
        <v>183</v>
      </c>
      <c r="V74" t="s">
        <v>78</v>
      </c>
    </row>
    <row r="75" spans="1:22">
      <c r="A75" s="6" t="s">
        <v>68</v>
      </c>
      <c r="B75" t="s">
        <v>152</v>
      </c>
      <c r="C75" t="s">
        <v>49</v>
      </c>
      <c r="D75" t="s">
        <v>70</v>
      </c>
      <c r="E75" t="s">
        <v>59</v>
      </c>
      <c r="F75" t="s">
        <v>243</v>
      </c>
      <c r="G75" s="24">
        <v>44258.577881944446</v>
      </c>
      <c r="H75">
        <v>27170</v>
      </c>
      <c r="I75">
        <v>1</v>
      </c>
      <c r="J75">
        <v>44257.456076388888</v>
      </c>
      <c r="K75" t="s">
        <v>244</v>
      </c>
      <c r="L75">
        <v>47200</v>
      </c>
      <c r="M75">
        <v>47200</v>
      </c>
      <c r="N75">
        <v>47140</v>
      </c>
      <c r="O75" t="s">
        <v>181</v>
      </c>
      <c r="P75" t="s">
        <v>49</v>
      </c>
      <c r="Q75" t="s">
        <v>182</v>
      </c>
      <c r="R75" t="s">
        <v>181</v>
      </c>
      <c r="S75" t="s">
        <v>49</v>
      </c>
      <c r="T75" t="s">
        <v>182</v>
      </c>
      <c r="U75" t="s">
        <v>183</v>
      </c>
      <c r="V75" t="s">
        <v>78</v>
      </c>
    </row>
    <row r="76" spans="1:22">
      <c r="A76" s="6" t="s">
        <v>68</v>
      </c>
      <c r="B76" t="s">
        <v>152</v>
      </c>
      <c r="C76" t="s">
        <v>49</v>
      </c>
      <c r="D76" t="s">
        <v>70</v>
      </c>
      <c r="E76" t="s">
        <v>59</v>
      </c>
      <c r="F76" t="s">
        <v>245</v>
      </c>
      <c r="G76" s="24">
        <v>44258.558564814812</v>
      </c>
      <c r="H76">
        <v>27199</v>
      </c>
      <c r="I76">
        <v>1</v>
      </c>
      <c r="J76">
        <v>44257.674814814818</v>
      </c>
      <c r="K76" t="s">
        <v>246</v>
      </c>
      <c r="L76">
        <v>32380</v>
      </c>
      <c r="M76">
        <v>32380</v>
      </c>
      <c r="N76">
        <v>32330</v>
      </c>
      <c r="O76" t="s">
        <v>181</v>
      </c>
      <c r="P76" t="s">
        <v>49</v>
      </c>
      <c r="Q76" t="s">
        <v>182</v>
      </c>
      <c r="R76" t="s">
        <v>181</v>
      </c>
      <c r="S76" t="s">
        <v>49</v>
      </c>
      <c r="T76" t="s">
        <v>182</v>
      </c>
      <c r="U76" t="s">
        <v>183</v>
      </c>
      <c r="V76" t="s">
        <v>78</v>
      </c>
    </row>
    <row r="77" spans="1:22">
      <c r="A77" s="6" t="s">
        <v>68</v>
      </c>
      <c r="B77" t="s">
        <v>152</v>
      </c>
      <c r="C77" t="s">
        <v>49</v>
      </c>
      <c r="D77" t="s">
        <v>70</v>
      </c>
      <c r="E77" t="s">
        <v>59</v>
      </c>
      <c r="F77" t="s">
        <v>247</v>
      </c>
      <c r="G77" s="24">
        <v>44258.512175925927</v>
      </c>
      <c r="H77">
        <v>27193</v>
      </c>
      <c r="I77">
        <v>1</v>
      </c>
      <c r="J77">
        <v>44257.615613425929</v>
      </c>
      <c r="K77" t="s">
        <v>248</v>
      </c>
      <c r="L77">
        <v>36020</v>
      </c>
      <c r="M77">
        <v>36020</v>
      </c>
      <c r="N77">
        <v>35970</v>
      </c>
      <c r="O77" t="s">
        <v>181</v>
      </c>
      <c r="P77" t="s">
        <v>49</v>
      </c>
      <c r="Q77" t="s">
        <v>182</v>
      </c>
      <c r="R77" t="s">
        <v>181</v>
      </c>
      <c r="S77" t="s">
        <v>49</v>
      </c>
      <c r="T77" t="s">
        <v>182</v>
      </c>
      <c r="U77" t="s">
        <v>183</v>
      </c>
      <c r="V77" t="s">
        <v>78</v>
      </c>
    </row>
    <row r="78" spans="1:22">
      <c r="A78" s="6" t="s">
        <v>68</v>
      </c>
      <c r="B78" t="s">
        <v>152</v>
      </c>
      <c r="C78" t="s">
        <v>49</v>
      </c>
      <c r="D78" t="s">
        <v>70</v>
      </c>
      <c r="E78" t="s">
        <v>59</v>
      </c>
      <c r="F78" t="s">
        <v>249</v>
      </c>
      <c r="G78" s="24">
        <v>44258.503055555557</v>
      </c>
      <c r="H78">
        <v>14088</v>
      </c>
      <c r="I78">
        <v>1</v>
      </c>
      <c r="J78">
        <v>44256.784537037034</v>
      </c>
      <c r="K78" t="s">
        <v>250</v>
      </c>
      <c r="L78">
        <v>49760</v>
      </c>
      <c r="M78">
        <v>49760</v>
      </c>
      <c r="N78">
        <v>49580</v>
      </c>
      <c r="O78" t="s">
        <v>155</v>
      </c>
      <c r="P78" t="s">
        <v>49</v>
      </c>
      <c r="Q78" t="s">
        <v>156</v>
      </c>
      <c r="R78" t="s">
        <v>155</v>
      </c>
      <c r="S78" t="s">
        <v>49</v>
      </c>
      <c r="T78" t="s">
        <v>156</v>
      </c>
      <c r="U78" t="s">
        <v>73</v>
      </c>
      <c r="V78" t="s">
        <v>74</v>
      </c>
    </row>
    <row r="79" spans="1:22">
      <c r="A79" s="6" t="s">
        <v>68</v>
      </c>
      <c r="B79" t="s">
        <v>152</v>
      </c>
      <c r="C79" t="s">
        <v>49</v>
      </c>
      <c r="D79" t="s">
        <v>70</v>
      </c>
      <c r="E79" t="s">
        <v>59</v>
      </c>
      <c r="F79" t="s">
        <v>251</v>
      </c>
      <c r="G79" s="24">
        <v>44258.431909722225</v>
      </c>
      <c r="H79">
        <v>27160</v>
      </c>
      <c r="I79">
        <v>1</v>
      </c>
      <c r="J79">
        <v>44257.384097222224</v>
      </c>
      <c r="K79" t="s">
        <v>252</v>
      </c>
      <c r="L79">
        <v>49340</v>
      </c>
      <c r="M79">
        <v>49340</v>
      </c>
      <c r="N79">
        <v>49250</v>
      </c>
      <c r="O79" t="s">
        <v>181</v>
      </c>
      <c r="P79" t="s">
        <v>49</v>
      </c>
      <c r="Q79" t="s">
        <v>182</v>
      </c>
      <c r="R79" t="s">
        <v>181</v>
      </c>
      <c r="S79" t="s">
        <v>49</v>
      </c>
      <c r="T79" t="s">
        <v>182</v>
      </c>
      <c r="U79" t="s">
        <v>183</v>
      </c>
      <c r="V79" t="s">
        <v>78</v>
      </c>
    </row>
    <row r="80" spans="1:22">
      <c r="A80" s="6" t="s">
        <v>68</v>
      </c>
      <c r="B80" t="s">
        <v>152</v>
      </c>
      <c r="C80" t="s">
        <v>49</v>
      </c>
      <c r="D80" t="s">
        <v>70</v>
      </c>
      <c r="E80" t="s">
        <v>59</v>
      </c>
      <c r="F80" t="s">
        <v>253</v>
      </c>
      <c r="G80" s="24">
        <v>44258.348564814813</v>
      </c>
      <c r="H80">
        <v>27175</v>
      </c>
      <c r="I80">
        <v>1</v>
      </c>
      <c r="J80">
        <v>44257.48605324074</v>
      </c>
      <c r="K80" t="s">
        <v>254</v>
      </c>
      <c r="L80">
        <v>47420</v>
      </c>
      <c r="M80">
        <v>47420</v>
      </c>
      <c r="N80">
        <v>47210</v>
      </c>
      <c r="O80" t="s">
        <v>181</v>
      </c>
      <c r="P80" t="s">
        <v>49</v>
      </c>
      <c r="Q80" t="s">
        <v>182</v>
      </c>
      <c r="R80" t="s">
        <v>181</v>
      </c>
      <c r="S80" t="s">
        <v>49</v>
      </c>
      <c r="T80" t="s">
        <v>182</v>
      </c>
      <c r="U80" t="s">
        <v>77</v>
      </c>
      <c r="V80" t="s">
        <v>78</v>
      </c>
    </row>
    <row r="81" spans="1:22">
      <c r="A81" s="6" t="s">
        <v>68</v>
      </c>
      <c r="B81" t="s">
        <v>152</v>
      </c>
      <c r="C81" t="s">
        <v>49</v>
      </c>
      <c r="D81" t="s">
        <v>70</v>
      </c>
      <c r="E81" t="s">
        <v>59</v>
      </c>
      <c r="F81" t="s">
        <v>255</v>
      </c>
      <c r="G81" s="24">
        <v>44258.341678240744</v>
      </c>
      <c r="H81">
        <v>27171</v>
      </c>
      <c r="I81">
        <v>1</v>
      </c>
      <c r="J81">
        <v>44257.457349537035</v>
      </c>
      <c r="K81" t="s">
        <v>256</v>
      </c>
      <c r="L81">
        <v>47060</v>
      </c>
      <c r="M81">
        <v>47060</v>
      </c>
      <c r="N81">
        <v>46860</v>
      </c>
      <c r="O81" t="s">
        <v>181</v>
      </c>
      <c r="P81" t="s">
        <v>49</v>
      </c>
      <c r="Q81" t="s">
        <v>182</v>
      </c>
      <c r="R81" t="s">
        <v>181</v>
      </c>
      <c r="S81" t="s">
        <v>49</v>
      </c>
      <c r="T81" t="s">
        <v>182</v>
      </c>
      <c r="U81" t="s">
        <v>77</v>
      </c>
      <c r="V81" t="s">
        <v>78</v>
      </c>
    </row>
    <row r="82" spans="1:22">
      <c r="A82" s="6" t="s">
        <v>68</v>
      </c>
      <c r="B82" t="s">
        <v>152</v>
      </c>
      <c r="C82" t="s">
        <v>49</v>
      </c>
      <c r="D82" t="s">
        <v>70</v>
      </c>
      <c r="E82" t="s">
        <v>59</v>
      </c>
      <c r="F82" t="s">
        <v>257</v>
      </c>
      <c r="G82" s="24">
        <v>44258.321956018517</v>
      </c>
      <c r="H82">
        <v>27173</v>
      </c>
      <c r="I82">
        <v>1</v>
      </c>
      <c r="J82">
        <v>44257.460046296299</v>
      </c>
      <c r="K82" t="s">
        <v>258</v>
      </c>
      <c r="L82">
        <v>46780</v>
      </c>
      <c r="M82">
        <v>46780</v>
      </c>
      <c r="N82">
        <v>46560</v>
      </c>
      <c r="O82" t="s">
        <v>181</v>
      </c>
      <c r="P82" t="s">
        <v>49</v>
      </c>
      <c r="Q82" t="s">
        <v>182</v>
      </c>
      <c r="R82" t="s">
        <v>181</v>
      </c>
      <c r="S82" t="s">
        <v>49</v>
      </c>
      <c r="T82" t="s">
        <v>182</v>
      </c>
      <c r="U82" t="s">
        <v>77</v>
      </c>
      <c r="V82" t="s">
        <v>78</v>
      </c>
    </row>
    <row r="83" spans="1:22">
      <c r="A83" s="6" t="s">
        <v>68</v>
      </c>
      <c r="B83" t="s">
        <v>152</v>
      </c>
      <c r="C83" t="s">
        <v>49</v>
      </c>
      <c r="D83" t="s">
        <v>70</v>
      </c>
      <c r="E83" t="s">
        <v>59</v>
      </c>
      <c r="F83" t="s">
        <v>259</v>
      </c>
      <c r="G83" s="24">
        <v>44258.309814814813</v>
      </c>
      <c r="H83">
        <v>27156</v>
      </c>
      <c r="I83">
        <v>1</v>
      </c>
      <c r="J83">
        <v>44256.806446759256</v>
      </c>
      <c r="K83" t="s">
        <v>260</v>
      </c>
      <c r="L83">
        <v>48540</v>
      </c>
      <c r="M83">
        <v>48540</v>
      </c>
      <c r="N83">
        <v>48490</v>
      </c>
      <c r="O83" t="s">
        <v>181</v>
      </c>
      <c r="P83" t="s">
        <v>49</v>
      </c>
      <c r="Q83" t="s">
        <v>182</v>
      </c>
      <c r="R83" t="s">
        <v>181</v>
      </c>
      <c r="S83" t="s">
        <v>49</v>
      </c>
      <c r="T83" t="s">
        <v>182</v>
      </c>
      <c r="U83" t="s">
        <v>183</v>
      </c>
      <c r="V83" t="s">
        <v>78</v>
      </c>
    </row>
    <row r="84" spans="1:22">
      <c r="A84" s="6" t="s">
        <v>68</v>
      </c>
      <c r="B84" t="s">
        <v>152</v>
      </c>
      <c r="C84" t="s">
        <v>49</v>
      </c>
      <c r="D84" t="s">
        <v>70</v>
      </c>
      <c r="E84" t="s">
        <v>59</v>
      </c>
      <c r="F84" t="s">
        <v>261</v>
      </c>
      <c r="G84" s="24">
        <v>44258.251423611109</v>
      </c>
      <c r="H84">
        <v>14110</v>
      </c>
      <c r="I84">
        <v>1</v>
      </c>
      <c r="J84">
        <v>44257.657349537039</v>
      </c>
      <c r="K84" t="s">
        <v>262</v>
      </c>
      <c r="L84">
        <v>44900</v>
      </c>
      <c r="M84">
        <v>44900</v>
      </c>
      <c r="N84">
        <v>44910</v>
      </c>
      <c r="O84" t="s">
        <v>155</v>
      </c>
      <c r="P84" t="s">
        <v>49</v>
      </c>
      <c r="Q84" t="s">
        <v>156</v>
      </c>
      <c r="R84" t="s">
        <v>155</v>
      </c>
      <c r="S84" t="s">
        <v>49</v>
      </c>
      <c r="T84" t="s">
        <v>156</v>
      </c>
      <c r="U84" t="s">
        <v>73</v>
      </c>
      <c r="V84" t="s">
        <v>74</v>
      </c>
    </row>
    <row r="85" spans="1:22">
      <c r="A85" s="6" t="s">
        <v>68</v>
      </c>
      <c r="B85" t="s">
        <v>152</v>
      </c>
      <c r="C85" t="s">
        <v>49</v>
      </c>
      <c r="D85" t="s">
        <v>70</v>
      </c>
      <c r="E85" t="s">
        <v>59</v>
      </c>
      <c r="F85" t="s">
        <v>263</v>
      </c>
      <c r="G85" s="24">
        <v>44258.247303240743</v>
      </c>
      <c r="H85">
        <v>14094</v>
      </c>
      <c r="I85">
        <v>1</v>
      </c>
      <c r="J85">
        <v>44257.392928240741</v>
      </c>
      <c r="K85" t="s">
        <v>264</v>
      </c>
      <c r="L85">
        <v>49460</v>
      </c>
      <c r="M85">
        <v>49460</v>
      </c>
      <c r="N85">
        <v>49320</v>
      </c>
      <c r="O85" t="s">
        <v>155</v>
      </c>
      <c r="P85" t="s">
        <v>49</v>
      </c>
      <c r="Q85" t="s">
        <v>156</v>
      </c>
      <c r="R85" t="s">
        <v>155</v>
      </c>
      <c r="S85" t="s">
        <v>49</v>
      </c>
      <c r="T85" t="s">
        <v>156</v>
      </c>
      <c r="U85" t="s">
        <v>265</v>
      </c>
      <c r="V85" t="s">
        <v>157</v>
      </c>
    </row>
    <row r="86" spans="1:22">
      <c r="A86" s="6" t="s">
        <v>68</v>
      </c>
      <c r="B86" t="s">
        <v>152</v>
      </c>
      <c r="C86" t="s">
        <v>49</v>
      </c>
      <c r="D86" t="s">
        <v>70</v>
      </c>
      <c r="E86" t="s">
        <v>59</v>
      </c>
      <c r="F86" t="s">
        <v>266</v>
      </c>
      <c r="G86" s="24">
        <v>44258.240740740737</v>
      </c>
      <c r="H86">
        <v>27169</v>
      </c>
      <c r="I86">
        <v>1</v>
      </c>
      <c r="J86">
        <v>44257.454687500001</v>
      </c>
      <c r="K86" t="s">
        <v>267</v>
      </c>
      <c r="L86">
        <v>46620</v>
      </c>
      <c r="M86">
        <v>46620</v>
      </c>
      <c r="N86">
        <v>46380</v>
      </c>
      <c r="O86" t="s">
        <v>181</v>
      </c>
      <c r="P86" t="s">
        <v>49</v>
      </c>
      <c r="Q86" t="s">
        <v>182</v>
      </c>
      <c r="R86" t="s">
        <v>181</v>
      </c>
      <c r="S86" t="s">
        <v>49</v>
      </c>
      <c r="T86" t="s">
        <v>182</v>
      </c>
      <c r="U86" t="s">
        <v>77</v>
      </c>
      <c r="V86" t="s">
        <v>78</v>
      </c>
    </row>
    <row r="87" spans="1:22">
      <c r="A87" s="6" t="s">
        <v>68</v>
      </c>
      <c r="B87" t="s">
        <v>152</v>
      </c>
      <c r="C87" t="s">
        <v>49</v>
      </c>
      <c r="D87" t="s">
        <v>70</v>
      </c>
      <c r="E87" t="s">
        <v>59</v>
      </c>
      <c r="F87" t="s">
        <v>268</v>
      </c>
      <c r="G87" s="24">
        <v>44258.23914351852</v>
      </c>
      <c r="H87">
        <v>14109</v>
      </c>
      <c r="I87">
        <v>1</v>
      </c>
      <c r="J87">
        <v>44257.644270833334</v>
      </c>
      <c r="K87" t="s">
        <v>269</v>
      </c>
      <c r="L87">
        <v>51520</v>
      </c>
      <c r="M87">
        <v>51520</v>
      </c>
      <c r="N87">
        <v>51480</v>
      </c>
      <c r="O87" t="s">
        <v>155</v>
      </c>
      <c r="P87" t="s">
        <v>49</v>
      </c>
      <c r="Q87" t="s">
        <v>156</v>
      </c>
      <c r="R87" t="s">
        <v>155</v>
      </c>
      <c r="S87" t="s">
        <v>49</v>
      </c>
      <c r="T87" t="s">
        <v>156</v>
      </c>
      <c r="U87" t="s">
        <v>157</v>
      </c>
      <c r="V87" t="s">
        <v>157</v>
      </c>
    </row>
    <row r="88" spans="1:22">
      <c r="A88" s="6" t="s">
        <v>68</v>
      </c>
      <c r="B88" t="s">
        <v>152</v>
      </c>
      <c r="C88" t="s">
        <v>49</v>
      </c>
      <c r="D88" t="s">
        <v>70</v>
      </c>
      <c r="E88" t="s">
        <v>59</v>
      </c>
      <c r="F88" t="s">
        <v>270</v>
      </c>
      <c r="G88" s="24">
        <v>44258.237743055557</v>
      </c>
      <c r="H88">
        <v>27162</v>
      </c>
      <c r="I88">
        <v>1</v>
      </c>
      <c r="J88">
        <v>44257.400127314817</v>
      </c>
      <c r="K88" t="s">
        <v>271</v>
      </c>
      <c r="L88">
        <v>35080</v>
      </c>
      <c r="M88">
        <v>35080</v>
      </c>
      <c r="N88">
        <v>35030</v>
      </c>
      <c r="O88" t="s">
        <v>181</v>
      </c>
      <c r="P88" t="s">
        <v>49</v>
      </c>
      <c r="Q88" t="s">
        <v>182</v>
      </c>
      <c r="R88" t="s">
        <v>181</v>
      </c>
      <c r="S88" t="s">
        <v>49</v>
      </c>
      <c r="T88" t="s">
        <v>182</v>
      </c>
      <c r="U88" t="s">
        <v>183</v>
      </c>
      <c r="V88" t="s">
        <v>78</v>
      </c>
    </row>
    <row r="89" spans="1:22">
      <c r="A89" s="6" t="s">
        <v>68</v>
      </c>
      <c r="B89" t="s">
        <v>152</v>
      </c>
      <c r="C89" t="s">
        <v>49</v>
      </c>
      <c r="D89" t="s">
        <v>70</v>
      </c>
      <c r="E89" t="s">
        <v>59</v>
      </c>
      <c r="F89" t="s">
        <v>272</v>
      </c>
      <c r="G89" s="24">
        <v>44258.232870370368</v>
      </c>
      <c r="H89">
        <v>27161</v>
      </c>
      <c r="I89">
        <v>1</v>
      </c>
      <c r="J89">
        <v>44257.387187499997</v>
      </c>
      <c r="K89" t="s">
        <v>273</v>
      </c>
      <c r="L89">
        <v>30880</v>
      </c>
      <c r="M89">
        <v>30880</v>
      </c>
      <c r="N89">
        <v>30820</v>
      </c>
      <c r="O89" t="s">
        <v>181</v>
      </c>
      <c r="P89" t="s">
        <v>49</v>
      </c>
      <c r="Q89" t="s">
        <v>182</v>
      </c>
      <c r="R89" t="s">
        <v>181</v>
      </c>
      <c r="S89" t="s">
        <v>49</v>
      </c>
      <c r="T89" t="s">
        <v>182</v>
      </c>
      <c r="U89" t="s">
        <v>183</v>
      </c>
      <c r="V89" t="s">
        <v>78</v>
      </c>
    </row>
    <row r="90" spans="1:22">
      <c r="A90" s="6" t="s">
        <v>68</v>
      </c>
      <c r="B90" t="s">
        <v>152</v>
      </c>
      <c r="C90" t="s">
        <v>49</v>
      </c>
      <c r="D90" t="s">
        <v>70</v>
      </c>
      <c r="E90" t="s">
        <v>59</v>
      </c>
      <c r="F90" t="s">
        <v>274</v>
      </c>
      <c r="G90" s="24">
        <v>44258.229733796295</v>
      </c>
      <c r="H90">
        <v>27151</v>
      </c>
      <c r="I90">
        <v>1</v>
      </c>
      <c r="J90">
        <v>44256.771018518521</v>
      </c>
      <c r="K90" t="s">
        <v>275</v>
      </c>
      <c r="L90">
        <v>38740</v>
      </c>
      <c r="M90">
        <v>38740</v>
      </c>
      <c r="N90">
        <v>38660</v>
      </c>
      <c r="O90" t="s">
        <v>181</v>
      </c>
      <c r="P90" t="s">
        <v>49</v>
      </c>
      <c r="Q90" t="s">
        <v>182</v>
      </c>
      <c r="R90" t="s">
        <v>181</v>
      </c>
      <c r="S90" t="s">
        <v>49</v>
      </c>
      <c r="T90" t="s">
        <v>182</v>
      </c>
      <c r="U90" t="s">
        <v>183</v>
      </c>
      <c r="V90" t="s">
        <v>78</v>
      </c>
    </row>
    <row r="91" spans="1:22">
      <c r="A91" s="6" t="s">
        <v>68</v>
      </c>
      <c r="B91" t="s">
        <v>152</v>
      </c>
      <c r="C91" t="s">
        <v>49</v>
      </c>
      <c r="D91" t="s">
        <v>70</v>
      </c>
      <c r="E91" t="s">
        <v>59</v>
      </c>
      <c r="F91" t="s">
        <v>276</v>
      </c>
      <c r="G91" s="24">
        <v>44258.221597222226</v>
      </c>
      <c r="H91">
        <v>27154</v>
      </c>
      <c r="I91">
        <v>1</v>
      </c>
      <c r="J91">
        <v>44256.795011574075</v>
      </c>
      <c r="K91" t="s">
        <v>277</v>
      </c>
      <c r="L91">
        <v>49080</v>
      </c>
      <c r="M91">
        <v>49080</v>
      </c>
      <c r="N91">
        <v>48960</v>
      </c>
      <c r="O91" t="s">
        <v>181</v>
      </c>
      <c r="P91" t="s">
        <v>49</v>
      </c>
      <c r="Q91" t="s">
        <v>182</v>
      </c>
      <c r="R91" t="s">
        <v>181</v>
      </c>
      <c r="S91" t="s">
        <v>49</v>
      </c>
      <c r="T91" t="s">
        <v>182</v>
      </c>
      <c r="U91" t="s">
        <v>183</v>
      </c>
      <c r="V91" t="s">
        <v>78</v>
      </c>
    </row>
    <row r="92" spans="1:22">
      <c r="A92" s="6" t="s">
        <v>68</v>
      </c>
      <c r="B92" t="s">
        <v>152</v>
      </c>
      <c r="C92" t="s">
        <v>49</v>
      </c>
      <c r="D92" t="s">
        <v>70</v>
      </c>
      <c r="E92" t="s">
        <v>59</v>
      </c>
      <c r="F92" t="s">
        <v>278</v>
      </c>
      <c r="G92" s="24">
        <v>44258.206932870373</v>
      </c>
      <c r="H92">
        <v>14103</v>
      </c>
      <c r="I92">
        <v>1</v>
      </c>
      <c r="J92">
        <v>44257.602500000001</v>
      </c>
      <c r="K92" t="s">
        <v>279</v>
      </c>
      <c r="L92">
        <v>50940</v>
      </c>
      <c r="M92">
        <v>50940</v>
      </c>
      <c r="N92">
        <v>50800</v>
      </c>
      <c r="O92" t="s">
        <v>155</v>
      </c>
      <c r="P92" t="s">
        <v>49</v>
      </c>
      <c r="Q92" t="s">
        <v>156</v>
      </c>
      <c r="R92" t="s">
        <v>155</v>
      </c>
      <c r="S92" t="s">
        <v>49</v>
      </c>
      <c r="T92" t="s">
        <v>156</v>
      </c>
      <c r="U92" t="s">
        <v>157</v>
      </c>
      <c r="V92" t="s">
        <v>157</v>
      </c>
    </row>
    <row r="93" spans="1:22">
      <c r="A93" s="6" t="s">
        <v>68</v>
      </c>
      <c r="B93" t="s">
        <v>152</v>
      </c>
      <c r="C93" t="s">
        <v>49</v>
      </c>
      <c r="D93" t="s">
        <v>70</v>
      </c>
      <c r="E93" t="s">
        <v>59</v>
      </c>
      <c r="F93" t="s">
        <v>280</v>
      </c>
      <c r="G93" s="24">
        <v>44258.202916666669</v>
      </c>
      <c r="H93">
        <v>27174</v>
      </c>
      <c r="I93">
        <v>1</v>
      </c>
      <c r="J93">
        <v>44257.463252314818</v>
      </c>
      <c r="K93" t="s">
        <v>281</v>
      </c>
      <c r="L93">
        <v>47500</v>
      </c>
      <c r="M93">
        <v>47500</v>
      </c>
      <c r="N93">
        <v>47300</v>
      </c>
      <c r="O93" t="s">
        <v>181</v>
      </c>
      <c r="P93" t="s">
        <v>49</v>
      </c>
      <c r="Q93" t="s">
        <v>182</v>
      </c>
      <c r="R93" t="s">
        <v>181</v>
      </c>
      <c r="S93" t="s">
        <v>49</v>
      </c>
      <c r="T93" t="s">
        <v>182</v>
      </c>
      <c r="U93" t="s">
        <v>77</v>
      </c>
      <c r="V93" t="s">
        <v>78</v>
      </c>
    </row>
    <row r="94" spans="1:22">
      <c r="A94" s="6" t="s">
        <v>68</v>
      </c>
      <c r="B94" t="s">
        <v>152</v>
      </c>
      <c r="C94" t="s">
        <v>49</v>
      </c>
      <c r="D94" t="s">
        <v>70</v>
      </c>
      <c r="E94" t="s">
        <v>59</v>
      </c>
      <c r="F94" t="s">
        <v>282</v>
      </c>
      <c r="G94" s="24">
        <v>44258.202291666668</v>
      </c>
      <c r="H94">
        <v>27163</v>
      </c>
      <c r="I94">
        <v>1</v>
      </c>
      <c r="J94">
        <v>44257.40420138889</v>
      </c>
      <c r="K94" t="s">
        <v>283</v>
      </c>
      <c r="L94">
        <v>48960</v>
      </c>
      <c r="M94">
        <v>48960</v>
      </c>
      <c r="N94">
        <v>48900</v>
      </c>
      <c r="O94" t="s">
        <v>181</v>
      </c>
      <c r="P94" t="s">
        <v>49</v>
      </c>
      <c r="Q94" t="s">
        <v>182</v>
      </c>
      <c r="R94" t="s">
        <v>181</v>
      </c>
      <c r="S94" t="s">
        <v>49</v>
      </c>
      <c r="T94" t="s">
        <v>182</v>
      </c>
      <c r="U94" t="s">
        <v>183</v>
      </c>
      <c r="V94" t="s">
        <v>78</v>
      </c>
    </row>
    <row r="95" spans="1:22">
      <c r="A95" s="6" t="s">
        <v>68</v>
      </c>
      <c r="B95" t="s">
        <v>152</v>
      </c>
      <c r="C95" t="s">
        <v>49</v>
      </c>
      <c r="D95" t="s">
        <v>70</v>
      </c>
      <c r="E95" t="s">
        <v>59</v>
      </c>
      <c r="F95" t="s">
        <v>284</v>
      </c>
      <c r="G95" s="24">
        <v>44258.194826388892</v>
      </c>
      <c r="H95">
        <v>14104</v>
      </c>
      <c r="I95">
        <v>1</v>
      </c>
      <c r="J95">
        <v>44257.608055555553</v>
      </c>
      <c r="K95" t="s">
        <v>285</v>
      </c>
      <c r="L95">
        <v>50680</v>
      </c>
      <c r="M95">
        <v>50680</v>
      </c>
      <c r="N95">
        <v>50660</v>
      </c>
      <c r="O95" t="s">
        <v>155</v>
      </c>
      <c r="P95" t="s">
        <v>49</v>
      </c>
      <c r="Q95" t="s">
        <v>156</v>
      </c>
      <c r="R95" t="s">
        <v>155</v>
      </c>
      <c r="S95" t="s">
        <v>49</v>
      </c>
      <c r="T95" t="s">
        <v>156</v>
      </c>
      <c r="U95" t="s">
        <v>157</v>
      </c>
      <c r="V95" t="s">
        <v>157</v>
      </c>
    </row>
    <row r="96" spans="1:22">
      <c r="A96" s="6" t="s">
        <v>68</v>
      </c>
      <c r="B96" t="s">
        <v>152</v>
      </c>
      <c r="C96" t="s">
        <v>49</v>
      </c>
      <c r="D96" t="s">
        <v>70</v>
      </c>
      <c r="E96" t="s">
        <v>59</v>
      </c>
      <c r="F96" t="s">
        <v>286</v>
      </c>
      <c r="G96" s="24">
        <v>44258.190717592595</v>
      </c>
      <c r="H96">
        <v>27164</v>
      </c>
      <c r="I96">
        <v>1</v>
      </c>
      <c r="J96">
        <v>44257.423784722225</v>
      </c>
      <c r="K96" t="s">
        <v>287</v>
      </c>
      <c r="L96">
        <v>50400</v>
      </c>
      <c r="M96">
        <v>50400</v>
      </c>
      <c r="N96">
        <v>50020</v>
      </c>
      <c r="O96" t="s">
        <v>181</v>
      </c>
      <c r="P96" t="s">
        <v>49</v>
      </c>
      <c r="Q96" t="s">
        <v>182</v>
      </c>
      <c r="R96" t="s">
        <v>181</v>
      </c>
      <c r="S96" t="s">
        <v>49</v>
      </c>
      <c r="T96" t="s">
        <v>182</v>
      </c>
      <c r="U96" t="s">
        <v>77</v>
      </c>
      <c r="V96" t="s">
        <v>78</v>
      </c>
    </row>
    <row r="97" spans="1:22">
      <c r="A97" s="6" t="s">
        <v>68</v>
      </c>
      <c r="B97" t="s">
        <v>152</v>
      </c>
      <c r="C97" t="s">
        <v>49</v>
      </c>
      <c r="D97" t="s">
        <v>70</v>
      </c>
      <c r="E97" t="s">
        <v>59</v>
      </c>
      <c r="F97" t="s">
        <v>190</v>
      </c>
      <c r="G97" s="24">
        <v>44258.186388888891</v>
      </c>
      <c r="H97">
        <v>113385</v>
      </c>
      <c r="I97">
        <v>10</v>
      </c>
      <c r="J97">
        <v>44257.436423611114</v>
      </c>
      <c r="K97" t="s">
        <v>288</v>
      </c>
      <c r="L97">
        <v>37050</v>
      </c>
      <c r="M97">
        <v>37050</v>
      </c>
      <c r="N97">
        <v>37000</v>
      </c>
      <c r="O97" t="s">
        <v>65</v>
      </c>
      <c r="P97" t="s">
        <v>49</v>
      </c>
      <c r="Q97" t="s">
        <v>66</v>
      </c>
      <c r="R97" t="s">
        <v>65</v>
      </c>
      <c r="S97" t="s">
        <v>49</v>
      </c>
      <c r="T97" t="s">
        <v>66</v>
      </c>
      <c r="U97" t="s">
        <v>192</v>
      </c>
      <c r="V97" t="s">
        <v>167</v>
      </c>
    </row>
    <row r="98" spans="1:22">
      <c r="A98" s="6" t="s">
        <v>68</v>
      </c>
      <c r="B98" t="s">
        <v>152</v>
      </c>
      <c r="C98" t="s">
        <v>49</v>
      </c>
      <c r="D98" t="s">
        <v>70</v>
      </c>
      <c r="E98" t="s">
        <v>59</v>
      </c>
      <c r="F98" t="s">
        <v>289</v>
      </c>
      <c r="G98" s="24">
        <v>44258.180752314816</v>
      </c>
      <c r="H98">
        <v>27165</v>
      </c>
      <c r="I98">
        <v>1</v>
      </c>
      <c r="J98">
        <v>44257.432118055556</v>
      </c>
      <c r="K98" t="s">
        <v>290</v>
      </c>
      <c r="L98">
        <v>48460</v>
      </c>
      <c r="M98">
        <v>48460</v>
      </c>
      <c r="N98">
        <v>48360</v>
      </c>
      <c r="O98" t="s">
        <v>181</v>
      </c>
      <c r="P98" t="s">
        <v>49</v>
      </c>
      <c r="Q98" t="s">
        <v>182</v>
      </c>
      <c r="R98" t="s">
        <v>181</v>
      </c>
      <c r="S98" t="s">
        <v>49</v>
      </c>
      <c r="T98" t="s">
        <v>182</v>
      </c>
      <c r="U98" t="s">
        <v>77</v>
      </c>
      <c r="V98" t="s">
        <v>78</v>
      </c>
    </row>
    <row r="99" spans="1:22">
      <c r="A99" s="6" t="s">
        <v>68</v>
      </c>
      <c r="B99" t="s">
        <v>152</v>
      </c>
      <c r="C99" t="s">
        <v>49</v>
      </c>
      <c r="D99" t="s">
        <v>70</v>
      </c>
      <c r="E99" t="s">
        <v>59</v>
      </c>
      <c r="F99" t="s">
        <v>291</v>
      </c>
      <c r="G99" s="24">
        <v>44258.141087962962</v>
      </c>
      <c r="H99">
        <v>14099</v>
      </c>
      <c r="I99">
        <v>1</v>
      </c>
      <c r="J99">
        <v>44257.543391203704</v>
      </c>
      <c r="K99" t="s">
        <v>292</v>
      </c>
      <c r="L99">
        <v>37980</v>
      </c>
      <c r="M99">
        <v>37980</v>
      </c>
      <c r="N99">
        <v>38000</v>
      </c>
      <c r="O99" t="s">
        <v>155</v>
      </c>
      <c r="P99" t="s">
        <v>49</v>
      </c>
      <c r="Q99" t="s">
        <v>156</v>
      </c>
      <c r="R99" t="s">
        <v>155</v>
      </c>
      <c r="S99" t="s">
        <v>49</v>
      </c>
      <c r="T99" t="s">
        <v>156</v>
      </c>
      <c r="U99" t="s">
        <v>157</v>
      </c>
      <c r="V99" t="s">
        <v>157</v>
      </c>
    </row>
    <row r="100" spans="1:22">
      <c r="A100" s="6" t="s">
        <v>68</v>
      </c>
      <c r="B100" t="s">
        <v>152</v>
      </c>
      <c r="C100" t="s">
        <v>49</v>
      </c>
      <c r="D100" t="s">
        <v>70</v>
      </c>
      <c r="E100" t="s">
        <v>59</v>
      </c>
      <c r="F100" t="s">
        <v>293</v>
      </c>
      <c r="G100" s="24">
        <v>44258.117303240739</v>
      </c>
      <c r="H100">
        <v>14087</v>
      </c>
      <c r="I100">
        <v>1</v>
      </c>
      <c r="J100">
        <v>44256.782418981478</v>
      </c>
      <c r="K100" t="s">
        <v>294</v>
      </c>
      <c r="L100">
        <v>49340</v>
      </c>
      <c r="M100">
        <v>49340</v>
      </c>
      <c r="N100">
        <v>49280</v>
      </c>
      <c r="O100" t="s">
        <v>155</v>
      </c>
      <c r="P100" t="s">
        <v>49</v>
      </c>
      <c r="Q100" t="s">
        <v>156</v>
      </c>
      <c r="R100" t="s">
        <v>155</v>
      </c>
      <c r="S100" t="s">
        <v>49</v>
      </c>
      <c r="T100" t="s">
        <v>156</v>
      </c>
      <c r="U100" t="s">
        <v>73</v>
      </c>
      <c r="V100" t="s">
        <v>74</v>
      </c>
    </row>
    <row r="101" spans="1:22">
      <c r="A101" s="6" t="s">
        <v>68</v>
      </c>
      <c r="B101" t="s">
        <v>152</v>
      </c>
      <c r="C101" t="s">
        <v>49</v>
      </c>
      <c r="D101" t="s">
        <v>70</v>
      </c>
      <c r="E101" t="s">
        <v>59</v>
      </c>
      <c r="F101" t="s">
        <v>162</v>
      </c>
      <c r="G101" s="24">
        <v>44258.092951388891</v>
      </c>
      <c r="H101">
        <v>8170</v>
      </c>
      <c r="I101">
        <v>1</v>
      </c>
      <c r="J101">
        <v>44257.559039351851</v>
      </c>
      <c r="K101" t="s">
        <v>295</v>
      </c>
      <c r="L101">
        <v>50800</v>
      </c>
      <c r="M101">
        <v>50800</v>
      </c>
      <c r="N101">
        <v>50890</v>
      </c>
      <c r="O101" t="s">
        <v>164</v>
      </c>
      <c r="P101" t="s">
        <v>49</v>
      </c>
      <c r="Q101" t="s">
        <v>165</v>
      </c>
      <c r="R101" t="s">
        <v>164</v>
      </c>
      <c r="S101" t="s">
        <v>49</v>
      </c>
      <c r="T101" t="s">
        <v>165</v>
      </c>
      <c r="U101" t="s">
        <v>166</v>
      </c>
      <c r="V101" t="s">
        <v>167</v>
      </c>
    </row>
    <row r="102" spans="1:22">
      <c r="A102" s="6" t="s">
        <v>68</v>
      </c>
      <c r="B102" t="s">
        <v>152</v>
      </c>
      <c r="C102" t="s">
        <v>49</v>
      </c>
      <c r="D102" t="s">
        <v>70</v>
      </c>
      <c r="E102" t="s">
        <v>59</v>
      </c>
      <c r="F102" t="s">
        <v>296</v>
      </c>
      <c r="G102" s="24">
        <v>44258.092523148145</v>
      </c>
      <c r="H102">
        <v>27147</v>
      </c>
      <c r="I102">
        <v>1</v>
      </c>
      <c r="J102">
        <v>44256.710243055553</v>
      </c>
      <c r="K102" t="s">
        <v>297</v>
      </c>
      <c r="L102">
        <v>42180</v>
      </c>
      <c r="M102">
        <v>42180</v>
      </c>
      <c r="N102">
        <v>42146</v>
      </c>
      <c r="O102" t="s">
        <v>181</v>
      </c>
      <c r="P102" t="s">
        <v>49</v>
      </c>
      <c r="Q102" t="s">
        <v>182</v>
      </c>
      <c r="R102" t="s">
        <v>181</v>
      </c>
      <c r="S102" t="s">
        <v>49</v>
      </c>
      <c r="T102" t="s">
        <v>182</v>
      </c>
      <c r="U102" t="s">
        <v>183</v>
      </c>
      <c r="V102" t="s">
        <v>78</v>
      </c>
    </row>
    <row r="103" spans="1:22">
      <c r="A103" s="6" t="s">
        <v>68</v>
      </c>
      <c r="B103" t="s">
        <v>152</v>
      </c>
      <c r="C103" t="s">
        <v>49</v>
      </c>
      <c r="D103" t="s">
        <v>70</v>
      </c>
      <c r="E103" t="s">
        <v>59</v>
      </c>
      <c r="F103" t="s">
        <v>296</v>
      </c>
      <c r="G103" s="24">
        <v>44258.092523148145</v>
      </c>
      <c r="H103">
        <v>27146</v>
      </c>
      <c r="I103">
        <v>1</v>
      </c>
      <c r="J103">
        <v>44256.707361111112</v>
      </c>
      <c r="K103" t="s">
        <v>298</v>
      </c>
      <c r="L103">
        <v>7140</v>
      </c>
      <c r="M103">
        <v>7140</v>
      </c>
      <c r="N103">
        <v>7134</v>
      </c>
      <c r="O103" t="s">
        <v>181</v>
      </c>
      <c r="P103" t="s">
        <v>49</v>
      </c>
      <c r="Q103" t="s">
        <v>182</v>
      </c>
      <c r="R103" t="s">
        <v>181</v>
      </c>
      <c r="S103" t="s">
        <v>49</v>
      </c>
      <c r="T103" t="s">
        <v>182</v>
      </c>
      <c r="U103" t="s">
        <v>183</v>
      </c>
      <c r="V103" t="s">
        <v>78</v>
      </c>
    </row>
    <row r="104" spans="1:22">
      <c r="A104" s="6" t="s">
        <v>68</v>
      </c>
      <c r="B104" t="s">
        <v>152</v>
      </c>
      <c r="C104" t="s">
        <v>49</v>
      </c>
      <c r="D104" t="s">
        <v>70</v>
      </c>
      <c r="E104" t="s">
        <v>59</v>
      </c>
      <c r="F104" t="s">
        <v>299</v>
      </c>
      <c r="G104" s="24">
        <v>44258.049722222226</v>
      </c>
      <c r="H104">
        <v>21485</v>
      </c>
      <c r="I104">
        <v>1</v>
      </c>
      <c r="J104">
        <v>44257.567569444444</v>
      </c>
      <c r="K104" t="s">
        <v>300</v>
      </c>
      <c r="L104">
        <v>35620</v>
      </c>
      <c r="M104">
        <v>35620</v>
      </c>
      <c r="N104">
        <v>35680</v>
      </c>
      <c r="O104" t="s">
        <v>174</v>
      </c>
      <c r="P104" t="s">
        <v>49</v>
      </c>
      <c r="Q104" t="s">
        <v>175</v>
      </c>
      <c r="R104" t="s">
        <v>174</v>
      </c>
      <c r="S104" t="s">
        <v>49</v>
      </c>
      <c r="T104" t="s">
        <v>175</v>
      </c>
      <c r="U104" t="s">
        <v>209</v>
      </c>
      <c r="V104" t="s">
        <v>210</v>
      </c>
    </row>
    <row r="105" spans="1:22">
      <c r="A105" s="6" t="s">
        <v>68</v>
      </c>
      <c r="B105" t="s">
        <v>152</v>
      </c>
      <c r="C105" t="s">
        <v>49</v>
      </c>
      <c r="D105" t="s">
        <v>70</v>
      </c>
      <c r="E105" t="s">
        <v>59</v>
      </c>
      <c r="F105" t="s">
        <v>301</v>
      </c>
      <c r="G105" s="24">
        <v>44258.048009259262</v>
      </c>
      <c r="H105">
        <v>8173</v>
      </c>
      <c r="I105">
        <v>1</v>
      </c>
      <c r="J105">
        <v>44257.564409722225</v>
      </c>
      <c r="K105" t="s">
        <v>302</v>
      </c>
      <c r="L105">
        <v>20540</v>
      </c>
      <c r="M105">
        <v>20540</v>
      </c>
      <c r="N105">
        <v>20597</v>
      </c>
      <c r="O105" t="s">
        <v>164</v>
      </c>
      <c r="P105" t="s">
        <v>49</v>
      </c>
      <c r="Q105" t="s">
        <v>165</v>
      </c>
      <c r="R105" t="s">
        <v>164</v>
      </c>
      <c r="S105" t="s">
        <v>49</v>
      </c>
      <c r="T105" t="s">
        <v>165</v>
      </c>
      <c r="U105" t="s">
        <v>166</v>
      </c>
      <c r="V105" t="s">
        <v>167</v>
      </c>
    </row>
    <row r="106" spans="1:22">
      <c r="A106" s="6" t="s">
        <v>68</v>
      </c>
      <c r="B106" t="s">
        <v>152</v>
      </c>
      <c r="C106" t="s">
        <v>49</v>
      </c>
      <c r="D106" t="s">
        <v>70</v>
      </c>
      <c r="E106" t="s">
        <v>59</v>
      </c>
      <c r="F106" t="s">
        <v>301</v>
      </c>
      <c r="G106" s="24">
        <v>44258.048009259262</v>
      </c>
      <c r="H106">
        <v>8171</v>
      </c>
      <c r="I106">
        <v>1</v>
      </c>
      <c r="J106">
        <v>44257.560046296298</v>
      </c>
      <c r="K106" t="s">
        <v>303</v>
      </c>
      <c r="L106">
        <v>30140</v>
      </c>
      <c r="M106">
        <v>30140</v>
      </c>
      <c r="N106">
        <v>30223</v>
      </c>
      <c r="O106" t="s">
        <v>164</v>
      </c>
      <c r="P106" t="s">
        <v>49</v>
      </c>
      <c r="Q106" t="s">
        <v>165</v>
      </c>
      <c r="R106" t="s">
        <v>164</v>
      </c>
      <c r="S106" t="s">
        <v>49</v>
      </c>
      <c r="T106" t="s">
        <v>165</v>
      </c>
      <c r="U106" t="s">
        <v>166</v>
      </c>
      <c r="V106" t="s">
        <v>167</v>
      </c>
    </row>
    <row r="107" spans="1:22">
      <c r="A107" s="6" t="s">
        <v>68</v>
      </c>
      <c r="B107" t="s">
        <v>152</v>
      </c>
      <c r="C107" t="s">
        <v>49</v>
      </c>
      <c r="D107" t="s">
        <v>70</v>
      </c>
      <c r="E107" t="s">
        <v>59</v>
      </c>
      <c r="F107" t="s">
        <v>304</v>
      </c>
      <c r="G107" s="24">
        <v>44258.043090277781</v>
      </c>
      <c r="H107">
        <v>27153</v>
      </c>
      <c r="I107">
        <v>1</v>
      </c>
      <c r="J107">
        <v>44256.774456018517</v>
      </c>
      <c r="K107" t="s">
        <v>305</v>
      </c>
      <c r="L107">
        <v>52800</v>
      </c>
      <c r="M107">
        <v>52800</v>
      </c>
      <c r="N107">
        <v>52780</v>
      </c>
      <c r="O107" t="s">
        <v>181</v>
      </c>
      <c r="P107" t="s">
        <v>49</v>
      </c>
      <c r="Q107" t="s">
        <v>182</v>
      </c>
      <c r="R107" t="s">
        <v>181</v>
      </c>
      <c r="S107" t="s">
        <v>49</v>
      </c>
      <c r="T107" t="s">
        <v>182</v>
      </c>
      <c r="U107" t="s">
        <v>183</v>
      </c>
      <c r="V107" t="s">
        <v>78</v>
      </c>
    </row>
    <row r="108" spans="1:22">
      <c r="A108" s="6" t="s">
        <v>68</v>
      </c>
      <c r="B108" t="s">
        <v>152</v>
      </c>
      <c r="C108" t="s">
        <v>49</v>
      </c>
      <c r="D108" t="s">
        <v>70</v>
      </c>
      <c r="E108" t="s">
        <v>59</v>
      </c>
      <c r="F108" t="s">
        <v>168</v>
      </c>
      <c r="G108" s="24">
        <v>44258.041400462964</v>
      </c>
      <c r="H108">
        <v>8172</v>
      </c>
      <c r="I108">
        <v>1</v>
      </c>
      <c r="J108">
        <v>44257.563425925924</v>
      </c>
      <c r="K108" t="s">
        <v>306</v>
      </c>
      <c r="L108">
        <v>50780</v>
      </c>
      <c r="M108">
        <v>50780</v>
      </c>
      <c r="N108">
        <v>50870</v>
      </c>
      <c r="O108" t="s">
        <v>164</v>
      </c>
      <c r="P108" t="s">
        <v>49</v>
      </c>
      <c r="Q108" t="s">
        <v>165</v>
      </c>
      <c r="R108" t="s">
        <v>164</v>
      </c>
      <c r="S108" t="s">
        <v>49</v>
      </c>
      <c r="T108" t="s">
        <v>165</v>
      </c>
      <c r="U108" t="s">
        <v>166</v>
      </c>
      <c r="V108" t="s">
        <v>167</v>
      </c>
    </row>
    <row r="109" spans="1:22">
      <c r="A109" s="6" t="s">
        <v>68</v>
      </c>
      <c r="B109" t="s">
        <v>152</v>
      </c>
      <c r="C109" t="s">
        <v>49</v>
      </c>
      <c r="D109" t="s">
        <v>70</v>
      </c>
      <c r="E109" t="s">
        <v>59</v>
      </c>
      <c r="F109" t="s">
        <v>307</v>
      </c>
      <c r="G109" s="24">
        <v>44258.007326388892</v>
      </c>
      <c r="H109">
        <v>8174</v>
      </c>
      <c r="I109">
        <v>1</v>
      </c>
      <c r="J109">
        <v>44257.716944444444</v>
      </c>
      <c r="K109" t="s">
        <v>308</v>
      </c>
      <c r="L109">
        <v>47900</v>
      </c>
      <c r="M109">
        <v>47900</v>
      </c>
      <c r="N109">
        <v>48020</v>
      </c>
      <c r="O109" t="s">
        <v>164</v>
      </c>
      <c r="P109" t="s">
        <v>49</v>
      </c>
      <c r="Q109" t="s">
        <v>165</v>
      </c>
      <c r="R109" t="s">
        <v>164</v>
      </c>
      <c r="S109" t="s">
        <v>49</v>
      </c>
      <c r="T109" t="s">
        <v>165</v>
      </c>
      <c r="U109" t="s">
        <v>166</v>
      </c>
      <c r="V109" t="s">
        <v>167</v>
      </c>
    </row>
    <row r="110" spans="1:22">
      <c r="A110" s="6" t="s">
        <v>52</v>
      </c>
      <c r="B110" t="s">
        <v>64</v>
      </c>
      <c r="C110" t="s">
        <v>49</v>
      </c>
      <c r="D110" t="s">
        <v>58</v>
      </c>
      <c r="E110" t="s">
        <v>59</v>
      </c>
      <c r="F110" t="s">
        <v>309</v>
      </c>
      <c r="G110" s="24">
        <v>44258.594675925924</v>
      </c>
      <c r="H110">
        <v>113285</v>
      </c>
      <c r="I110">
        <v>10</v>
      </c>
      <c r="J110">
        <v>44256.686932870369</v>
      </c>
      <c r="K110" t="s">
        <v>310</v>
      </c>
      <c r="L110">
        <v>51140</v>
      </c>
      <c r="M110">
        <v>51140</v>
      </c>
      <c r="N110">
        <v>50980</v>
      </c>
      <c r="O110" t="s">
        <v>65</v>
      </c>
      <c r="P110" t="s">
        <v>49</v>
      </c>
      <c r="Q110" t="s">
        <v>66</v>
      </c>
      <c r="R110" t="s">
        <v>65</v>
      </c>
      <c r="S110" t="s">
        <v>49</v>
      </c>
      <c r="T110" t="s">
        <v>66</v>
      </c>
      <c r="U110" t="s">
        <v>167</v>
      </c>
      <c r="V110" t="s">
        <v>167</v>
      </c>
    </row>
    <row r="111" spans="1:22">
      <c r="A111" s="6" t="s">
        <v>52</v>
      </c>
      <c r="B111" t="s">
        <v>64</v>
      </c>
      <c r="C111" t="s">
        <v>49</v>
      </c>
      <c r="D111" t="s">
        <v>58</v>
      </c>
      <c r="E111" t="s">
        <v>59</v>
      </c>
      <c r="F111" t="s">
        <v>311</v>
      </c>
      <c r="G111" s="24">
        <v>44258.589780092596</v>
      </c>
      <c r="H111">
        <v>113417</v>
      </c>
      <c r="I111">
        <v>10</v>
      </c>
      <c r="J111">
        <v>44257.586516203701</v>
      </c>
      <c r="K111" t="s">
        <v>312</v>
      </c>
      <c r="L111">
        <v>49840</v>
      </c>
      <c r="M111">
        <v>49840</v>
      </c>
      <c r="N111">
        <v>49720</v>
      </c>
      <c r="O111" t="s">
        <v>65</v>
      </c>
      <c r="P111" t="s">
        <v>49</v>
      </c>
      <c r="Q111" t="s">
        <v>66</v>
      </c>
      <c r="R111" t="s">
        <v>65</v>
      </c>
      <c r="S111" t="s">
        <v>49</v>
      </c>
      <c r="T111" t="s">
        <v>66</v>
      </c>
      <c r="U111" t="s">
        <v>167</v>
      </c>
      <c r="V111" t="s">
        <v>167</v>
      </c>
    </row>
    <row r="112" spans="1:22">
      <c r="A112" s="6" t="s">
        <v>52</v>
      </c>
      <c r="B112" t="s">
        <v>64</v>
      </c>
      <c r="C112" t="s">
        <v>49</v>
      </c>
      <c r="D112" t="s">
        <v>58</v>
      </c>
      <c r="E112" t="s">
        <v>59</v>
      </c>
      <c r="F112" t="s">
        <v>313</v>
      </c>
      <c r="G112" s="24">
        <v>44258.587777777779</v>
      </c>
      <c r="H112">
        <v>113443</v>
      </c>
      <c r="I112">
        <v>10</v>
      </c>
      <c r="J112">
        <v>44257.672812500001</v>
      </c>
      <c r="K112" t="s">
        <v>314</v>
      </c>
      <c r="L112">
        <v>39880</v>
      </c>
      <c r="M112">
        <v>39880</v>
      </c>
      <c r="N112">
        <v>38920</v>
      </c>
      <c r="O112" t="s">
        <v>65</v>
      </c>
      <c r="P112" t="s">
        <v>49</v>
      </c>
      <c r="Q112" t="s">
        <v>66</v>
      </c>
      <c r="R112" t="s">
        <v>65</v>
      </c>
      <c r="S112" t="s">
        <v>49</v>
      </c>
      <c r="T112" t="s">
        <v>66</v>
      </c>
      <c r="U112" t="s">
        <v>167</v>
      </c>
      <c r="V112" t="s">
        <v>167</v>
      </c>
    </row>
    <row r="113" spans="1:22">
      <c r="A113" s="6" t="s">
        <v>52</v>
      </c>
      <c r="B113" t="s">
        <v>64</v>
      </c>
      <c r="C113" t="s">
        <v>49</v>
      </c>
      <c r="D113" t="s">
        <v>58</v>
      </c>
      <c r="E113" t="s">
        <v>59</v>
      </c>
      <c r="F113" t="s">
        <v>315</v>
      </c>
      <c r="G113" s="24">
        <v>44258.581388888888</v>
      </c>
      <c r="H113">
        <v>113441</v>
      </c>
      <c r="I113">
        <v>10</v>
      </c>
      <c r="J113">
        <v>44257.667025462964</v>
      </c>
      <c r="K113" t="s">
        <v>316</v>
      </c>
      <c r="L113">
        <v>35720</v>
      </c>
      <c r="M113">
        <v>35720</v>
      </c>
      <c r="N113">
        <v>35580</v>
      </c>
      <c r="O113" t="s">
        <v>65</v>
      </c>
      <c r="P113" t="s">
        <v>49</v>
      </c>
      <c r="Q113" t="s">
        <v>66</v>
      </c>
      <c r="R113" t="s">
        <v>65</v>
      </c>
      <c r="S113" t="s">
        <v>49</v>
      </c>
      <c r="T113" t="s">
        <v>66</v>
      </c>
      <c r="U113" t="s">
        <v>167</v>
      </c>
      <c r="V113" t="s">
        <v>167</v>
      </c>
    </row>
    <row r="114" spans="1:22">
      <c r="A114" s="6" t="s">
        <v>52</v>
      </c>
      <c r="B114" t="s">
        <v>64</v>
      </c>
      <c r="C114" t="s">
        <v>49</v>
      </c>
      <c r="D114" t="s">
        <v>58</v>
      </c>
      <c r="E114" t="s">
        <v>59</v>
      </c>
      <c r="F114" t="s">
        <v>317</v>
      </c>
      <c r="G114" s="24">
        <v>44258.565717592595</v>
      </c>
      <c r="H114">
        <v>113342</v>
      </c>
      <c r="I114">
        <v>10</v>
      </c>
      <c r="J114">
        <v>44256.841979166667</v>
      </c>
      <c r="K114" t="s">
        <v>318</v>
      </c>
      <c r="L114">
        <v>31300</v>
      </c>
      <c r="M114">
        <v>31300</v>
      </c>
      <c r="N114">
        <v>31140</v>
      </c>
      <c r="O114" t="s">
        <v>65</v>
      </c>
      <c r="P114" t="s">
        <v>49</v>
      </c>
      <c r="Q114" t="s">
        <v>66</v>
      </c>
      <c r="R114" t="s">
        <v>65</v>
      </c>
      <c r="S114" t="s">
        <v>49</v>
      </c>
      <c r="T114" t="s">
        <v>66</v>
      </c>
      <c r="U114" t="s">
        <v>167</v>
      </c>
      <c r="V114" t="s">
        <v>167</v>
      </c>
    </row>
    <row r="115" spans="1:22">
      <c r="A115" s="6" t="s">
        <v>52</v>
      </c>
      <c r="B115" t="s">
        <v>64</v>
      </c>
      <c r="C115" t="s">
        <v>49</v>
      </c>
      <c r="D115" t="s">
        <v>58</v>
      </c>
      <c r="E115" t="s">
        <v>59</v>
      </c>
      <c r="F115" t="s">
        <v>319</v>
      </c>
      <c r="G115" s="24">
        <v>44258.555960648147</v>
      </c>
      <c r="H115">
        <v>113341</v>
      </c>
      <c r="I115">
        <v>10</v>
      </c>
      <c r="J115">
        <v>44256.841516203705</v>
      </c>
      <c r="K115" t="s">
        <v>320</v>
      </c>
      <c r="L115">
        <v>38740</v>
      </c>
      <c r="M115">
        <v>38740</v>
      </c>
      <c r="N115">
        <v>38620</v>
      </c>
      <c r="O115" t="s">
        <v>65</v>
      </c>
      <c r="P115" t="s">
        <v>49</v>
      </c>
      <c r="Q115" t="s">
        <v>66</v>
      </c>
      <c r="R115" t="s">
        <v>65</v>
      </c>
      <c r="S115" t="s">
        <v>49</v>
      </c>
      <c r="T115" t="s">
        <v>66</v>
      </c>
      <c r="U115" t="s">
        <v>167</v>
      </c>
      <c r="V115" t="s">
        <v>167</v>
      </c>
    </row>
    <row r="116" spans="1:22">
      <c r="A116" s="6" t="s">
        <v>52</v>
      </c>
      <c r="B116" t="s">
        <v>64</v>
      </c>
      <c r="C116" t="s">
        <v>49</v>
      </c>
      <c r="D116" t="s">
        <v>58</v>
      </c>
      <c r="E116" t="s">
        <v>59</v>
      </c>
      <c r="F116" t="s">
        <v>321</v>
      </c>
      <c r="G116" s="24">
        <v>44258.552476851852</v>
      </c>
      <c r="H116">
        <v>113338</v>
      </c>
      <c r="I116">
        <v>10</v>
      </c>
      <c r="J116">
        <v>44256.837743055556</v>
      </c>
      <c r="K116" t="s">
        <v>322</v>
      </c>
      <c r="L116">
        <v>39340</v>
      </c>
      <c r="M116">
        <v>39340</v>
      </c>
      <c r="N116">
        <v>39160</v>
      </c>
      <c r="O116" t="s">
        <v>65</v>
      </c>
      <c r="P116" t="s">
        <v>49</v>
      </c>
      <c r="Q116" t="s">
        <v>66</v>
      </c>
      <c r="R116" t="s">
        <v>65</v>
      </c>
      <c r="S116" t="s">
        <v>49</v>
      </c>
      <c r="T116" t="s">
        <v>66</v>
      </c>
      <c r="U116" t="s">
        <v>167</v>
      </c>
      <c r="V116" t="s">
        <v>167</v>
      </c>
    </row>
    <row r="117" spans="1:22">
      <c r="A117" s="6" t="s">
        <v>52</v>
      </c>
      <c r="B117" t="s">
        <v>64</v>
      </c>
      <c r="C117" t="s">
        <v>49</v>
      </c>
      <c r="D117" t="s">
        <v>58</v>
      </c>
      <c r="E117" t="s">
        <v>59</v>
      </c>
      <c r="F117" t="s">
        <v>323</v>
      </c>
      <c r="G117" s="24">
        <v>44258.542500000003</v>
      </c>
      <c r="H117">
        <v>113397</v>
      </c>
      <c r="I117">
        <v>10</v>
      </c>
      <c r="J117">
        <v>44257.490902777776</v>
      </c>
      <c r="K117" t="s">
        <v>324</v>
      </c>
      <c r="L117">
        <v>37960</v>
      </c>
      <c r="M117">
        <v>37960</v>
      </c>
      <c r="N117">
        <v>37820</v>
      </c>
      <c r="O117" t="s">
        <v>65</v>
      </c>
      <c r="P117" t="s">
        <v>49</v>
      </c>
      <c r="Q117" t="s">
        <v>66</v>
      </c>
      <c r="R117" t="s">
        <v>65</v>
      </c>
      <c r="S117" t="s">
        <v>49</v>
      </c>
      <c r="T117" t="s">
        <v>66</v>
      </c>
      <c r="U117" t="s">
        <v>167</v>
      </c>
      <c r="V117" t="s">
        <v>167</v>
      </c>
    </row>
    <row r="118" spans="1:22">
      <c r="A118" s="6" t="s">
        <v>52</v>
      </c>
      <c r="B118" t="s">
        <v>64</v>
      </c>
      <c r="C118" t="s">
        <v>49</v>
      </c>
      <c r="D118" t="s">
        <v>58</v>
      </c>
      <c r="E118" t="s">
        <v>59</v>
      </c>
      <c r="F118" t="s">
        <v>325</v>
      </c>
      <c r="G118" s="24">
        <v>44258.518194444441</v>
      </c>
      <c r="H118">
        <v>113398</v>
      </c>
      <c r="I118">
        <v>10</v>
      </c>
      <c r="J118">
        <v>44257.494131944448</v>
      </c>
      <c r="K118" t="s">
        <v>326</v>
      </c>
      <c r="L118">
        <v>38320</v>
      </c>
      <c r="M118">
        <v>38320</v>
      </c>
      <c r="N118">
        <v>38220</v>
      </c>
      <c r="O118" t="s">
        <v>65</v>
      </c>
      <c r="P118" t="s">
        <v>49</v>
      </c>
      <c r="Q118" t="s">
        <v>66</v>
      </c>
      <c r="R118" t="s">
        <v>65</v>
      </c>
      <c r="S118" t="s">
        <v>49</v>
      </c>
      <c r="T118" t="s">
        <v>66</v>
      </c>
      <c r="U118" t="s">
        <v>167</v>
      </c>
      <c r="V118" t="s">
        <v>167</v>
      </c>
    </row>
    <row r="119" spans="1:22">
      <c r="A119" s="6" t="s">
        <v>52</v>
      </c>
      <c r="B119" t="s">
        <v>64</v>
      </c>
      <c r="C119" t="s">
        <v>49</v>
      </c>
      <c r="D119" t="s">
        <v>58</v>
      </c>
      <c r="E119" t="s">
        <v>59</v>
      </c>
      <c r="F119" t="s">
        <v>327</v>
      </c>
      <c r="G119" s="24">
        <v>44258.511828703704</v>
      </c>
      <c r="H119">
        <v>113253</v>
      </c>
      <c r="I119">
        <v>10</v>
      </c>
      <c r="J119">
        <v>44256.594305555554</v>
      </c>
      <c r="K119" t="s">
        <v>328</v>
      </c>
      <c r="L119">
        <v>31600</v>
      </c>
      <c r="M119">
        <v>31600</v>
      </c>
      <c r="N119">
        <v>31500</v>
      </c>
      <c r="O119" t="s">
        <v>65</v>
      </c>
      <c r="P119" t="s">
        <v>49</v>
      </c>
      <c r="Q119" t="s">
        <v>66</v>
      </c>
      <c r="R119" t="s">
        <v>65</v>
      </c>
      <c r="S119" t="s">
        <v>49</v>
      </c>
      <c r="T119" t="s">
        <v>66</v>
      </c>
      <c r="U119" t="s">
        <v>167</v>
      </c>
      <c r="V119" t="s">
        <v>167</v>
      </c>
    </row>
    <row r="120" spans="1:22">
      <c r="A120" s="6" t="s">
        <v>52</v>
      </c>
      <c r="B120" t="s">
        <v>64</v>
      </c>
      <c r="C120" t="s">
        <v>49</v>
      </c>
      <c r="D120" t="s">
        <v>58</v>
      </c>
      <c r="E120" t="s">
        <v>59</v>
      </c>
      <c r="F120" t="s">
        <v>329</v>
      </c>
      <c r="G120" s="24">
        <v>44258.485497685186</v>
      </c>
      <c r="H120">
        <v>113304</v>
      </c>
      <c r="I120">
        <v>10</v>
      </c>
      <c r="J120">
        <v>44256.724826388891</v>
      </c>
      <c r="K120" t="s">
        <v>330</v>
      </c>
      <c r="L120">
        <v>32000</v>
      </c>
      <c r="M120">
        <v>32000</v>
      </c>
      <c r="N120">
        <v>32000</v>
      </c>
      <c r="O120" t="s">
        <v>65</v>
      </c>
      <c r="P120" t="s">
        <v>49</v>
      </c>
      <c r="Q120" t="s">
        <v>66</v>
      </c>
      <c r="R120" t="s">
        <v>65</v>
      </c>
      <c r="S120" t="s">
        <v>49</v>
      </c>
      <c r="T120" t="s">
        <v>66</v>
      </c>
      <c r="U120" t="s">
        <v>67</v>
      </c>
    </row>
    <row r="121" spans="1:22">
      <c r="A121" s="6" t="s">
        <v>52</v>
      </c>
      <c r="B121" t="s">
        <v>64</v>
      </c>
      <c r="C121" t="s">
        <v>49</v>
      </c>
      <c r="D121" t="s">
        <v>58</v>
      </c>
      <c r="E121" t="s">
        <v>59</v>
      </c>
      <c r="F121" t="s">
        <v>331</v>
      </c>
      <c r="G121" s="24">
        <v>44258.483912037038</v>
      </c>
      <c r="H121">
        <v>113214</v>
      </c>
      <c r="I121">
        <v>10</v>
      </c>
      <c r="J121">
        <v>44256.323946759258</v>
      </c>
      <c r="K121" t="s">
        <v>332</v>
      </c>
      <c r="L121">
        <v>37780</v>
      </c>
      <c r="M121">
        <v>37780</v>
      </c>
      <c r="N121">
        <v>37740</v>
      </c>
      <c r="O121" t="s">
        <v>65</v>
      </c>
      <c r="P121" t="s">
        <v>49</v>
      </c>
      <c r="Q121" t="s">
        <v>66</v>
      </c>
      <c r="R121" t="s">
        <v>65</v>
      </c>
      <c r="S121" t="s">
        <v>49</v>
      </c>
      <c r="T121" t="s">
        <v>66</v>
      </c>
      <c r="U121" t="s">
        <v>67</v>
      </c>
    </row>
    <row r="122" spans="1:22">
      <c r="A122" s="6" t="s">
        <v>52</v>
      </c>
      <c r="B122" t="s">
        <v>64</v>
      </c>
      <c r="C122" t="s">
        <v>49</v>
      </c>
      <c r="D122" t="s">
        <v>58</v>
      </c>
      <c r="E122" t="s">
        <v>59</v>
      </c>
      <c r="F122" t="s">
        <v>333</v>
      </c>
      <c r="G122" s="24">
        <v>44258.482094907406</v>
      </c>
      <c r="H122">
        <v>113189</v>
      </c>
      <c r="I122">
        <v>10</v>
      </c>
      <c r="J122">
        <v>44255.928078703706</v>
      </c>
      <c r="K122" t="s">
        <v>334</v>
      </c>
      <c r="L122">
        <v>50640</v>
      </c>
      <c r="M122">
        <v>50640</v>
      </c>
      <c r="N122">
        <v>50620</v>
      </c>
      <c r="O122" t="s">
        <v>65</v>
      </c>
      <c r="P122" t="s">
        <v>49</v>
      </c>
      <c r="Q122" t="s">
        <v>66</v>
      </c>
      <c r="R122" t="s">
        <v>65</v>
      </c>
      <c r="S122" t="s">
        <v>49</v>
      </c>
      <c r="T122" t="s">
        <v>66</v>
      </c>
      <c r="U122" t="s">
        <v>67</v>
      </c>
    </row>
    <row r="123" spans="1:22">
      <c r="A123" s="6" t="s">
        <v>52</v>
      </c>
      <c r="B123" t="s">
        <v>64</v>
      </c>
      <c r="C123" t="s">
        <v>49</v>
      </c>
      <c r="D123" t="s">
        <v>58</v>
      </c>
      <c r="E123" t="s">
        <v>59</v>
      </c>
      <c r="F123" t="s">
        <v>335</v>
      </c>
      <c r="G123" s="24">
        <v>44258.465937499997</v>
      </c>
      <c r="H123">
        <v>113167</v>
      </c>
      <c r="I123">
        <v>10</v>
      </c>
      <c r="J123">
        <v>44255.844421296293</v>
      </c>
      <c r="K123" t="s">
        <v>336</v>
      </c>
      <c r="L123">
        <v>51120</v>
      </c>
      <c r="M123">
        <v>51120</v>
      </c>
      <c r="N123">
        <v>51080</v>
      </c>
      <c r="O123" t="s">
        <v>65</v>
      </c>
      <c r="P123" t="s">
        <v>49</v>
      </c>
      <c r="Q123" t="s">
        <v>66</v>
      </c>
      <c r="R123" t="s">
        <v>65</v>
      </c>
      <c r="S123" t="s">
        <v>49</v>
      </c>
      <c r="T123" t="s">
        <v>66</v>
      </c>
      <c r="U123" t="s">
        <v>67</v>
      </c>
    </row>
    <row r="124" spans="1:22">
      <c r="A124" s="6" t="s">
        <v>52</v>
      </c>
      <c r="B124" t="s">
        <v>64</v>
      </c>
      <c r="C124" t="s">
        <v>49</v>
      </c>
      <c r="D124" t="s">
        <v>58</v>
      </c>
      <c r="E124" t="s">
        <v>59</v>
      </c>
      <c r="F124" t="s">
        <v>337</v>
      </c>
      <c r="G124" s="24">
        <v>44258.442256944443</v>
      </c>
      <c r="H124">
        <v>113169</v>
      </c>
      <c r="I124">
        <v>10</v>
      </c>
      <c r="J124">
        <v>44255.846284722225</v>
      </c>
      <c r="K124" t="s">
        <v>338</v>
      </c>
      <c r="L124">
        <v>37980</v>
      </c>
      <c r="M124">
        <v>37980</v>
      </c>
      <c r="N124">
        <v>37940</v>
      </c>
      <c r="O124" t="s">
        <v>65</v>
      </c>
      <c r="P124" t="s">
        <v>49</v>
      </c>
      <c r="Q124" t="s">
        <v>66</v>
      </c>
      <c r="R124" t="s">
        <v>65</v>
      </c>
      <c r="S124" t="s">
        <v>49</v>
      </c>
      <c r="T124" t="s">
        <v>66</v>
      </c>
      <c r="U124" t="s">
        <v>67</v>
      </c>
    </row>
    <row r="125" spans="1:22">
      <c r="A125" s="6" t="s">
        <v>52</v>
      </c>
      <c r="B125" t="s">
        <v>64</v>
      </c>
      <c r="C125" t="s">
        <v>49</v>
      </c>
      <c r="D125" t="s">
        <v>58</v>
      </c>
      <c r="E125" t="s">
        <v>59</v>
      </c>
      <c r="F125" t="s">
        <v>339</v>
      </c>
      <c r="G125" s="24">
        <v>44258.435115740744</v>
      </c>
      <c r="H125">
        <v>113339</v>
      </c>
      <c r="I125">
        <v>10</v>
      </c>
      <c r="J125">
        <v>44256.838831018518</v>
      </c>
      <c r="K125" t="s">
        <v>340</v>
      </c>
      <c r="L125">
        <v>37200</v>
      </c>
      <c r="M125">
        <v>37200</v>
      </c>
      <c r="N125">
        <v>37020</v>
      </c>
      <c r="O125" t="s">
        <v>65</v>
      </c>
      <c r="P125" t="s">
        <v>49</v>
      </c>
      <c r="Q125" t="s">
        <v>66</v>
      </c>
      <c r="R125" t="s">
        <v>65</v>
      </c>
      <c r="S125" t="s">
        <v>49</v>
      </c>
      <c r="T125" t="s">
        <v>66</v>
      </c>
      <c r="U125" t="s">
        <v>167</v>
      </c>
      <c r="V125" t="s">
        <v>167</v>
      </c>
    </row>
    <row r="126" spans="1:22">
      <c r="A126" s="6" t="s">
        <v>52</v>
      </c>
      <c r="B126" t="s">
        <v>64</v>
      </c>
      <c r="C126" t="s">
        <v>49</v>
      </c>
      <c r="D126" t="s">
        <v>58</v>
      </c>
      <c r="E126" t="s">
        <v>59</v>
      </c>
      <c r="F126" t="s">
        <v>341</v>
      </c>
      <c r="G126" s="24">
        <v>44258.432210648149</v>
      </c>
      <c r="H126">
        <v>113334</v>
      </c>
      <c r="I126">
        <v>10</v>
      </c>
      <c r="J126">
        <v>44256.833645833336</v>
      </c>
      <c r="K126" t="s">
        <v>342</v>
      </c>
      <c r="L126">
        <v>31960</v>
      </c>
      <c r="M126">
        <v>31960</v>
      </c>
      <c r="N126">
        <v>31840</v>
      </c>
      <c r="O126" t="s">
        <v>65</v>
      </c>
      <c r="P126" t="s">
        <v>49</v>
      </c>
      <c r="Q126" t="s">
        <v>66</v>
      </c>
      <c r="R126" t="s">
        <v>65</v>
      </c>
      <c r="S126" t="s">
        <v>49</v>
      </c>
      <c r="T126" t="s">
        <v>66</v>
      </c>
      <c r="U126" t="s">
        <v>167</v>
      </c>
      <c r="V126" t="s">
        <v>167</v>
      </c>
    </row>
    <row r="127" spans="1:22">
      <c r="A127" s="6" t="s">
        <v>52</v>
      </c>
      <c r="B127" t="s">
        <v>64</v>
      </c>
      <c r="C127" t="s">
        <v>49</v>
      </c>
      <c r="D127" t="s">
        <v>58</v>
      </c>
      <c r="E127" t="s">
        <v>59</v>
      </c>
      <c r="F127" t="s">
        <v>343</v>
      </c>
      <c r="G127" s="24">
        <v>44258.42863425926</v>
      </c>
      <c r="H127">
        <v>113278</v>
      </c>
      <c r="I127">
        <v>10</v>
      </c>
      <c r="J127">
        <v>44256.674629629626</v>
      </c>
      <c r="K127" t="s">
        <v>344</v>
      </c>
      <c r="L127">
        <v>51480</v>
      </c>
      <c r="M127">
        <v>51480</v>
      </c>
      <c r="N127">
        <v>51240</v>
      </c>
      <c r="O127" t="s">
        <v>65</v>
      </c>
      <c r="P127" t="s">
        <v>49</v>
      </c>
      <c r="Q127" t="s">
        <v>66</v>
      </c>
      <c r="R127" t="s">
        <v>65</v>
      </c>
      <c r="S127" t="s">
        <v>49</v>
      </c>
      <c r="T127" t="s">
        <v>66</v>
      </c>
      <c r="U127" t="s">
        <v>167</v>
      </c>
      <c r="V127" t="s">
        <v>167</v>
      </c>
    </row>
    <row r="128" spans="1:22">
      <c r="A128" s="6" t="s">
        <v>52</v>
      </c>
      <c r="B128" t="s">
        <v>64</v>
      </c>
      <c r="C128" t="s">
        <v>49</v>
      </c>
      <c r="D128" t="s">
        <v>58</v>
      </c>
      <c r="E128" t="s">
        <v>59</v>
      </c>
      <c r="F128" t="s">
        <v>345</v>
      </c>
      <c r="G128" s="24">
        <v>44258.419976851852</v>
      </c>
      <c r="H128">
        <v>113283</v>
      </c>
      <c r="I128">
        <v>10</v>
      </c>
      <c r="J128">
        <v>44256.685671296298</v>
      </c>
      <c r="K128" t="s">
        <v>346</v>
      </c>
      <c r="L128">
        <v>32280</v>
      </c>
      <c r="M128">
        <v>32280</v>
      </c>
      <c r="N128">
        <v>32200</v>
      </c>
      <c r="O128" t="s">
        <v>65</v>
      </c>
      <c r="P128" t="s">
        <v>49</v>
      </c>
      <c r="Q128" t="s">
        <v>66</v>
      </c>
      <c r="R128" t="s">
        <v>65</v>
      </c>
      <c r="S128" t="s">
        <v>49</v>
      </c>
      <c r="T128" t="s">
        <v>66</v>
      </c>
      <c r="U128" t="s">
        <v>167</v>
      </c>
      <c r="V128" t="s">
        <v>167</v>
      </c>
    </row>
    <row r="129" spans="1:22">
      <c r="A129" s="6" t="s">
        <v>52</v>
      </c>
      <c r="B129" t="s">
        <v>64</v>
      </c>
      <c r="C129" t="s">
        <v>49</v>
      </c>
      <c r="D129" t="s">
        <v>58</v>
      </c>
      <c r="E129" t="s">
        <v>59</v>
      </c>
      <c r="F129" t="s">
        <v>347</v>
      </c>
      <c r="G129" s="24">
        <v>44258.403819444444</v>
      </c>
      <c r="H129">
        <v>113323</v>
      </c>
      <c r="I129">
        <v>10</v>
      </c>
      <c r="J129">
        <v>44256.791354166664</v>
      </c>
      <c r="K129" t="s">
        <v>348</v>
      </c>
      <c r="L129">
        <v>26340</v>
      </c>
      <c r="M129">
        <v>26340</v>
      </c>
      <c r="N129">
        <v>26280</v>
      </c>
      <c r="O129" t="s">
        <v>65</v>
      </c>
      <c r="P129" t="s">
        <v>49</v>
      </c>
      <c r="Q129" t="s">
        <v>66</v>
      </c>
      <c r="R129" t="s">
        <v>65</v>
      </c>
      <c r="S129" t="s">
        <v>49</v>
      </c>
      <c r="T129" t="s">
        <v>66</v>
      </c>
      <c r="U129" t="s">
        <v>167</v>
      </c>
      <c r="V129" t="s">
        <v>167</v>
      </c>
    </row>
    <row r="130" spans="1:22">
      <c r="A130" s="6" t="s">
        <v>52</v>
      </c>
      <c r="B130" t="s">
        <v>64</v>
      </c>
      <c r="C130" t="s">
        <v>49</v>
      </c>
      <c r="D130" t="s">
        <v>58</v>
      </c>
      <c r="E130" t="s">
        <v>59</v>
      </c>
      <c r="F130" t="s">
        <v>349</v>
      </c>
      <c r="G130" s="24">
        <v>44258.396874999999</v>
      </c>
      <c r="H130">
        <v>113210</v>
      </c>
      <c r="I130">
        <v>10</v>
      </c>
      <c r="J130">
        <v>44256.318761574075</v>
      </c>
      <c r="K130" t="s">
        <v>350</v>
      </c>
      <c r="L130">
        <v>32100</v>
      </c>
      <c r="M130">
        <v>32100</v>
      </c>
      <c r="N130">
        <v>31820</v>
      </c>
      <c r="O130" t="s">
        <v>65</v>
      </c>
      <c r="P130" t="s">
        <v>49</v>
      </c>
      <c r="Q130" t="s">
        <v>66</v>
      </c>
      <c r="R130" t="s">
        <v>65</v>
      </c>
      <c r="S130" t="s">
        <v>49</v>
      </c>
      <c r="T130" t="s">
        <v>66</v>
      </c>
      <c r="U130" t="s">
        <v>167</v>
      </c>
      <c r="V130" t="s">
        <v>167</v>
      </c>
    </row>
    <row r="131" spans="1:22">
      <c r="A131" s="6" t="s">
        <v>52</v>
      </c>
      <c r="B131" t="s">
        <v>64</v>
      </c>
      <c r="C131" t="s">
        <v>49</v>
      </c>
      <c r="D131" t="s">
        <v>58</v>
      </c>
      <c r="E131" t="s">
        <v>59</v>
      </c>
      <c r="F131" t="s">
        <v>351</v>
      </c>
      <c r="G131" s="24">
        <v>44258.393414351849</v>
      </c>
      <c r="H131">
        <v>113211</v>
      </c>
      <c r="I131">
        <v>10</v>
      </c>
      <c r="J131">
        <v>44256.31925925926</v>
      </c>
      <c r="K131" t="s">
        <v>352</v>
      </c>
      <c r="L131">
        <v>38620</v>
      </c>
      <c r="M131">
        <v>38620</v>
      </c>
      <c r="N131">
        <v>38540</v>
      </c>
      <c r="O131" t="s">
        <v>65</v>
      </c>
      <c r="P131" t="s">
        <v>49</v>
      </c>
      <c r="Q131" t="s">
        <v>66</v>
      </c>
      <c r="R131" t="s">
        <v>65</v>
      </c>
      <c r="S131" t="s">
        <v>49</v>
      </c>
      <c r="T131" t="s">
        <v>66</v>
      </c>
      <c r="U131" t="s">
        <v>167</v>
      </c>
      <c r="V131" t="s">
        <v>167</v>
      </c>
    </row>
    <row r="132" spans="1:22">
      <c r="A132" s="6" t="s">
        <v>52</v>
      </c>
      <c r="B132" t="s">
        <v>64</v>
      </c>
      <c r="C132" t="s">
        <v>49</v>
      </c>
      <c r="D132" t="s">
        <v>58</v>
      </c>
      <c r="E132" t="s">
        <v>59</v>
      </c>
      <c r="F132" t="s">
        <v>353</v>
      </c>
      <c r="G132" s="24">
        <v>44258.385243055556</v>
      </c>
      <c r="H132">
        <v>113201</v>
      </c>
      <c r="I132">
        <v>10</v>
      </c>
      <c r="J132">
        <v>44256.299027777779</v>
      </c>
      <c r="K132" t="s">
        <v>354</v>
      </c>
      <c r="L132">
        <v>37540</v>
      </c>
      <c r="M132">
        <v>37540</v>
      </c>
      <c r="N132">
        <v>37460</v>
      </c>
      <c r="O132" t="s">
        <v>65</v>
      </c>
      <c r="P132" t="s">
        <v>49</v>
      </c>
      <c r="Q132" t="s">
        <v>66</v>
      </c>
      <c r="R132" t="s">
        <v>65</v>
      </c>
      <c r="S132" t="s">
        <v>49</v>
      </c>
      <c r="T132" t="s">
        <v>66</v>
      </c>
      <c r="U132" t="s">
        <v>167</v>
      </c>
      <c r="V132" t="s">
        <v>167</v>
      </c>
    </row>
    <row r="133" spans="1:22">
      <c r="A133" s="6" t="s">
        <v>52</v>
      </c>
      <c r="B133" t="s">
        <v>64</v>
      </c>
      <c r="C133" t="s">
        <v>49</v>
      </c>
      <c r="D133" t="s">
        <v>58</v>
      </c>
      <c r="E133" t="s">
        <v>59</v>
      </c>
      <c r="F133" t="s">
        <v>355</v>
      </c>
      <c r="G133" s="24">
        <v>44258.384062500001</v>
      </c>
      <c r="H133">
        <v>113212</v>
      </c>
      <c r="I133">
        <v>10</v>
      </c>
      <c r="J133">
        <v>44256.320659722223</v>
      </c>
      <c r="K133" t="s">
        <v>356</v>
      </c>
      <c r="L133">
        <v>37740</v>
      </c>
      <c r="M133">
        <v>37740</v>
      </c>
      <c r="N133">
        <v>37700</v>
      </c>
      <c r="O133" t="s">
        <v>65</v>
      </c>
      <c r="P133" t="s">
        <v>49</v>
      </c>
      <c r="Q133" t="s">
        <v>66</v>
      </c>
      <c r="R133" t="s">
        <v>65</v>
      </c>
      <c r="S133" t="s">
        <v>49</v>
      </c>
      <c r="T133" t="s">
        <v>66</v>
      </c>
      <c r="U133" t="s">
        <v>167</v>
      </c>
      <c r="V133" t="s">
        <v>167</v>
      </c>
    </row>
    <row r="134" spans="1:22">
      <c r="A134" s="6" t="s">
        <v>52</v>
      </c>
      <c r="B134" t="s">
        <v>64</v>
      </c>
      <c r="C134" t="s">
        <v>49</v>
      </c>
      <c r="D134" t="s">
        <v>58</v>
      </c>
      <c r="E134" t="s">
        <v>59</v>
      </c>
      <c r="F134" t="s">
        <v>357</v>
      </c>
      <c r="G134" s="24">
        <v>44258.372708333336</v>
      </c>
      <c r="H134">
        <v>113209</v>
      </c>
      <c r="I134">
        <v>10</v>
      </c>
      <c r="J134">
        <v>44256.31658564815</v>
      </c>
      <c r="K134" t="s">
        <v>358</v>
      </c>
      <c r="L134">
        <v>38040</v>
      </c>
      <c r="M134">
        <v>38040</v>
      </c>
      <c r="N134">
        <v>37900</v>
      </c>
      <c r="O134" t="s">
        <v>65</v>
      </c>
      <c r="P134" t="s">
        <v>49</v>
      </c>
      <c r="Q134" t="s">
        <v>66</v>
      </c>
      <c r="R134" t="s">
        <v>65</v>
      </c>
      <c r="S134" t="s">
        <v>49</v>
      </c>
      <c r="T134" t="s">
        <v>66</v>
      </c>
      <c r="U134" t="s">
        <v>167</v>
      </c>
      <c r="V134" t="s">
        <v>167</v>
      </c>
    </row>
    <row r="135" spans="1:22">
      <c r="A135" s="6" t="s">
        <v>52</v>
      </c>
      <c r="B135" t="s">
        <v>64</v>
      </c>
      <c r="C135" t="s">
        <v>49</v>
      </c>
      <c r="D135" t="s">
        <v>58</v>
      </c>
      <c r="E135" t="s">
        <v>59</v>
      </c>
      <c r="F135" t="s">
        <v>359</v>
      </c>
      <c r="G135" s="24">
        <v>44258.36515046296</v>
      </c>
      <c r="H135">
        <v>113246</v>
      </c>
      <c r="I135">
        <v>10</v>
      </c>
      <c r="J135">
        <v>44256.573344907411</v>
      </c>
      <c r="K135" t="s">
        <v>360</v>
      </c>
      <c r="L135">
        <v>38620</v>
      </c>
      <c r="M135">
        <v>38620</v>
      </c>
      <c r="N135">
        <v>38440</v>
      </c>
      <c r="O135" t="s">
        <v>65</v>
      </c>
      <c r="P135" t="s">
        <v>49</v>
      </c>
      <c r="Q135" t="s">
        <v>66</v>
      </c>
      <c r="R135" t="s">
        <v>65</v>
      </c>
      <c r="S135" t="s">
        <v>49</v>
      </c>
      <c r="T135" t="s">
        <v>66</v>
      </c>
      <c r="U135" t="s">
        <v>167</v>
      </c>
      <c r="V135" t="s">
        <v>167</v>
      </c>
    </row>
    <row r="136" spans="1:22">
      <c r="A136" s="6" t="s">
        <v>52</v>
      </c>
      <c r="B136" t="s">
        <v>64</v>
      </c>
      <c r="C136" t="s">
        <v>49</v>
      </c>
      <c r="D136" t="s">
        <v>58</v>
      </c>
      <c r="E136" t="s">
        <v>59</v>
      </c>
      <c r="F136" t="s">
        <v>361</v>
      </c>
      <c r="G136" s="24">
        <v>44258.349027777775</v>
      </c>
      <c r="H136">
        <v>113332</v>
      </c>
      <c r="I136">
        <v>10</v>
      </c>
      <c r="J136">
        <v>44256.831423611111</v>
      </c>
      <c r="K136" t="s">
        <v>362</v>
      </c>
      <c r="L136">
        <v>50580</v>
      </c>
      <c r="M136">
        <v>50580</v>
      </c>
      <c r="N136">
        <v>50400</v>
      </c>
      <c r="O136" t="s">
        <v>65</v>
      </c>
      <c r="P136" t="s">
        <v>49</v>
      </c>
      <c r="Q136" t="s">
        <v>66</v>
      </c>
      <c r="R136" t="s">
        <v>65</v>
      </c>
      <c r="S136" t="s">
        <v>49</v>
      </c>
      <c r="T136" t="s">
        <v>66</v>
      </c>
      <c r="U136" t="s">
        <v>167</v>
      </c>
      <c r="V136" t="s">
        <v>167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rgb="FFFFC000"/>
  </sheetPr>
  <dimension ref="B1:G96"/>
  <sheetViews>
    <sheetView workbookViewId="0">
      <selection activeCell="D4" sqref="D4:D96"/>
    </sheetView>
  </sheetViews>
  <sheetFormatPr defaultRowHeight="15"/>
  <cols>
    <col min="2" max="2" width="44.42578125" style="28" customWidth="1"/>
    <col min="3" max="3" width="32.85546875" customWidth="1"/>
    <col min="5" max="5" width="24" bestFit="1" customWidth="1"/>
    <col min="6" max="6" width="20.28515625" bestFit="1" customWidth="1"/>
  </cols>
  <sheetData>
    <row r="1" spans="2:7" ht="15.75">
      <c r="B1" s="29" t="s">
        <v>28</v>
      </c>
      <c r="C1" s="27" t="s">
        <v>27</v>
      </c>
      <c r="E1" t="s">
        <v>68</v>
      </c>
      <c r="F1" t="str">
        <f>IFERROR(VLOOKUP(E1,B:C,2,0),"")</f>
        <v>24.962.466/0015-31</v>
      </c>
      <c r="G1">
        <v>1</v>
      </c>
    </row>
    <row r="2" spans="2:7">
      <c r="B2" s="31" t="s">
        <v>68</v>
      </c>
      <c r="C2" s="26" t="s">
        <v>29</v>
      </c>
    </row>
    <row r="3" spans="2:7">
      <c r="B3" s="31" t="s">
        <v>56</v>
      </c>
      <c r="C3" s="26" t="s">
        <v>53</v>
      </c>
      <c r="E3" s="32" t="s">
        <v>41</v>
      </c>
      <c r="F3" s="32" t="s">
        <v>22</v>
      </c>
    </row>
    <row r="4" spans="2:7">
      <c r="B4" s="31" t="s">
        <v>52</v>
      </c>
      <c r="C4" s="26" t="s">
        <v>54</v>
      </c>
      <c r="D4">
        <f>IF(E4&lt;&gt;"",IF(E4=E5,D3+1,1),"")</f>
        <v>1</v>
      </c>
      <c r="E4" t="s">
        <v>174</v>
      </c>
      <c r="F4" t="s">
        <v>68</v>
      </c>
    </row>
    <row r="5" spans="2:7">
      <c r="B5" s="31"/>
      <c r="C5" s="26"/>
      <c r="D5">
        <f t="shared" ref="D5:D68" si="0">IF(E5&lt;&gt;"",IF(E5=E6,D4+1,1),"")</f>
        <v>1</v>
      </c>
      <c r="E5" t="s">
        <v>60</v>
      </c>
      <c r="F5" t="s">
        <v>56</v>
      </c>
    </row>
    <row r="6" spans="2:7">
      <c r="B6" s="30"/>
      <c r="C6" s="26"/>
      <c r="D6">
        <f t="shared" si="0"/>
        <v>2</v>
      </c>
      <c r="E6" t="s">
        <v>65</v>
      </c>
      <c r="F6" t="s">
        <v>52</v>
      </c>
    </row>
    <row r="7" spans="2:7">
      <c r="B7" s="30"/>
      <c r="C7" s="26"/>
      <c r="D7">
        <f t="shared" si="0"/>
        <v>1</v>
      </c>
      <c r="E7" t="s">
        <v>65</v>
      </c>
      <c r="F7" t="s">
        <v>68</v>
      </c>
    </row>
    <row r="8" spans="2:7">
      <c r="B8" s="30"/>
      <c r="C8" s="26"/>
      <c r="D8">
        <f t="shared" si="0"/>
        <v>1</v>
      </c>
      <c r="E8" t="s">
        <v>71</v>
      </c>
      <c r="F8" t="s">
        <v>68</v>
      </c>
    </row>
    <row r="9" spans="2:7">
      <c r="B9" s="30"/>
      <c r="C9" s="26"/>
      <c r="D9">
        <f t="shared" si="0"/>
        <v>1</v>
      </c>
      <c r="E9" t="s">
        <v>155</v>
      </c>
      <c r="F9" t="s">
        <v>68</v>
      </c>
    </row>
    <row r="10" spans="2:7">
      <c r="B10" s="30"/>
      <c r="C10" s="26"/>
      <c r="D10">
        <f t="shared" si="0"/>
        <v>1</v>
      </c>
      <c r="E10" t="s">
        <v>164</v>
      </c>
      <c r="F10" t="s">
        <v>68</v>
      </c>
    </row>
    <row r="11" spans="2:7">
      <c r="B11" s="30"/>
      <c r="C11" s="26"/>
      <c r="D11">
        <f t="shared" si="0"/>
        <v>1</v>
      </c>
      <c r="E11" t="s">
        <v>181</v>
      </c>
      <c r="F11" t="s">
        <v>68</v>
      </c>
    </row>
    <row r="12" spans="2:7">
      <c r="B12" s="30"/>
      <c r="C12" s="26"/>
      <c r="D12" t="str">
        <f t="shared" si="0"/>
        <v/>
      </c>
    </row>
    <row r="13" spans="2:7">
      <c r="B13" s="30"/>
      <c r="C13" s="26"/>
      <c r="D13" t="str">
        <f t="shared" si="0"/>
        <v/>
      </c>
    </row>
    <row r="14" spans="2:7">
      <c r="B14" s="30"/>
      <c r="C14" s="26"/>
      <c r="D14" t="str">
        <f t="shared" si="0"/>
        <v/>
      </c>
    </row>
    <row r="15" spans="2:7">
      <c r="B15" s="30"/>
      <c r="C15" s="26"/>
      <c r="D15" t="str">
        <f t="shared" si="0"/>
        <v/>
      </c>
    </row>
    <row r="16" spans="2:7">
      <c r="D16" t="str">
        <f t="shared" si="0"/>
        <v/>
      </c>
    </row>
    <row r="17" spans="4:4">
      <c r="D17" t="str">
        <f t="shared" si="0"/>
        <v/>
      </c>
    </row>
    <row r="18" spans="4:4">
      <c r="D18" t="str">
        <f t="shared" si="0"/>
        <v/>
      </c>
    </row>
    <row r="19" spans="4:4">
      <c r="D19" t="str">
        <f t="shared" si="0"/>
        <v/>
      </c>
    </row>
    <row r="20" spans="4:4">
      <c r="D20" t="str">
        <f t="shared" si="0"/>
        <v/>
      </c>
    </row>
    <row r="21" spans="4:4">
      <c r="D21" t="str">
        <f t="shared" si="0"/>
        <v/>
      </c>
    </row>
    <row r="22" spans="4:4">
      <c r="D22" t="str">
        <f t="shared" si="0"/>
        <v/>
      </c>
    </row>
    <row r="23" spans="4:4">
      <c r="D23" t="str">
        <f t="shared" si="0"/>
        <v/>
      </c>
    </row>
    <row r="24" spans="4:4">
      <c r="D24" t="str">
        <f t="shared" si="0"/>
        <v/>
      </c>
    </row>
    <row r="25" spans="4:4">
      <c r="D25" t="str">
        <f t="shared" si="0"/>
        <v/>
      </c>
    </row>
    <row r="26" spans="4:4">
      <c r="D26" t="str">
        <f t="shared" si="0"/>
        <v/>
      </c>
    </row>
    <row r="27" spans="4:4">
      <c r="D27" t="str">
        <f t="shared" si="0"/>
        <v/>
      </c>
    </row>
    <row r="28" spans="4:4">
      <c r="D28" t="str">
        <f t="shared" si="0"/>
        <v/>
      </c>
    </row>
    <row r="29" spans="4:4">
      <c r="D29" t="str">
        <f t="shared" si="0"/>
        <v/>
      </c>
    </row>
    <row r="30" spans="4:4">
      <c r="D30" t="str">
        <f t="shared" si="0"/>
        <v/>
      </c>
    </row>
    <row r="31" spans="4:4">
      <c r="D31" t="str">
        <f t="shared" si="0"/>
        <v/>
      </c>
    </row>
    <row r="32" spans="4:4">
      <c r="D32" t="str">
        <f t="shared" si="0"/>
        <v/>
      </c>
    </row>
    <row r="33" spans="4:4">
      <c r="D33" t="str">
        <f t="shared" si="0"/>
        <v/>
      </c>
    </row>
    <row r="34" spans="4:4">
      <c r="D34" t="str">
        <f t="shared" si="0"/>
        <v/>
      </c>
    </row>
    <row r="35" spans="4:4">
      <c r="D35" t="str">
        <f t="shared" si="0"/>
        <v/>
      </c>
    </row>
    <row r="36" spans="4:4">
      <c r="D36" t="str">
        <f t="shared" si="0"/>
        <v/>
      </c>
    </row>
    <row r="37" spans="4:4">
      <c r="D37" t="str">
        <f t="shared" si="0"/>
        <v/>
      </c>
    </row>
    <row r="38" spans="4:4">
      <c r="D38" t="str">
        <f t="shared" si="0"/>
        <v/>
      </c>
    </row>
    <row r="39" spans="4:4">
      <c r="D39" t="str">
        <f t="shared" si="0"/>
        <v/>
      </c>
    </row>
    <row r="40" spans="4:4">
      <c r="D40" t="str">
        <f t="shared" si="0"/>
        <v/>
      </c>
    </row>
    <row r="41" spans="4:4">
      <c r="D41" t="str">
        <f t="shared" si="0"/>
        <v/>
      </c>
    </row>
    <row r="42" spans="4:4">
      <c r="D42" t="str">
        <f t="shared" si="0"/>
        <v/>
      </c>
    </row>
    <row r="43" spans="4:4">
      <c r="D43" t="str">
        <f t="shared" si="0"/>
        <v/>
      </c>
    </row>
    <row r="44" spans="4:4">
      <c r="D44" t="str">
        <f t="shared" si="0"/>
        <v/>
      </c>
    </row>
    <row r="45" spans="4:4">
      <c r="D45" t="str">
        <f t="shared" si="0"/>
        <v/>
      </c>
    </row>
    <row r="46" spans="4:4">
      <c r="D46" t="str">
        <f t="shared" si="0"/>
        <v/>
      </c>
    </row>
    <row r="47" spans="4:4">
      <c r="D47" t="str">
        <f t="shared" si="0"/>
        <v/>
      </c>
    </row>
    <row r="48" spans="4:4">
      <c r="D48" t="str">
        <f t="shared" si="0"/>
        <v/>
      </c>
    </row>
    <row r="49" spans="4:4">
      <c r="D49" t="str">
        <f t="shared" si="0"/>
        <v/>
      </c>
    </row>
    <row r="50" spans="4:4">
      <c r="D50" t="str">
        <f t="shared" si="0"/>
        <v/>
      </c>
    </row>
    <row r="51" spans="4:4">
      <c r="D51" t="str">
        <f t="shared" si="0"/>
        <v/>
      </c>
    </row>
    <row r="52" spans="4:4">
      <c r="D52" t="str">
        <f t="shared" si="0"/>
        <v/>
      </c>
    </row>
    <row r="53" spans="4:4">
      <c r="D53" t="str">
        <f t="shared" si="0"/>
        <v/>
      </c>
    </row>
    <row r="54" spans="4:4">
      <c r="D54" t="str">
        <f t="shared" si="0"/>
        <v/>
      </c>
    </row>
    <row r="55" spans="4:4">
      <c r="D55" t="str">
        <f t="shared" si="0"/>
        <v/>
      </c>
    </row>
    <row r="56" spans="4:4">
      <c r="D56" t="str">
        <f t="shared" si="0"/>
        <v/>
      </c>
    </row>
    <row r="57" spans="4:4">
      <c r="D57" t="str">
        <f t="shared" si="0"/>
        <v/>
      </c>
    </row>
    <row r="58" spans="4:4">
      <c r="D58" t="str">
        <f t="shared" si="0"/>
        <v/>
      </c>
    </row>
    <row r="59" spans="4:4">
      <c r="D59" t="str">
        <f t="shared" si="0"/>
        <v/>
      </c>
    </row>
    <row r="60" spans="4:4">
      <c r="D60" t="str">
        <f t="shared" si="0"/>
        <v/>
      </c>
    </row>
    <row r="61" spans="4:4">
      <c r="D61" t="str">
        <f t="shared" si="0"/>
        <v/>
      </c>
    </row>
    <row r="62" spans="4:4">
      <c r="D62" t="str">
        <f t="shared" si="0"/>
        <v/>
      </c>
    </row>
    <row r="63" spans="4:4">
      <c r="D63" t="str">
        <f t="shared" si="0"/>
        <v/>
      </c>
    </row>
    <row r="64" spans="4:4">
      <c r="D64" t="str">
        <f t="shared" si="0"/>
        <v/>
      </c>
    </row>
    <row r="65" spans="4:4">
      <c r="D65" t="str">
        <f t="shared" si="0"/>
        <v/>
      </c>
    </row>
    <row r="66" spans="4:4">
      <c r="D66" t="str">
        <f t="shared" si="0"/>
        <v/>
      </c>
    </row>
    <row r="67" spans="4:4">
      <c r="D67" t="str">
        <f t="shared" si="0"/>
        <v/>
      </c>
    </row>
    <row r="68" spans="4:4">
      <c r="D68" t="str">
        <f t="shared" si="0"/>
        <v/>
      </c>
    </row>
    <row r="69" spans="4:4">
      <c r="D69" t="str">
        <f t="shared" ref="D69:D96" si="1">IF(E69&lt;&gt;"",IF(E69=E70,D68+1,1),"")</f>
        <v/>
      </c>
    </row>
    <row r="70" spans="4:4">
      <c r="D70" t="str">
        <f t="shared" si="1"/>
        <v/>
      </c>
    </row>
    <row r="71" spans="4:4">
      <c r="D71" t="str">
        <f t="shared" si="1"/>
        <v/>
      </c>
    </row>
    <row r="72" spans="4:4">
      <c r="D72" t="str">
        <f t="shared" si="1"/>
        <v/>
      </c>
    </row>
    <row r="73" spans="4:4">
      <c r="D73" t="str">
        <f t="shared" si="1"/>
        <v/>
      </c>
    </row>
    <row r="74" spans="4:4">
      <c r="D74" t="str">
        <f t="shared" si="1"/>
        <v/>
      </c>
    </row>
    <row r="75" spans="4:4">
      <c r="D75" t="str">
        <f t="shared" si="1"/>
        <v/>
      </c>
    </row>
    <row r="76" spans="4:4">
      <c r="D76" t="str">
        <f t="shared" si="1"/>
        <v/>
      </c>
    </row>
    <row r="77" spans="4:4">
      <c r="D77" t="str">
        <f t="shared" si="1"/>
        <v/>
      </c>
    </row>
    <row r="78" spans="4:4">
      <c r="D78" t="str">
        <f t="shared" si="1"/>
        <v/>
      </c>
    </row>
    <row r="79" spans="4:4">
      <c r="D79" t="str">
        <f t="shared" si="1"/>
        <v/>
      </c>
    </row>
    <row r="80" spans="4:4">
      <c r="D80" t="str">
        <f t="shared" si="1"/>
        <v/>
      </c>
    </row>
    <row r="81" spans="4:4">
      <c r="D81" t="str">
        <f t="shared" si="1"/>
        <v/>
      </c>
    </row>
    <row r="82" spans="4:4">
      <c r="D82" t="str">
        <f t="shared" si="1"/>
        <v/>
      </c>
    </row>
    <row r="83" spans="4:4">
      <c r="D83" t="str">
        <f t="shared" si="1"/>
        <v/>
      </c>
    </row>
    <row r="84" spans="4:4">
      <c r="D84" t="str">
        <f t="shared" si="1"/>
        <v/>
      </c>
    </row>
    <row r="85" spans="4:4">
      <c r="D85" t="str">
        <f t="shared" si="1"/>
        <v/>
      </c>
    </row>
    <row r="86" spans="4:4">
      <c r="D86" t="str">
        <f t="shared" si="1"/>
        <v/>
      </c>
    </row>
    <row r="87" spans="4:4">
      <c r="D87" t="str">
        <f t="shared" si="1"/>
        <v/>
      </c>
    </row>
    <row r="88" spans="4:4">
      <c r="D88" t="str">
        <f t="shared" si="1"/>
        <v/>
      </c>
    </row>
    <row r="89" spans="4:4">
      <c r="D89" t="str">
        <f t="shared" si="1"/>
        <v/>
      </c>
    </row>
    <row r="90" spans="4:4">
      <c r="D90" t="str">
        <f t="shared" si="1"/>
        <v/>
      </c>
    </row>
    <row r="91" spans="4:4">
      <c r="D91" t="str">
        <f t="shared" si="1"/>
        <v/>
      </c>
    </row>
    <row r="92" spans="4:4">
      <c r="D92" t="str">
        <f t="shared" si="1"/>
        <v/>
      </c>
    </row>
    <row r="93" spans="4:4">
      <c r="D93" t="str">
        <f t="shared" si="1"/>
        <v/>
      </c>
    </row>
    <row r="94" spans="4:4">
      <c r="D94" t="str">
        <f t="shared" si="1"/>
        <v/>
      </c>
    </row>
    <row r="95" spans="4:4">
      <c r="D95" t="str">
        <f t="shared" si="1"/>
        <v/>
      </c>
    </row>
    <row r="96" spans="4:4">
      <c r="D96" t="str">
        <f t="shared" si="1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2021-03-05T12:47:45Z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236020b0-6d69-48c1-9bb5-c586c1062b70_Enabled">
    <vt:lpwstr>True</vt:lpwstr>
  </property>
  <property fmtid="{D5CDD505-2E9C-101B-9397-08002B2CF9AE}" pid="4" name="MSIP_Label_236020b0-6d69-48c1-9bb5-c586c1062b70_SiteId">
    <vt:lpwstr>cf36141c-ddd7-45a7-b073-111f66d0b30c</vt:lpwstr>
  </property>
  <property fmtid="{D5CDD505-2E9C-101B-9397-08002B2CF9AE}" pid="5" name="MSIP_Label_236020b0-6d69-48c1-9bb5-c586c1062b70_Owner">
    <vt:lpwstr>hugo.bueno.da.silva@avanade.com</vt:lpwstr>
  </property>
  <property fmtid="{D5CDD505-2E9C-101B-9397-08002B2CF9AE}" pid="6" name="MSIP_Label_236020b0-6d69-48c1-9bb5-c586c1062b70_SetDate">
    <vt:lpwstr>2020-01-28T16:36:14.4759304Z</vt:lpwstr>
  </property>
  <property fmtid="{D5CDD505-2E9C-101B-9397-08002B2CF9AE}" pid="7" name="MSIP_Label_236020b0-6d69-48c1-9bb5-c586c1062b70_Name">
    <vt:lpwstr>Confidential</vt:lpwstr>
  </property>
  <property fmtid="{D5CDD505-2E9C-101B-9397-08002B2CF9AE}" pid="8" name="MSIP_Label_236020b0-6d69-48c1-9bb5-c586c1062b70_Application">
    <vt:lpwstr>Microsoft Azure Information Protection</vt:lpwstr>
  </property>
  <property fmtid="{D5CDD505-2E9C-101B-9397-08002B2CF9AE}" pid="9" name="MSIP_Label_236020b0-6d69-48c1-9bb5-c586c1062b70_ActionId">
    <vt:lpwstr>2ba9627d-70e1-4c90-b606-7b89d12e0f01</vt:lpwstr>
  </property>
  <property fmtid="{D5CDD505-2E9C-101B-9397-08002B2CF9AE}" pid="10" name="MSIP_Label_236020b0-6d69-48c1-9bb5-c586c1062b70_Extended_MSFT_Method">
    <vt:lpwstr>Automatic</vt:lpwstr>
  </property>
  <property fmtid="{D5CDD505-2E9C-101B-9397-08002B2CF9AE}" pid="11" name="MSIP_Label_5fae8262-b78e-4366-8929-a5d6aac95320_Enabled">
    <vt:lpwstr>True</vt:lpwstr>
  </property>
  <property fmtid="{D5CDD505-2E9C-101B-9397-08002B2CF9AE}" pid="12" name="MSIP_Label_5fae8262-b78e-4366-8929-a5d6aac95320_SiteId">
    <vt:lpwstr>cf36141c-ddd7-45a7-b073-111f66d0b30c</vt:lpwstr>
  </property>
  <property fmtid="{D5CDD505-2E9C-101B-9397-08002B2CF9AE}" pid="13" name="MSIP_Label_5fae8262-b78e-4366-8929-a5d6aac95320_Owner">
    <vt:lpwstr>hugo.bueno.da.silva@avanade.com</vt:lpwstr>
  </property>
  <property fmtid="{D5CDD505-2E9C-101B-9397-08002B2CF9AE}" pid="14" name="MSIP_Label_5fae8262-b78e-4366-8929-a5d6aac95320_SetDate">
    <vt:lpwstr>2020-01-28T16:36:14.4759304Z</vt:lpwstr>
  </property>
  <property fmtid="{D5CDD505-2E9C-101B-9397-08002B2CF9AE}" pid="15" name="MSIP_Label_5fae8262-b78e-4366-8929-a5d6aac95320_Name">
    <vt:lpwstr>Recipients Have Full Control</vt:lpwstr>
  </property>
  <property fmtid="{D5CDD505-2E9C-101B-9397-08002B2CF9AE}" pid="16" name="MSIP_Label_5fae8262-b78e-4366-8929-a5d6aac95320_Application">
    <vt:lpwstr>Microsoft Azure Information Protection</vt:lpwstr>
  </property>
  <property fmtid="{D5CDD505-2E9C-101B-9397-08002B2CF9AE}" pid="17" name="MSIP_Label_5fae8262-b78e-4366-8929-a5d6aac95320_ActionId">
    <vt:lpwstr>2ba9627d-70e1-4c90-b606-7b89d12e0f01</vt:lpwstr>
  </property>
  <property fmtid="{D5CDD505-2E9C-101B-9397-08002B2CF9AE}" pid="18" name="MSIP_Label_5fae8262-b78e-4366-8929-a5d6aac95320_Parent">
    <vt:lpwstr>236020b0-6d69-48c1-9bb5-c586c1062b70</vt:lpwstr>
  </property>
  <property fmtid="{D5CDD505-2E9C-101B-9397-08002B2CF9AE}" pid="19" name="MSIP_Label_5fae8262-b78e-4366-8929-a5d6aac95320_Extended_MSFT_Method">
    <vt:lpwstr>Automatic</vt:lpwstr>
  </property>
  <property fmtid="{D5CDD505-2E9C-101B-9397-08002B2CF9AE}" pid="20" name="Sensitivity">
    <vt:lpwstr>Confidential Recipients Have Full Control</vt:lpwstr>
  </property>
</Properties>
</file>