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17\"/>
    </mc:Choice>
  </mc:AlternateContent>
  <xr:revisionPtr revIDLastSave="0" documentId="13_ncr:1_{4DB33DA8-F013-4E2E-924C-668BA8804840}" xr6:coauthVersionLast="46" xr6:coauthVersionMax="46" xr10:uidLastSave="{00000000-0000-0000-0000-000000000000}"/>
  <bookViews>
    <workbookView xWindow="-120" yWindow="-120" windowWidth="24240" windowHeight="17790" tabRatio="381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17" r:id="rId4"/>
  </pivotCaches>
</workbook>
</file>

<file path=xl/calcChain.xml><?xml version="1.0" encoding="utf-8"?>
<calcChain xmlns="http://schemas.openxmlformats.org/spreadsheetml/2006/main">
  <c r="H11" i="12" l="1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M2" i="10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<sst xmlns="http://schemas.openxmlformats.org/spreadsheetml/2006/main" count="1301" uniqueCount="272">
  <si>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</si>
  <si>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</si>
  <si>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</si>
  <si>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</si>
  <si>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</si>
  <si>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</si>
  <si>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</si>
  <si>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</si>
  <si>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</si>
  <si>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</si>
  <si>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</si>
  <si>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</si>
  <si>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</si>
  <si>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</si>
  <si>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</si>
  <si>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</si>
  <si>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</si>
  <si>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</si>
  <si>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</si>
  <si>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</si>
  <si>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</si>
  <si>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</si>
  <si>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</si>
  <si>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</si>
  <si>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</si>
  <si>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</si>
  <si>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</si>
  <si>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</si>
  <si>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</si>
  <si>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</si>
  <si>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</si>
  <si>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</si>
  <si>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</si>
  <si>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</si>
  <si>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</si>
  <si>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</si>
  <si>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</si>
  <si>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</si>
  <si>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</si>
  <si>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</si>
  <si>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</si>
  <si>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</si>
  <si>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</si>
  <si>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</si>
  <si>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</si>
  <si>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</si>
  <si>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</si>
  <si>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</si>
  <si>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</si>
  <si>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</si>
  <si>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</si>
  <si>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</si>
  <si>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</si>
  <si>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</si>
  <si>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</si>
  <si>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</si>
  <si>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</si>
  <si>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</si>
  <si>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</si>
  <si>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</si>
  <si>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</si>
  <si>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</si>
  <si>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</si>
  <si>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</si>
  <si>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</si>
  <si>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</si>
  <si>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</si>
  <si>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</si>
  <si>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</si>
  <si>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</si>
  <si>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</si>
  <si>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</si>
  <si>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</si>
  <si>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</si>
  <si>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</si>
  <si>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</si>
  <si>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</si>
  <si>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</si>
  <si>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</si>
  <si>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</si>
  <si>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</si>
  <si>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</si>
  <si>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</si>
  <si>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</si>
  <si>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</si>
  <si>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</si>
  <si>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</si>
  <si>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</si>
  <si>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</si>
  <si>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</si>
  <si>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</si>
  <si>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</si>
  <si>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</si>
  <si>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</si>
  <si>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</si>
  <si>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</si>
  <si>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</si>
  <si>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</si>
  <si>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</si>
  <si>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</si>
  <si>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</si>
  <si>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</si>
  <si>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</si>
  <si>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</si>
  <si>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</si>
  <si>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</si>
  <si>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</si>
  <si>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</si>
  <si>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</si>
  <si>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</si>
  <si>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</si>
  <si>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</si>
  <si>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</si>
  <si>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</si>
  <si>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</si>
  <si>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</si>
  <si>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</si>
  <si>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</si>
  <si>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</si>
  <si>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</si>
  <si>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</si>
  <si>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</si>
  <si>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</si>
  <si>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</si>
  <si>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</si>
  <si>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</si>
  <si>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</si>
  <si>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</si>
  <si>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</si>
  <si>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</si>
  <si>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</si>
  <si>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</si>
  <si>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</si>
  <si>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</si>
  <si>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</si>
  <si>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</si>
  <si>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</si>
  <si>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</si>
  <si>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</si>
  <si>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</si>
  <si>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</si>
  <si>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</si>
  <si>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</si>
  <si>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</si>
  <si>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</si>
  <si>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</si>
  <si>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</si>
  <si>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</si>
  <si>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</si>
  <si>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</si>
  <si>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</si>
  <si>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</si>
  <si>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</si>
  <si>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</si>
  <si>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</si>
  <si>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</si>
  <si>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</si>
  <si>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</si>
  <si>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</si>
  <si>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</si>
  <si>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</si>
  <si>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</si>
  <si>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</si>
  <si>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</si>
  <si>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</si>
  <si>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</si>
  <si>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</si>
  <si>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</si>
  <si>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</si>
  <si>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</si>
  <si>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</si>
  <si>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</si>
  <si>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</si>
  <si>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</si>
  <si>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</si>
  <si>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</si>
  <si>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</si>
  <si>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</si>
  <si>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</si>
  <si>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</si>
  <si>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</si>
  <si>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</si>
  <si>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</si>
  <si>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</si>
  <si>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</si>
  <si>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</si>
  <si>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</si>
  <si>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</si>
  <si>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02.476.026/0008-02</t>
  </si>
  <si>
    <t>TIPN</t>
  </si>
  <si>
    <t>20210309-TIPN-000119</t>
  </si>
  <si>
    <t>J-117</t>
  </si>
  <si>
    <t>COFCO INTERNATIONAL BRASIL S.A. - SILVANOPOLIS</t>
  </si>
  <si>
    <t>06.315.338/0193-08</t>
  </si>
  <si>
    <t>COFCO INTERNATIONAL BRASIL S A - SILVANOPOLIS</t>
  </si>
  <si>
    <t>COFCO INTERNATIONAL BRASIL S.A.</t>
  </si>
  <si>
    <t>HFT0646474</t>
  </si>
  <si>
    <t>5760</t>
  </si>
  <si>
    <t>17210206315338019308550010000057601485969106</t>
  </si>
  <si>
    <t>TPSL -  Terminal Portuário São Luís</t>
  </si>
  <si>
    <t>400</t>
  </si>
  <si>
    <t>332591</t>
  </si>
  <si>
    <t>17210309257877000218570010003390121439992926</t>
  </si>
  <si>
    <t>COFCO INTERNATIONAL BRASIL S.A. - SANTA ROSA DO TOCANTINS</t>
  </si>
  <si>
    <t>06.315.338/0194-80</t>
  </si>
  <si>
    <t>COFCO INTERNATIONAL BRASIL S A - SANTA ROSA DO TOCANTINS</t>
  </si>
  <si>
    <t>9247</t>
  </si>
  <si>
    <t>17210306315338019480550010000092471457579545</t>
  </si>
  <si>
    <t>332584</t>
  </si>
  <si>
    <t>17210309257877000218570010003390171116951795</t>
  </si>
  <si>
    <t>9249</t>
  </si>
  <si>
    <t>17210306315338019480550010000092491138755898</t>
  </si>
  <si>
    <t>20210309-TIPN-000122</t>
  </si>
  <si>
    <t>HFT0646334</t>
  </si>
  <si>
    <t>9258</t>
  </si>
  <si>
    <t>17210306315338019480550010000092581733208449</t>
  </si>
  <si>
    <t>332597</t>
  </si>
  <si>
    <t>17210309257877000218570010003390211451940913</t>
  </si>
  <si>
    <t>9251</t>
  </si>
  <si>
    <t>17210306315338019480550010000092511417332312</t>
  </si>
  <si>
    <t>9256</t>
  </si>
  <si>
    <t>17210306315338019480550010000092561924306084</t>
  </si>
  <si>
    <t>20210309-TIPN-000121</t>
  </si>
  <si>
    <t>HFT0646369</t>
  </si>
  <si>
    <t>332599</t>
  </si>
  <si>
    <t>17210309257877000218570010003390241250528200</t>
  </si>
  <si>
    <t>9267</t>
  </si>
  <si>
    <t>17210306315338019480550010000092671577540401</t>
  </si>
  <si>
    <t>9260</t>
  </si>
  <si>
    <t>17210306315338019480550010000092601895675059</t>
  </si>
  <si>
    <t>20210309-TIPN-000123</t>
  </si>
  <si>
    <t>HFT0646342</t>
  </si>
  <si>
    <t>332602</t>
  </si>
  <si>
    <t>17210309257877000218570010003390291487251997</t>
  </si>
  <si>
    <t>9269</t>
  </si>
  <si>
    <t>17210306315338019480550010000092691709826069</t>
  </si>
  <si>
    <t>9279</t>
  </si>
  <si>
    <t>17210306315338019480550010000092791590161703</t>
  </si>
  <si>
    <t>20210309-TIPN-000124</t>
  </si>
  <si>
    <t>HFT0571989</t>
  </si>
  <si>
    <t>9284</t>
  </si>
  <si>
    <t>17210306315338019480550010000092841801485139</t>
  </si>
  <si>
    <t>332603</t>
  </si>
  <si>
    <t>17210309257877000218570010003390301397018372</t>
  </si>
  <si>
    <t>9282</t>
  </si>
  <si>
    <t>17210306315338019480550010000092821888038003</t>
  </si>
  <si>
    <t>9281</t>
  </si>
  <si>
    <t>17210306315338019480550010000092811878599510</t>
  </si>
  <si>
    <t>20210309-TIPN-000125</t>
  </si>
  <si>
    <t>HFT0586510</t>
  </si>
  <si>
    <t>9296</t>
  </si>
  <si>
    <t>17210306315338019480550010000092961432249643</t>
  </si>
  <si>
    <t>332606</t>
  </si>
  <si>
    <t>17210309257877000218570010003390311246061411</t>
  </si>
  <si>
    <t>9291</t>
  </si>
  <si>
    <t>17210306315338019480550010000092911119055634</t>
  </si>
  <si>
    <t>9289</t>
  </si>
  <si>
    <t>17210306315338019480550010000092891176999982</t>
  </si>
  <si>
    <t>20210309-TIPN-000126</t>
  </si>
  <si>
    <t>HFT0571458</t>
  </si>
  <si>
    <t>9305</t>
  </si>
  <si>
    <t>17210306315338019480550010000093051274984829</t>
  </si>
  <si>
    <t>332607</t>
  </si>
  <si>
    <t>17210309257877000218570010003390331520279037</t>
  </si>
  <si>
    <t>9301</t>
  </si>
  <si>
    <t>17210306315338019480550010000093011067510350</t>
  </si>
  <si>
    <t>20210309-TIPN-000127</t>
  </si>
  <si>
    <t>HFT0587419</t>
  </si>
  <si>
    <t>332612</t>
  </si>
  <si>
    <t>17210309257877000218570010003390381836307401</t>
  </si>
  <si>
    <t>9316</t>
  </si>
  <si>
    <t>17210306315338019480550010000093161372187579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</si>
</sst>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7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9" fontId="13" fillId="0" borderId="0" xfId="7" applyNumberFormat="1"/>
    <xf numFmtId="0" fontId="0" fillId="0" borderId="2" xfId="0" applyNumberFormat="1" applyBorder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0" borderId="0" xfId="0" applyNumberFormat="1" applyFont="1"/>
    <xf numFmtId="0" fontId="12" fillId="6" borderId="4" xfId="8" quotePrefix="1" applyFill="1" applyBorder="1" applyAlignment="1">
      <alignment horizontal="center" vertical="center"/>
    </xf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67.487842824077" createdVersion="6" refreshedVersion="6" minRefreshableVersion="3" recordCount="26" xr:uid="{00000000-000A-0000-FFFF-FFFF08000000}">
  <cacheSource type="worksheet">
    <worksheetSource name="=tbl_dinamica"/>
  </cacheSource>
  <cacheFields count="28">
    <cacheField name="C1" numFmtId="0">
      <sharedItems/>
    </cacheField>
    <cacheField name="C2" numFmtId="14">
      <sharedItems containsSemiMixedTypes="0" containsNonDate="0" containsDate="1" containsString="0" minDate="2021-03-10T00:00:00" maxDate="2021-03-11T00:00:00"/>
    </cacheField>
    <cacheField name="C3" numFmtId="20">
      <sharedItems containsSemiMixedTypes="0" containsNonDate="0" containsDate="1" containsString="0" minDate="1899-12-30T00:51:43" maxDate="1899-12-30T01:30:3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6">
        <s v="COFCO INTERNATIONAL BRASIL S.A. - SILVANOPOLIS"/>
        <s v="COFCO INTERNATIONAL BRASIL S.A. - SANTA ROSA DO TOCANTINS"/>
        <s v="COFCO INTERNATIONAL BRASIL S.A. - UBERLANDIA" u="1"/>
        <s v="06.315.338/0181-66" u="1"/>
        <s v="COFCO BRASIL S.A. - JATAI" u="1"/>
        <s v="COFCO INTERNATIONAL BRASIL S.A - CANARANA" u="1"/>
      </sharedItems>
    </cacheField>
    <cacheField name="C8" numFmtId="0">
      <sharedItems count="4">
        <s v="06.315.338/0193-08"/>
        <s v="06.315.338/0194-80"/>
        <s v="06.315.338/0181-66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4.2" maxValue="127.264"/>
    </cacheField>
    <cacheField name="C16" numFmtId="167">
      <sharedItems containsSemiMixedTypes="0" containsString="0" containsNumber="1" minValue="29" maxValue="31.49"/>
    </cacheField>
    <cacheField name="C17" numFmtId="167">
      <sharedItems containsSemiMixedTypes="0" containsString="0" containsNumber="1" minValue="95.15" maxValue="96.025000000000006"/>
    </cacheField>
    <cacheField name="C18" numFmtId="168">
      <sharedItems/>
    </cacheField>
    <cacheField name="C19" numFmtId="49">
      <sharedItems/>
    </cacheField>
    <cacheField name="C20" numFmtId="0">
      <sharedItems/>
    </cacheField>
    <cacheField name="C21" numFmtId="167">
      <sharedItems containsSemiMixedTypes="0" containsString="0" containsNumber="1" minValue="37121.4" maxValue="62508.6"/>
    </cacheField>
    <cacheField name="C22" numFmtId="167">
      <sharedItems containsSemiMixedTypes="0" containsString="0" containsNumber="1" minValue="30.18" maxValue="50.82"/>
    </cacheField>
    <cacheField name="C23" numFmtId="167">
      <sharedItems containsSemiMixedTypes="0" containsString="0" containsNumber="1" minValue="1.7649999999999999" maxValue="48.81"/>
    </cacheField>
    <cacheField name="C24" numFmtId="49">
      <sharedItems/>
    </cacheField>
    <cacheField name="C25" numFmtId="49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TIPN"/>
    <d v="2021-03-10T00:00:00"/>
    <d v="1899-12-30T00:51:43"/>
    <s v="20210309-TIPN-000119"/>
    <s v="J-117"/>
    <s v="Soja"/>
    <x v="0"/>
    <x v="0"/>
    <s v="COFCO INTERNATIONAL BRASIL S A - SILVANOPOLIS"/>
    <s v="06.315.338/0193-08"/>
    <s v="COFCO INTERNATIONAL BRASIL S.A."/>
    <s v="06.315.338/0193-08"/>
    <m/>
    <s v="HFT0646474"/>
    <n v="124.61499999999999"/>
    <n v="29"/>
    <n v="95.614999999999995"/>
    <s v="TIPN"/>
    <s v="5760"/>
    <s v="1"/>
    <n v="38720.400000000001"/>
    <n v="31.48"/>
    <n v="31.46"/>
    <s v="17210206315338019308550010000057601485969106"/>
    <s v="TPSL -  Terminal Portuário São Luís"/>
    <s v="400"/>
    <s v="332591"/>
    <s v="17210309257877000218570010003390121439992926"/>
  </r>
  <r>
    <s v="TIPN"/>
    <d v="2021-03-10T00:00:00"/>
    <d v="1899-12-30T00:51:43"/>
    <s v="20210309-TIPN-000119"/>
    <s v="J-117"/>
    <s v="Soja"/>
    <x v="1"/>
    <x v="1"/>
    <s v="COFCO INTERNATIONAL BRASIL S A - SANTA ROSA DO TOCANTINS"/>
    <s v="06.315.338/0194-80"/>
    <s v="COFCO INTERNATIONAL BRASIL S.A."/>
    <s v="06.315.338/0194-80"/>
    <m/>
    <s v="HFT0646474"/>
    <n v="124.61499999999999"/>
    <n v="29"/>
    <n v="95.614999999999995"/>
    <s v="TIPN"/>
    <s v="9247"/>
    <s v="1"/>
    <n v="37121.4"/>
    <n v="30.18"/>
    <n v="30.12"/>
    <s v="17210306315338019480550010000092471457579545"/>
    <s v="TPSL -  Terminal Portuário São Luís"/>
    <s v="400"/>
    <s v="332584"/>
    <s v="17210309257877000218570010003390171116951795"/>
  </r>
  <r>
    <s v="TIPN"/>
    <d v="2021-03-10T00:00:00"/>
    <d v="1899-12-30T00:51:43"/>
    <s v="20210309-TIPN-000119"/>
    <s v="J-117"/>
    <s v="Soja"/>
    <x v="1"/>
    <x v="1"/>
    <s v="COFCO INTERNATIONAL BRASIL S A - SANTA ROSA DO TOCANTINS"/>
    <s v="06.315.338/0194-80"/>
    <s v="COFCO INTERNATIONAL BRASIL S.A."/>
    <s v="06.315.338/0194-80"/>
    <m/>
    <s v="HFT0646474"/>
    <n v="124.61499999999999"/>
    <n v="29"/>
    <n v="95.614999999999995"/>
    <s v="TIPN"/>
    <s v="9249"/>
    <s v="1"/>
    <n v="45928.2"/>
    <n v="37.340000000000003"/>
    <n v="5.2409999999999997"/>
    <s v="17210306315338019480550010000092491138755898"/>
    <s v="TPSL -  Terminal Portuário São Luís"/>
    <s v="400"/>
    <s v="332584"/>
    <s v="17210309257877000218570010003390171116951795"/>
  </r>
  <r>
    <s v="TIPN"/>
    <d v="2021-03-10T00:00:00"/>
    <d v="1899-12-30T01:00:54"/>
    <s v="20210309-TIPN-000122"/>
    <s v="J-117"/>
    <s v="Soja"/>
    <x v="1"/>
    <x v="1"/>
    <s v="COFCO INTERNATIONAL BRASIL S A - SANTA ROSA DO TOCANTINS"/>
    <s v="06.315.338/0194-80"/>
    <s v="COFCO INTERNATIONAL BRASIL S.A."/>
    <s v="06.315.338/0194-80"/>
    <m/>
    <s v="HFT0646334"/>
    <n v="124.744"/>
    <n v="29"/>
    <n v="95.744"/>
    <s v="TIPN"/>
    <s v="9258"/>
    <s v="1"/>
    <n v="45436.2"/>
    <n v="36.94"/>
    <n v="1.7649999999999999"/>
    <s v="17210306315338019480550010000092581733208449"/>
    <s v="TPSL -  Terminal Portuário São Luís"/>
    <s v="400"/>
    <s v="332597"/>
    <s v="17210309257877000218570010003390211451940913"/>
  </r>
  <r>
    <s v="TIPN"/>
    <d v="2021-03-10T00:00:00"/>
    <d v="1899-12-30T01:00:54"/>
    <s v="20210309-TIPN-000122"/>
    <s v="J-117"/>
    <s v="Soja"/>
    <x v="1"/>
    <x v="1"/>
    <s v="COFCO INTERNATIONAL BRASIL S A - SANTA ROSA DO TOCANTINS"/>
    <s v="06.315.338/0194-80"/>
    <s v="COFCO INTERNATIONAL BRASIL S.A."/>
    <s v="06.315.338/0194-80"/>
    <m/>
    <s v="HFT0646334"/>
    <n v="124.744"/>
    <n v="29"/>
    <n v="95.744"/>
    <s v="TIPN"/>
    <s v="9249"/>
    <s v="1"/>
    <n v="45928.2"/>
    <n v="37.340000000000003"/>
    <n v="31.998999999999999"/>
    <s v="17210306315338019480550010000092491138755898"/>
    <s v="TPSL -  Terminal Portuário São Luís"/>
    <s v="400"/>
    <s v="332597"/>
    <s v="17210309257877000218570010003390211451940913"/>
  </r>
  <r>
    <s v="TIPN"/>
    <d v="2021-03-10T00:00:00"/>
    <d v="1899-12-30T01:00:54"/>
    <s v="20210309-TIPN-000122"/>
    <s v="J-117"/>
    <s v="Soja"/>
    <x v="1"/>
    <x v="1"/>
    <s v="COFCO INTERNATIONAL BRASIL S A - SANTA ROSA DO TOCANTINS"/>
    <s v="06.315.338/0194-80"/>
    <s v="COFCO INTERNATIONAL BRASIL S.A."/>
    <s v="06.315.338/0194-80"/>
    <m/>
    <s v="HFT0646334"/>
    <n v="124.744"/>
    <n v="29"/>
    <n v="95.744"/>
    <s v="TIPN"/>
    <s v="9251"/>
    <s v="1"/>
    <n v="38818.800000000003"/>
    <n v="31.56"/>
    <n v="31.52"/>
    <s v="17210306315338019480550010000092511417332312"/>
    <s v="TPSL -  Terminal Portuário São Luís"/>
    <s v="400"/>
    <s v="332597"/>
    <s v="17210309257877000218570010003390211451940913"/>
  </r>
  <r>
    <s v="TIPN"/>
    <d v="2021-03-10T00:00:00"/>
    <d v="1899-12-30T01:00:54"/>
    <s v="20210309-TIPN-000122"/>
    <s v="J-117"/>
    <s v="Soja"/>
    <x v="1"/>
    <x v="1"/>
    <s v="COFCO INTERNATIONAL BRASIL S A - SANTA ROSA DO TOCANTINS"/>
    <s v="06.315.338/0194-80"/>
    <s v="COFCO INTERNATIONAL BRASIL S.A."/>
    <s v="06.315.338/0194-80"/>
    <m/>
    <s v="HFT0646334"/>
    <n v="124.744"/>
    <n v="29"/>
    <n v="95.744"/>
    <s v="TIPN"/>
    <s v="9256"/>
    <s v="1"/>
    <n v="37515"/>
    <n v="30.5"/>
    <n v="30.46"/>
    <s v="17210306315338019480550010000092561924306084"/>
    <s v="TPSL -  Terminal Portuário São Luís"/>
    <s v="400"/>
    <s v="332597"/>
    <s v="17210309257877000218570010003390211451940913"/>
  </r>
  <r>
    <s v="TIPN"/>
    <d v="2021-03-10T00:00:00"/>
    <d v="1899-12-30T01:01:24"/>
    <s v="20210309-TIPN-000121"/>
    <s v="J-117"/>
    <s v="Soja"/>
    <x v="1"/>
    <x v="1"/>
    <s v="COFCO INTERNATIONAL BRASIL S A - SANTA ROSA DO TOCANTINS"/>
    <s v="06.315.338/0194-80"/>
    <s v="COFCO INTERNATIONAL BRASIL S.A."/>
    <s v="06.315.338/0194-80"/>
    <m/>
    <s v="HFT0646369"/>
    <n v="125.02500000000001"/>
    <n v="29"/>
    <n v="96.025000000000006"/>
    <s v="TIPN"/>
    <s v="9258"/>
    <s v="1"/>
    <n v="45436.2"/>
    <n v="36.94"/>
    <n v="35.174999999999997"/>
    <s v="17210306315338019480550010000092581733208449"/>
    <s v="TPSL -  Terminal Portuário São Luís"/>
    <s v="400"/>
    <s v="332599"/>
    <s v="17210309257877000218570010003390241250528200"/>
  </r>
  <r>
    <s v="TIPN"/>
    <d v="2021-03-10T00:00:00"/>
    <d v="1899-12-30T01:01:24"/>
    <s v="20210309-TIPN-000121"/>
    <s v="J-117"/>
    <s v="Soja"/>
    <x v="1"/>
    <x v="1"/>
    <s v="COFCO INTERNATIONAL BRASIL S A - SANTA ROSA DO TOCANTINS"/>
    <s v="06.315.338/0194-80"/>
    <s v="COFCO INTERNATIONAL BRASIL S.A."/>
    <s v="06.315.338/0194-80"/>
    <m/>
    <s v="HFT0646369"/>
    <n v="125.02500000000001"/>
    <n v="29"/>
    <n v="96.025000000000006"/>
    <s v="TIPN"/>
    <s v="9267"/>
    <s v="1"/>
    <n v="47035.199999999997"/>
    <n v="38.24"/>
    <n v="29.63"/>
    <s v="17210306315338019480550010000092671577540401"/>
    <s v="TPSL -  Terminal Portuário São Luís"/>
    <s v="400"/>
    <s v="332599"/>
    <s v="17210309257877000218570010003390241250528200"/>
  </r>
  <r>
    <s v="TIPN"/>
    <d v="2021-03-10T00:00:00"/>
    <d v="1899-12-30T01:01:24"/>
    <s v="20210309-TIPN-000121"/>
    <s v="J-117"/>
    <s v="Soja"/>
    <x v="1"/>
    <x v="1"/>
    <s v="COFCO INTERNATIONAL BRASIL S A - SANTA ROSA DO TOCANTINS"/>
    <s v="06.315.338/0194-80"/>
    <s v="COFCO INTERNATIONAL BRASIL S.A."/>
    <s v="06.315.338/0194-80"/>
    <m/>
    <s v="HFT0646369"/>
    <n v="125.02500000000001"/>
    <n v="29"/>
    <n v="96.025000000000006"/>
    <s v="TIPN"/>
    <s v="9260"/>
    <s v="1"/>
    <n v="38400.6"/>
    <n v="31.22"/>
    <n v="31.22"/>
    <s v="17210306315338019480550010000092601895675059"/>
    <s v="TPSL -  Terminal Portuário São Luís"/>
    <s v="400"/>
    <s v="332599"/>
    <s v="17210309257877000218570010003390241250528200"/>
  </r>
  <r>
    <s v="TIPN"/>
    <d v="2021-03-10T00:00:00"/>
    <d v="1899-12-30T01:12:31"/>
    <s v="20210309-TIPN-000123"/>
    <s v="J-117"/>
    <s v="Soja"/>
    <x v="1"/>
    <x v="1"/>
    <s v="COFCO INTERNATIONAL BRASIL S A - SANTA ROSA DO TOCANTINS"/>
    <s v="06.315.338/0194-80"/>
    <s v="COFCO INTERNATIONAL BRASIL S.A."/>
    <s v="06.315.338/0194-80"/>
    <m/>
    <s v="HFT0646342"/>
    <n v="124.2"/>
    <n v="29"/>
    <n v="95.2"/>
    <s v="TIPN"/>
    <s v="9267"/>
    <s v="1"/>
    <n v="47035.199999999997"/>
    <n v="38.24"/>
    <n v="8.5299999999999994"/>
    <s v="17210306315338019480550010000092671577540401"/>
    <s v="TPSL -  Terminal Portuário São Luís"/>
    <s v="400"/>
    <s v="332602"/>
    <s v="17210309257877000218570010003390291487251997"/>
  </r>
  <r>
    <s v="TIPN"/>
    <d v="2021-03-10T00:00:00"/>
    <d v="1899-12-30T01:12:31"/>
    <s v="20210309-TIPN-000123"/>
    <s v="J-117"/>
    <s v="Soja"/>
    <x v="1"/>
    <x v="1"/>
    <s v="COFCO INTERNATIONAL BRASIL S A - SANTA ROSA DO TOCANTINS"/>
    <s v="06.315.338/0194-80"/>
    <s v="COFCO INTERNATIONAL BRASIL S.A."/>
    <s v="06.315.338/0194-80"/>
    <m/>
    <s v="HFT0646342"/>
    <n v="124.2"/>
    <n v="29"/>
    <n v="95.2"/>
    <s v="TIPN"/>
    <s v="9269"/>
    <s v="1"/>
    <n v="46764.6"/>
    <n v="38.020000000000003"/>
    <n v="37.86"/>
    <s v="17210306315338019480550010000092691709826069"/>
    <s v="TPSL -  Terminal Portuário São Luís"/>
    <s v="400"/>
    <s v="332602"/>
    <s v="17210309257877000218570010003390291487251997"/>
  </r>
  <r>
    <s v="TIPN"/>
    <d v="2021-03-10T00:00:00"/>
    <d v="1899-12-30T01:12:31"/>
    <s v="20210309-TIPN-000123"/>
    <s v="J-117"/>
    <s v="Soja"/>
    <x v="1"/>
    <x v="1"/>
    <s v="COFCO INTERNATIONAL BRASIL S A - SANTA ROSA DO TOCANTINS"/>
    <s v="06.315.338/0194-80"/>
    <s v="COFCO INTERNATIONAL BRASIL S.A."/>
    <s v="06.315.338/0194-80"/>
    <m/>
    <s v="HFT0646342"/>
    <n v="124.2"/>
    <n v="29"/>
    <n v="95.2"/>
    <s v="TIPN"/>
    <s v="9279"/>
    <s v="1"/>
    <n v="62508.6"/>
    <n v="50.82"/>
    <n v="48.81"/>
    <s v="17210306315338019480550010000092791590161703"/>
    <s v="TPSL -  Terminal Portuário São Luís"/>
    <s v="400"/>
    <s v="332602"/>
    <s v="17210309257877000218570010003390291487251997"/>
  </r>
  <r>
    <s v="TIPN"/>
    <d v="2021-03-10T00:00:00"/>
    <d v="1899-12-30T01:12:46"/>
    <s v="20210309-TIPN-000124"/>
    <s v="J-117"/>
    <s v="Soja"/>
    <x v="1"/>
    <x v="1"/>
    <s v="COFCO INTERNATIONAL BRASIL S A - SANTA ROSA DO TOCANTINS"/>
    <s v="06.315.338/0194-80"/>
    <s v="COFCO INTERNATIONAL BRASIL S.A."/>
    <s v="06.315.338/0194-80"/>
    <m/>
    <s v="HFT0571989"/>
    <n v="125.554"/>
    <n v="30"/>
    <n v="95.554000000000002"/>
    <s v="TIPN"/>
    <s v="9284"/>
    <s v="1"/>
    <n v="38203.800000000003"/>
    <n v="31.06"/>
    <n v="15.523999999999999"/>
    <s v="17210306315338019480550010000092841801485139"/>
    <s v="TPSL -  Terminal Portuário São Luís"/>
    <s v="400"/>
    <s v="332603"/>
    <s v="17210309257877000218570010003390301397018372"/>
  </r>
  <r>
    <s v="TIPN"/>
    <d v="2021-03-10T00:00:00"/>
    <d v="1899-12-30T01:12:46"/>
    <s v="20210309-TIPN-000124"/>
    <s v="J-117"/>
    <s v="Soja"/>
    <x v="1"/>
    <x v="1"/>
    <s v="COFCO INTERNATIONAL BRASIL S A - SANTA ROSA DO TOCANTINS"/>
    <s v="06.315.338/0194-80"/>
    <s v="COFCO INTERNATIONAL BRASIL S.A."/>
    <s v="06.315.338/0194-80"/>
    <m/>
    <s v="HFT0571989"/>
    <n v="125.554"/>
    <n v="30"/>
    <n v="95.554000000000002"/>
    <s v="TIPN"/>
    <s v="9282"/>
    <s v="1"/>
    <n v="57539.4"/>
    <n v="46.78"/>
    <n v="46.72"/>
    <s v="17210306315338019480550010000092821888038003"/>
    <s v="TPSL -  Terminal Portuário São Luís"/>
    <s v="400"/>
    <s v="332603"/>
    <s v="17210309257877000218570010003390301397018372"/>
  </r>
  <r>
    <s v="TIPN"/>
    <d v="2021-03-10T00:00:00"/>
    <d v="1899-12-30T01:12:46"/>
    <s v="20210309-TIPN-000124"/>
    <s v="J-117"/>
    <s v="Soja"/>
    <x v="1"/>
    <x v="1"/>
    <s v="COFCO INTERNATIONAL BRASIL S A - SANTA ROSA DO TOCANTINS"/>
    <s v="06.315.338/0194-80"/>
    <s v="COFCO INTERNATIONAL BRASIL S.A."/>
    <s v="06.315.338/0194-80"/>
    <m/>
    <s v="HFT0571989"/>
    <n v="125.554"/>
    <n v="30"/>
    <n v="95.554000000000002"/>
    <s v="TIPN"/>
    <s v="9281"/>
    <s v="1"/>
    <n v="38572.800000000003"/>
    <n v="31.36"/>
    <n v="31.34"/>
    <s v="17210306315338019480550010000092811878599510"/>
    <s v="TPSL -  Terminal Portuário São Luís"/>
    <s v="400"/>
    <s v="332603"/>
    <s v="17210309257877000218570010003390301397018372"/>
  </r>
  <r>
    <s v="TIPN"/>
    <d v="2021-03-10T00:00:00"/>
    <d v="1899-12-30T01:12:46"/>
    <s v="20210309-TIPN-000124"/>
    <s v="J-117"/>
    <s v="Soja"/>
    <x v="1"/>
    <x v="1"/>
    <s v="COFCO INTERNATIONAL BRASIL S A - SANTA ROSA DO TOCANTINS"/>
    <s v="06.315.338/0194-80"/>
    <s v="COFCO INTERNATIONAL BRASIL S.A."/>
    <s v="06.315.338/0194-80"/>
    <m/>
    <s v="HFT0571989"/>
    <n v="125.554"/>
    <n v="30"/>
    <n v="95.554000000000002"/>
    <s v="TIPN"/>
    <s v="9279"/>
    <s v="1"/>
    <n v="62508.6"/>
    <n v="50.82"/>
    <n v="1.97"/>
    <s v="17210306315338019480550010000092791590161703"/>
    <s v="TPSL -  Terminal Portuário São Luís"/>
    <s v="400"/>
    <s v="332603"/>
    <s v="17210309257877000218570010003390301397018372"/>
  </r>
  <r>
    <s v="TIPN"/>
    <d v="2021-03-10T00:00:00"/>
    <d v="1899-12-30T01:18:34"/>
    <s v="20210309-TIPN-000125"/>
    <s v="J-117"/>
    <s v="Soja"/>
    <x v="1"/>
    <x v="1"/>
    <s v="COFCO INTERNATIONAL BRASIL S A - SANTA ROSA DO TOCANTINS"/>
    <s v="06.315.338/0194-80"/>
    <s v="COFCO INTERNATIONAL BRASIL S.A."/>
    <s v="06.315.338/0194-80"/>
    <m/>
    <s v="HFT0586510"/>
    <n v="127.264"/>
    <n v="31.49"/>
    <n v="95.774000000000001"/>
    <s v="TIPN"/>
    <s v="9296"/>
    <s v="1"/>
    <n v="57662.400000000001"/>
    <n v="46.88"/>
    <n v="17.498000000000001"/>
    <s v="17210306315338019480550010000092961432249643"/>
    <s v="TPSL -  Terminal Portuário São Luís"/>
    <s v="400"/>
    <s v="332606"/>
    <s v="17210309257877000218570010003390311246061411"/>
  </r>
  <r>
    <s v="TIPN"/>
    <d v="2021-03-10T00:00:00"/>
    <d v="1899-12-30T01:18:34"/>
    <s v="20210309-TIPN-000125"/>
    <s v="J-117"/>
    <s v="Soja"/>
    <x v="1"/>
    <x v="1"/>
    <s v="COFCO INTERNATIONAL BRASIL S A - SANTA ROSA DO TOCANTINS"/>
    <s v="06.315.338/0194-80"/>
    <s v="COFCO INTERNATIONAL BRASIL S.A."/>
    <s v="06.315.338/0194-80"/>
    <m/>
    <s v="HFT0586510"/>
    <n v="127.264"/>
    <n v="31.49"/>
    <n v="95.774000000000001"/>
    <s v="TIPN"/>
    <s v="9284"/>
    <s v="1"/>
    <n v="38203.800000000003"/>
    <n v="31.06"/>
    <n v="15.496"/>
    <s v="17210306315338019480550010000092841801485139"/>
    <s v="TPSL -  Terminal Portuário São Luís"/>
    <s v="400"/>
    <s v="332606"/>
    <s v="17210309257877000218570010003390311246061411"/>
  </r>
  <r>
    <s v="TIPN"/>
    <d v="2021-03-10T00:00:00"/>
    <d v="1899-12-30T01:18:34"/>
    <s v="20210309-TIPN-000125"/>
    <s v="J-117"/>
    <s v="Soja"/>
    <x v="1"/>
    <x v="1"/>
    <s v="COFCO INTERNATIONAL BRASIL S A - SANTA ROSA DO TOCANTINS"/>
    <s v="06.315.338/0194-80"/>
    <s v="COFCO INTERNATIONAL BRASIL S.A."/>
    <s v="06.315.338/0194-80"/>
    <m/>
    <s v="HFT0586510"/>
    <n v="127.264"/>
    <n v="31.49"/>
    <n v="95.774000000000001"/>
    <s v="TIPN"/>
    <s v="9291"/>
    <s v="1"/>
    <n v="38868"/>
    <n v="31.6"/>
    <n v="31.52"/>
    <s v="17210306315338019480550010000092911119055634"/>
    <s v="TPSL -  Terminal Portuário São Luís"/>
    <s v="400"/>
    <s v="332606"/>
    <s v="17210309257877000218570010003390311246061411"/>
  </r>
  <r>
    <s v="TIPN"/>
    <d v="2021-03-10T00:00:00"/>
    <d v="1899-12-30T01:18:34"/>
    <s v="20210309-TIPN-000125"/>
    <s v="J-117"/>
    <s v="Soja"/>
    <x v="1"/>
    <x v="1"/>
    <s v="COFCO INTERNATIONAL BRASIL S A - SANTA ROSA DO TOCANTINS"/>
    <s v="06.315.338/0194-80"/>
    <s v="COFCO INTERNATIONAL BRASIL S.A."/>
    <s v="06.315.338/0194-80"/>
    <m/>
    <s v="HFT0586510"/>
    <n v="127.264"/>
    <n v="31.49"/>
    <n v="95.774000000000001"/>
    <s v="TIPN"/>
    <s v="9289"/>
    <s v="1"/>
    <n v="38548.199999999997"/>
    <n v="31.34"/>
    <n v="31.26"/>
    <s v="17210306315338019480550010000092891176999982"/>
    <s v="TPSL -  Terminal Portuário São Luís"/>
    <s v="400"/>
    <s v="332606"/>
    <s v="17210309257877000218570010003390311246061411"/>
  </r>
  <r>
    <s v="TIPN"/>
    <d v="2021-03-10T00:00:00"/>
    <d v="1899-12-30T01:21:37"/>
    <s v="20210309-TIPN-000126"/>
    <s v="J-117"/>
    <s v="Soja"/>
    <x v="1"/>
    <x v="1"/>
    <s v="COFCO INTERNATIONAL BRASIL S A - SANTA ROSA DO TOCANTINS"/>
    <s v="06.315.338/0194-80"/>
    <s v="COFCO INTERNATIONAL BRASIL S.A."/>
    <s v="06.315.338/0194-80"/>
    <m/>
    <s v="HFT0571458"/>
    <n v="125.15"/>
    <n v="30"/>
    <n v="95.15"/>
    <s v="TIPN"/>
    <s v="9305"/>
    <s v="1"/>
    <n v="58449.599999999999"/>
    <n v="47.52"/>
    <n v="27.748000000000001"/>
    <s v="17210306315338019480550010000093051274984829"/>
    <s v="TPSL -  Terminal Portuário São Luís"/>
    <s v="400"/>
    <s v="332607"/>
    <s v="17210309257877000218570010003390331520279037"/>
  </r>
  <r>
    <s v="TIPN"/>
    <d v="2021-03-10T00:00:00"/>
    <d v="1899-12-30T01:21:37"/>
    <s v="20210309-TIPN-000126"/>
    <s v="J-117"/>
    <s v="Soja"/>
    <x v="1"/>
    <x v="1"/>
    <s v="COFCO INTERNATIONAL BRASIL S A - SANTA ROSA DO TOCANTINS"/>
    <s v="06.315.338/0194-80"/>
    <s v="COFCO INTERNATIONAL BRASIL S.A."/>
    <s v="06.315.338/0194-80"/>
    <m/>
    <s v="HFT0571458"/>
    <n v="125.15"/>
    <n v="30"/>
    <n v="95.15"/>
    <s v="TIPN"/>
    <s v="9296"/>
    <s v="1"/>
    <n v="57662.400000000001"/>
    <n v="46.88"/>
    <n v="29.321999999999999"/>
    <s v="17210306315338019480550010000092961432249643"/>
    <s v="TPSL -  Terminal Portuário São Luís"/>
    <s v="400"/>
    <s v="332607"/>
    <s v="17210309257877000218570010003390331520279037"/>
  </r>
  <r>
    <s v="TIPN"/>
    <d v="2021-03-10T00:00:00"/>
    <d v="1899-12-30T01:21:37"/>
    <s v="20210309-TIPN-000126"/>
    <s v="J-117"/>
    <s v="Soja"/>
    <x v="1"/>
    <x v="1"/>
    <s v="COFCO INTERNATIONAL BRASIL S A - SANTA ROSA DO TOCANTINS"/>
    <s v="06.315.338/0194-80"/>
    <s v="COFCO INTERNATIONAL BRASIL S.A."/>
    <s v="06.315.338/0194-80"/>
    <m/>
    <s v="HFT0571458"/>
    <n v="125.15"/>
    <n v="30"/>
    <n v="95.15"/>
    <s v="TIPN"/>
    <s v="9301"/>
    <s v="1"/>
    <n v="47035.199999999997"/>
    <n v="38.24"/>
    <n v="38.08"/>
    <s v="17210306315338019480550010000093011067510350"/>
    <s v="TPSL -  Terminal Portuário São Luís"/>
    <s v="400"/>
    <s v="332607"/>
    <s v="17210309257877000218570010003390331520279037"/>
  </r>
  <r>
    <s v="TIPN"/>
    <d v="2021-03-10T00:00:00"/>
    <d v="1899-12-30T01:30:33"/>
    <s v="20210309-TIPN-000127"/>
    <s v="J-117"/>
    <s v="Soja"/>
    <x v="1"/>
    <x v="1"/>
    <s v="COFCO INTERNATIONAL BRASIL S A - SANTA ROSA DO TOCANTINS"/>
    <s v="06.315.338/0194-80"/>
    <s v="COFCO INTERNATIONAL BRASIL S.A."/>
    <s v="06.315.338/0194-80"/>
    <m/>
    <s v="HFT0587419"/>
    <n v="126.77500000000001"/>
    <n v="31.49"/>
    <n v="95.284999999999997"/>
    <s v="TIPN"/>
    <s v="9305"/>
    <s v="1"/>
    <n v="58449.599999999999"/>
    <n v="47.52"/>
    <n v="19.731999999999999"/>
    <s v="17210306315338019480550010000093051274984829"/>
    <s v="TPSL -  Terminal Portuário São Luís"/>
    <s v="400"/>
    <s v="332612"/>
    <s v="17210309257877000218570010003390381836307401"/>
  </r>
  <r>
    <s v="TIPN"/>
    <d v="2021-03-10T00:00:00"/>
    <d v="1899-12-30T01:30:33"/>
    <s v="20210309-TIPN-000127"/>
    <s v="J-117"/>
    <s v="Soja"/>
    <x v="1"/>
    <x v="1"/>
    <s v="COFCO INTERNATIONAL BRASIL S A - SANTA ROSA DO TOCANTINS"/>
    <s v="06.315.338/0194-80"/>
    <s v="COFCO INTERNATIONAL BRASIL S.A."/>
    <s v="06.315.338/0194-80"/>
    <m/>
    <s v="HFT0587419"/>
    <n v="126.77500000000001"/>
    <n v="31.49"/>
    <n v="95.284999999999997"/>
    <s v="TIPN"/>
    <s v="9316"/>
    <s v="1"/>
    <n v="38843.4"/>
    <n v="31.58"/>
    <n v="31.58"/>
    <s v="17210306315338019480550010000093161372187579"/>
    <s v="TPSL -  Terminal Portuário São Luís"/>
    <s v="400"/>
    <s v="332612"/>
    <s v="172103092578770002185700100033903818363074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17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7" firstHeaderRow="2" firstDataRow="2" firstDataCol="2"/>
  <pivotFields count="28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6">
        <item m="1" x="4"/>
        <item m="1" x="2"/>
        <item m="1" x="3"/>
        <item m="1" x="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4">
        <item m="1" x="3"/>
        <item m="1" x="2"/>
        <item x="0"/>
        <item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</pivotFields>
  <rowFields count="2">
    <field x="7"/>
    <field x="6"/>
  </rowFields>
  <rowItems count="2">
    <i>
      <x v="2"/>
      <x v="4"/>
    </i>
    <i>
      <x v="3"/>
      <x v="5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35"/>
  <sheetViews>
    <sheetView tabSelected="1" zoomScale="85" zoomScaleNormal="85" workbookViewId="0">
      <pane ySplit="9" topLeftCell="A10" activePane="bottomLeft" state="frozen"/>
      <selection pane="bottomLeft" activeCell="C12" sqref="C12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4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3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06315338019480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TPSL -  Terminal Portuário São Luís</v>
      </c>
      <c r="C7" s="10" t="str">
        <f>IFERROR(VLOOKUP(B7,BASE!D2:F10,2,0),"")</f>
        <v>42276907001523</v>
      </c>
      <c r="E7" s="16" t="s">
        <v>43</v>
      </c>
      <c r="F7" s="65" t="s">
        <v>20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3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SANTA ROSA</v>
      </c>
      <c r="B10" s="24" t="s">
        <v>58</v>
      </c>
    </row>
    <row r="11" spans="1:17" x14ac:dyDescent="0.2">
      <c r="A11" s="31" t="s">
        <v>196</v>
      </c>
      <c r="C11" s="19">
        <v>0</v>
      </c>
      <c r="D11" s="19">
        <v>0</v>
      </c>
      <c r="E11" s="19">
        <v>0</v>
      </c>
      <c r="F11" s="64">
        <v>44265</v>
      </c>
      <c r="H11" s="10" t="str">
        <f t="shared" ref="H11:H35" si="0">MID(A11,4,7)</f>
        <v>0646474</v>
      </c>
      <c r="J11" s="61">
        <v>30120</v>
      </c>
      <c r="K11" s="10">
        <v>0</v>
      </c>
      <c r="L11" s="12">
        <v>9247</v>
      </c>
      <c r="M11" s="12" t="s">
        <v>185</v>
      </c>
      <c r="N11" s="61">
        <v>30120</v>
      </c>
      <c r="O11" s="10" t="s">
        <v>187</v>
      </c>
    </row>
    <row r="12" spans="1:17" x14ac:dyDescent="0.2">
      <c r="A12" s="31" t="s">
        <v>196</v>
      </c>
      <c r="C12" s="19">
        <v>0</v>
      </c>
      <c r="D12" s="19">
        <v>0</v>
      </c>
      <c r="E12" s="19">
        <v>0</v>
      </c>
      <c r="F12" s="64">
        <v>44265</v>
      </c>
      <c r="H12" s="10" t="str">
        <f t="shared" si="0"/>
        <v>0646474</v>
      </c>
      <c r="J12" s="61">
        <v>5241</v>
      </c>
      <c r="K12" s="10">
        <v>0</v>
      </c>
      <c r="L12" s="12">
        <v>9249</v>
      </c>
      <c r="M12" s="12" t="s">
        <v>185</v>
      </c>
      <c r="N12" s="61">
        <v>5241</v>
      </c>
      <c r="O12" s="10" t="s">
        <v>187</v>
      </c>
    </row>
    <row r="13" spans="1:17" x14ac:dyDescent="0.2">
      <c r="A13" s="31" t="s">
        <v>213</v>
      </c>
      <c r="C13" s="19">
        <v>0</v>
      </c>
      <c r="D13" s="19">
        <v>0</v>
      </c>
      <c r="E13" s="19">
        <v>0</v>
      </c>
      <c r="F13" s="64">
        <v>44265</v>
      </c>
      <c r="H13" s="10" t="str">
        <f t="shared" si="0"/>
        <v>0646334</v>
      </c>
      <c r="J13" s="61">
        <v>1765</v>
      </c>
      <c r="K13" s="10">
        <v>0</v>
      </c>
      <c r="L13" s="12">
        <v>9258</v>
      </c>
      <c r="M13" s="12" t="s">
        <v>185</v>
      </c>
      <c r="N13" s="61">
        <v>1765</v>
      </c>
      <c r="O13" s="10" t="s">
        <v>187</v>
      </c>
    </row>
    <row r="14" spans="1:17" x14ac:dyDescent="0.2">
      <c r="A14" s="31" t="s">
        <v>213</v>
      </c>
      <c r="C14" s="19">
        <v>0</v>
      </c>
      <c r="D14" s="19">
        <v>0</v>
      </c>
      <c r="E14" s="19">
        <v>0</v>
      </c>
      <c r="F14" s="64">
        <v>44265</v>
      </c>
      <c r="H14" s="10" t="str">
        <f t="shared" si="0"/>
        <v>0646334</v>
      </c>
      <c r="J14" s="61">
        <v>31999</v>
      </c>
      <c r="K14" s="10">
        <v>0</v>
      </c>
      <c r="L14" s="12">
        <v>9249</v>
      </c>
      <c r="M14" s="12" t="s">
        <v>185</v>
      </c>
      <c r="N14" s="61">
        <v>31999</v>
      </c>
      <c r="O14" s="10" t="s">
        <v>187</v>
      </c>
    </row>
    <row r="15" spans="1:17" x14ac:dyDescent="0.2">
      <c r="A15" s="31" t="s">
        <v>213</v>
      </c>
      <c r="C15" s="19">
        <v>0</v>
      </c>
      <c r="D15" s="19">
        <v>0</v>
      </c>
      <c r="E15" s="19">
        <v>0</v>
      </c>
      <c r="F15" s="64">
        <v>44265</v>
      </c>
      <c r="H15" s="10" t="str">
        <f t="shared" si="0"/>
        <v>0646334</v>
      </c>
      <c r="J15" s="61">
        <v>31520</v>
      </c>
      <c r="K15" s="10">
        <v>0</v>
      </c>
      <c r="L15" s="12">
        <v>9251</v>
      </c>
      <c r="M15" s="12" t="s">
        <v>185</v>
      </c>
      <c r="N15" s="61">
        <v>31520</v>
      </c>
      <c r="O15" s="10" t="s">
        <v>187</v>
      </c>
    </row>
    <row r="16" spans="1:17" x14ac:dyDescent="0.2">
      <c r="A16" s="31" t="s">
        <v>213</v>
      </c>
      <c r="C16" s="19">
        <v>0</v>
      </c>
      <c r="D16" s="19">
        <v>0</v>
      </c>
      <c r="E16" s="19">
        <v>0</v>
      </c>
      <c r="F16" s="64">
        <v>44265</v>
      </c>
      <c r="H16" s="10" t="str">
        <f t="shared" si="0"/>
        <v>0646334</v>
      </c>
      <c r="J16" s="61">
        <v>30460</v>
      </c>
      <c r="K16" s="10">
        <v>0</v>
      </c>
      <c r="L16" s="12">
        <v>9256</v>
      </c>
      <c r="M16" s="12" t="s">
        <v>185</v>
      </c>
      <c r="N16" s="61">
        <v>30460</v>
      </c>
      <c r="O16" s="10" t="s">
        <v>187</v>
      </c>
    </row>
    <row r="17" spans="1:15" x14ac:dyDescent="0.2">
      <c r="A17" s="31" t="s">
        <v>223</v>
      </c>
      <c r="C17" s="19">
        <v>0</v>
      </c>
      <c r="D17" s="19">
        <v>0</v>
      </c>
      <c r="E17" s="19">
        <v>0</v>
      </c>
      <c r="F17" s="64">
        <v>44265</v>
      </c>
      <c r="H17" s="10" t="str">
        <f t="shared" si="0"/>
        <v>0646369</v>
      </c>
      <c r="J17" s="61">
        <v>35175</v>
      </c>
      <c r="K17" s="10">
        <v>0</v>
      </c>
      <c r="L17" s="12">
        <v>9258</v>
      </c>
      <c r="M17" s="12" t="s">
        <v>185</v>
      </c>
      <c r="N17" s="61">
        <v>35175</v>
      </c>
      <c r="O17" s="10" t="s">
        <v>187</v>
      </c>
    </row>
    <row r="18" spans="1:15" x14ac:dyDescent="0.2">
      <c r="A18" s="31" t="s">
        <v>223</v>
      </c>
      <c r="C18" s="19">
        <v>0</v>
      </c>
      <c r="D18" s="19">
        <v>0</v>
      </c>
      <c r="E18" s="19">
        <v>0</v>
      </c>
      <c r="F18" s="64">
        <v>44265</v>
      </c>
      <c r="H18" s="10" t="str">
        <f t="shared" si="0"/>
        <v>0646369</v>
      </c>
      <c r="J18" s="61">
        <v>29630</v>
      </c>
      <c r="K18" s="10">
        <v>0</v>
      </c>
      <c r="L18" s="12">
        <v>9267</v>
      </c>
      <c r="M18" s="12" t="s">
        <v>185</v>
      </c>
      <c r="N18" s="61">
        <v>29630</v>
      </c>
      <c r="O18" s="10" t="s">
        <v>187</v>
      </c>
    </row>
    <row r="19" spans="1:15" x14ac:dyDescent="0.2">
      <c r="A19" s="31" t="s">
        <v>223</v>
      </c>
      <c r="C19" s="19">
        <v>0</v>
      </c>
      <c r="D19" s="19">
        <v>0</v>
      </c>
      <c r="E19" s="19">
        <v>0</v>
      </c>
      <c r="F19" s="64">
        <v>44265</v>
      </c>
      <c r="H19" s="10" t="str">
        <f t="shared" si="0"/>
        <v>0646369</v>
      </c>
      <c r="J19" s="61">
        <v>31220</v>
      </c>
      <c r="K19" s="10">
        <v>0</v>
      </c>
      <c r="L19" s="12">
        <v>9260</v>
      </c>
      <c r="M19" s="12" t="s">
        <v>185</v>
      </c>
      <c r="N19" s="61">
        <v>31220</v>
      </c>
      <c r="O19" s="10" t="s">
        <v>187</v>
      </c>
    </row>
    <row r="20" spans="1:15" x14ac:dyDescent="0.2">
      <c r="A20" s="31" t="s">
        <v>231</v>
      </c>
      <c r="C20" s="19">
        <v>0</v>
      </c>
      <c r="D20" s="19">
        <v>0</v>
      </c>
      <c r="E20" s="19">
        <v>0</v>
      </c>
      <c r="F20" s="64">
        <v>44265</v>
      </c>
      <c r="H20" s="10" t="str">
        <f t="shared" si="0"/>
        <v>0646342</v>
      </c>
      <c r="J20" s="61">
        <v>8530</v>
      </c>
      <c r="K20" s="10">
        <v>0</v>
      </c>
      <c r="L20" s="12">
        <v>9267</v>
      </c>
      <c r="M20" s="12" t="s">
        <v>185</v>
      </c>
      <c r="N20" s="61">
        <v>8530</v>
      </c>
      <c r="O20" s="10" t="s">
        <v>187</v>
      </c>
    </row>
    <row r="21" spans="1:15" x14ac:dyDescent="0.2">
      <c r="A21" s="31" t="s">
        <v>231</v>
      </c>
      <c r="C21" s="19">
        <v>0</v>
      </c>
      <c r="D21" s="19">
        <v>0</v>
      </c>
      <c r="E21" s="19">
        <v>0</v>
      </c>
      <c r="F21" s="64">
        <v>44265</v>
      </c>
      <c r="H21" s="10" t="str">
        <f t="shared" si="0"/>
        <v>0646342</v>
      </c>
      <c r="J21" s="61">
        <v>37860</v>
      </c>
      <c r="K21" s="10">
        <v>0</v>
      </c>
      <c r="L21" s="12">
        <v>9269</v>
      </c>
      <c r="M21" s="12" t="s">
        <v>185</v>
      </c>
      <c r="N21" s="61">
        <v>37860</v>
      </c>
      <c r="O21" s="10" t="s">
        <v>187</v>
      </c>
    </row>
    <row r="22" spans="1:15" x14ac:dyDescent="0.2">
      <c r="A22" s="31" t="s">
        <v>231</v>
      </c>
      <c r="C22" s="19">
        <v>0</v>
      </c>
      <c r="D22" s="19">
        <v>0</v>
      </c>
      <c r="E22" s="19">
        <v>0</v>
      </c>
      <c r="F22" s="64">
        <v>44265</v>
      </c>
      <c r="H22" s="10" t="str">
        <f t="shared" si="0"/>
        <v>0646342</v>
      </c>
      <c r="J22" s="61">
        <v>48810</v>
      </c>
      <c r="K22" s="10">
        <v>0</v>
      </c>
      <c r="L22" s="12">
        <v>9279</v>
      </c>
      <c r="M22" s="12" t="s">
        <v>185</v>
      </c>
      <c r="N22" s="61">
        <v>48810</v>
      </c>
      <c r="O22" s="10" t="s">
        <v>187</v>
      </c>
    </row>
    <row r="23" spans="1:15" x14ac:dyDescent="0.2">
      <c r="A23" s="31" t="s">
        <v>239</v>
      </c>
      <c r="C23" s="19">
        <v>0</v>
      </c>
      <c r="D23" s="19">
        <v>0</v>
      </c>
      <c r="E23" s="19">
        <v>0</v>
      </c>
      <c r="F23" s="64">
        <v>44265</v>
      </c>
      <c r="H23" s="10" t="str">
        <f t="shared" si="0"/>
        <v>0571989</v>
      </c>
      <c r="J23" s="61">
        <v>15524</v>
      </c>
      <c r="K23" s="10">
        <v>0</v>
      </c>
      <c r="L23" s="12">
        <v>9284</v>
      </c>
      <c r="M23" s="12" t="s">
        <v>185</v>
      </c>
      <c r="N23" s="61">
        <v>15524</v>
      </c>
      <c r="O23" s="10" t="s">
        <v>187</v>
      </c>
    </row>
    <row r="24" spans="1:15" x14ac:dyDescent="0.2">
      <c r="A24" s="31" t="s">
        <v>239</v>
      </c>
      <c r="C24" s="19">
        <v>0</v>
      </c>
      <c r="D24" s="19">
        <v>0</v>
      </c>
      <c r="E24" s="19">
        <v>0</v>
      </c>
      <c r="F24" s="64">
        <v>44265</v>
      </c>
      <c r="H24" s="10" t="str">
        <f t="shared" si="0"/>
        <v>0571989</v>
      </c>
      <c r="J24" s="61">
        <v>46720</v>
      </c>
      <c r="K24" s="10">
        <v>0</v>
      </c>
      <c r="L24" s="12">
        <v>9282</v>
      </c>
      <c r="M24" s="12" t="s">
        <v>185</v>
      </c>
      <c r="N24" s="61">
        <v>46720</v>
      </c>
      <c r="O24" s="10" t="s">
        <v>187</v>
      </c>
    </row>
    <row r="25" spans="1:15" x14ac:dyDescent="0.2">
      <c r="A25" s="31" t="s">
        <v>239</v>
      </c>
      <c r="C25" s="19">
        <v>0</v>
      </c>
      <c r="D25" s="19">
        <v>0</v>
      </c>
      <c r="E25" s="19">
        <v>0</v>
      </c>
      <c r="F25" s="64">
        <v>44265</v>
      </c>
      <c r="H25" s="10" t="str">
        <f t="shared" si="0"/>
        <v>0571989</v>
      </c>
      <c r="J25" s="61">
        <v>31340</v>
      </c>
      <c r="K25" s="10">
        <v>0</v>
      </c>
      <c r="L25" s="12">
        <v>9281</v>
      </c>
      <c r="M25" s="12" t="s">
        <v>185</v>
      </c>
      <c r="N25" s="61">
        <v>31340</v>
      </c>
      <c r="O25" s="10" t="s">
        <v>187</v>
      </c>
    </row>
    <row r="26" spans="1:15" x14ac:dyDescent="0.2">
      <c r="A26" s="31" t="s">
        <v>239</v>
      </c>
      <c r="C26" s="19">
        <v>0</v>
      </c>
      <c r="D26" s="19">
        <v>0</v>
      </c>
      <c r="E26" s="19">
        <v>0</v>
      </c>
      <c r="F26" s="64">
        <v>44265</v>
      </c>
      <c r="H26" s="10" t="str">
        <f t="shared" si="0"/>
        <v>0571989</v>
      </c>
      <c r="J26" s="61">
        <v>1970</v>
      </c>
      <c r="K26" s="10">
        <v>0</v>
      </c>
      <c r="L26" s="12">
        <v>9279</v>
      </c>
      <c r="M26" s="12" t="s">
        <v>185</v>
      </c>
      <c r="N26" s="61">
        <v>1970</v>
      </c>
      <c r="O26" s="10" t="s">
        <v>187</v>
      </c>
    </row>
    <row r="27" spans="1:15" x14ac:dyDescent="0.2">
      <c r="A27" s="31" t="s">
        <v>249</v>
      </c>
      <c r="C27" s="19">
        <v>0</v>
      </c>
      <c r="D27" s="19">
        <v>0</v>
      </c>
      <c r="E27" s="19">
        <v>0</v>
      </c>
      <c r="F27" s="64">
        <v>44265</v>
      </c>
      <c r="H27" s="10" t="str">
        <f t="shared" si="0"/>
        <v>0586510</v>
      </c>
      <c r="J27" s="61">
        <v>17498</v>
      </c>
      <c r="K27" s="10">
        <v>0</v>
      </c>
      <c r="L27" s="12">
        <v>9296</v>
      </c>
      <c r="M27" s="12" t="s">
        <v>185</v>
      </c>
      <c r="N27" s="61">
        <v>17498</v>
      </c>
      <c r="O27" s="10" t="s">
        <v>187</v>
      </c>
    </row>
    <row r="28" spans="1:15" x14ac:dyDescent="0.2">
      <c r="A28" s="31" t="s">
        <v>249</v>
      </c>
      <c r="C28" s="19">
        <v>0</v>
      </c>
      <c r="D28" s="19">
        <v>0</v>
      </c>
      <c r="E28" s="19">
        <v>0</v>
      </c>
      <c r="F28" s="64">
        <v>44265</v>
      </c>
      <c r="H28" s="10" t="str">
        <f t="shared" si="0"/>
        <v>0586510</v>
      </c>
      <c r="J28" s="61">
        <v>15496</v>
      </c>
      <c r="K28" s="10">
        <v>0</v>
      </c>
      <c r="L28" s="12">
        <v>9284</v>
      </c>
      <c r="M28" s="12" t="s">
        <v>185</v>
      </c>
      <c r="N28" s="61">
        <v>15496</v>
      </c>
      <c r="O28" s="10" t="s">
        <v>187</v>
      </c>
    </row>
    <row r="29" spans="1:15" x14ac:dyDescent="0.2">
      <c r="A29" s="31" t="s">
        <v>249</v>
      </c>
      <c r="C29" s="19">
        <v>0</v>
      </c>
      <c r="D29" s="19">
        <v>0</v>
      </c>
      <c r="E29" s="19">
        <v>0</v>
      </c>
      <c r="F29" s="64">
        <v>44265</v>
      </c>
      <c r="H29" s="10" t="str">
        <f t="shared" si="0"/>
        <v>0586510</v>
      </c>
      <c r="J29" s="61">
        <v>31520</v>
      </c>
      <c r="K29" s="10">
        <v>0</v>
      </c>
      <c r="L29" s="12">
        <v>9291</v>
      </c>
      <c r="M29" s="12" t="s">
        <v>185</v>
      </c>
      <c r="N29" s="61">
        <v>31520</v>
      </c>
      <c r="O29" s="10" t="s">
        <v>187</v>
      </c>
    </row>
    <row r="30" spans="1:15" x14ac:dyDescent="0.2">
      <c r="A30" s="31" t="s">
        <v>249</v>
      </c>
      <c r="C30" s="19">
        <v>0</v>
      </c>
      <c r="D30" s="19">
        <v>0</v>
      </c>
      <c r="E30" s="19">
        <v>0</v>
      </c>
      <c r="F30" s="64">
        <v>44265</v>
      </c>
      <c r="H30" s="10" t="str">
        <f t="shared" si="0"/>
        <v>0586510</v>
      </c>
      <c r="J30" s="61">
        <v>31260</v>
      </c>
      <c r="K30" s="10">
        <v>0</v>
      </c>
      <c r="L30" s="12">
        <v>9289</v>
      </c>
      <c r="M30" s="12" t="s">
        <v>185</v>
      </c>
      <c r="N30" s="61">
        <v>31260</v>
      </c>
      <c r="O30" s="10" t="s">
        <v>187</v>
      </c>
    </row>
    <row r="31" spans="1:15" x14ac:dyDescent="0.2">
      <c r="A31" s="31" t="s">
        <v>259</v>
      </c>
      <c r="C31" s="19">
        <v>0</v>
      </c>
      <c r="D31" s="19">
        <v>0</v>
      </c>
      <c r="E31" s="19">
        <v>0</v>
      </c>
      <c r="F31" s="64">
        <v>44265</v>
      </c>
      <c r="H31" s="10" t="str">
        <f t="shared" si="0"/>
        <v>0571458</v>
      </c>
      <c r="J31" s="61">
        <v>27748</v>
      </c>
      <c r="K31" s="10">
        <v>0</v>
      </c>
      <c r="L31" s="12">
        <v>9305</v>
      </c>
      <c r="M31" s="12" t="s">
        <v>185</v>
      </c>
      <c r="N31" s="61">
        <v>27748</v>
      </c>
      <c r="O31" s="10" t="s">
        <v>187</v>
      </c>
    </row>
    <row r="32" spans="1:15" x14ac:dyDescent="0.2">
      <c r="A32" s="31" t="s">
        <v>259</v>
      </c>
      <c r="C32" s="19">
        <v>0</v>
      </c>
      <c r="D32" s="19">
        <v>0</v>
      </c>
      <c r="E32" s="19">
        <v>0</v>
      </c>
      <c r="F32" s="64">
        <v>44265</v>
      </c>
      <c r="H32" s="10" t="str">
        <f t="shared" si="0"/>
        <v>0571458</v>
      </c>
      <c r="J32" s="61">
        <v>29322</v>
      </c>
      <c r="K32" s="10">
        <v>0</v>
      </c>
      <c r="L32" s="12">
        <v>9296</v>
      </c>
      <c r="M32" s="12" t="s">
        <v>185</v>
      </c>
      <c r="N32" s="61">
        <v>29322</v>
      </c>
      <c r="O32" s="10" t="s">
        <v>187</v>
      </c>
    </row>
    <row r="33" spans="1:15" x14ac:dyDescent="0.2">
      <c r="A33" s="31" t="s">
        <v>259</v>
      </c>
      <c r="C33" s="19">
        <v>0</v>
      </c>
      <c r="D33" s="19">
        <v>0</v>
      </c>
      <c r="E33" s="19">
        <v>0</v>
      </c>
      <c r="F33" s="64">
        <v>44265</v>
      </c>
      <c r="H33" s="10" t="str">
        <f t="shared" si="0"/>
        <v>0571458</v>
      </c>
      <c r="J33" s="61">
        <v>38080</v>
      </c>
      <c r="K33" s="10">
        <v>0</v>
      </c>
      <c r="L33" s="12">
        <v>9301</v>
      </c>
      <c r="M33" s="12" t="s">
        <v>185</v>
      </c>
      <c r="N33" s="61">
        <v>38080</v>
      </c>
      <c r="O33" s="10" t="s">
        <v>187</v>
      </c>
    </row>
    <row r="34" spans="1:15" x14ac:dyDescent="0.2">
      <c r="A34" s="31" t="s">
        <v>267</v>
      </c>
      <c r="C34" s="19">
        <v>0</v>
      </c>
      <c r="D34" s="19">
        <v>0</v>
      </c>
      <c r="E34" s="19">
        <v>0</v>
      </c>
      <c r="F34" s="64">
        <v>44265</v>
      </c>
      <c r="H34" s="10" t="str">
        <f t="shared" si="0"/>
        <v>0587419</v>
      </c>
      <c r="J34" s="61">
        <v>19732</v>
      </c>
      <c r="K34" s="10">
        <v>0</v>
      </c>
      <c r="L34" s="12">
        <v>9305</v>
      </c>
      <c r="M34" s="12" t="s">
        <v>185</v>
      </c>
      <c r="N34" s="61">
        <v>19732</v>
      </c>
      <c r="O34" s="10" t="s">
        <v>187</v>
      </c>
    </row>
    <row r="35" spans="1:15" x14ac:dyDescent="0.2">
      <c r="A35" s="31" t="s">
        <v>267</v>
      </c>
      <c r="C35" s="19">
        <v>0</v>
      </c>
      <c r="D35" s="19">
        <v>0</v>
      </c>
      <c r="E35" s="19">
        <v>0</v>
      </c>
      <c r="F35" s="64">
        <v>44265</v>
      </c>
      <c r="H35" s="10" t="str">
        <f t="shared" si="0"/>
        <v>0587419</v>
      </c>
      <c r="J35" s="61">
        <v>31580</v>
      </c>
      <c r="K35" s="10">
        <v>0</v>
      </c>
      <c r="L35" s="12">
        <v>9316</v>
      </c>
      <c r="M35" s="12" t="s">
        <v>185</v>
      </c>
      <c r="N35" s="61">
        <v>31580</v>
      </c>
      <c r="O35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topLeftCell="C1" zoomScaleNormal="100" workbookViewId="0">
      <selection activeCell="E9" sqref="E9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60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204</v>
      </c>
      <c r="M1" t="str">
        <f>VLOOKUP(L1,dados!$H:$T,13,0)</f>
        <v>1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06315338019480</v>
      </c>
      <c r="M2" s="7" t="str">
        <f>IFERROR(VLOOKUP(L1,dados!$H:$Y,18,0),"")</f>
        <v>TPSL -  Terminal Portuário São Luís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28" t="s">
        <v>193</v>
      </c>
      <c r="M6" s="28" t="s">
        <v>192</v>
      </c>
      <c r="N6" s="62">
        <v>1</v>
      </c>
    </row>
    <row r="7" spans="1:14" x14ac:dyDescent="0.25">
      <c r="A7" s="30" t="s">
        <v>70</v>
      </c>
      <c r="B7" s="26" t="s">
        <v>71</v>
      </c>
      <c r="D7" s="59" t="s">
        <v>186</v>
      </c>
      <c r="E7" s="60" t="s">
        <v>188</v>
      </c>
      <c r="F7" s="38"/>
      <c r="H7" s="2" t="s">
        <v>14</v>
      </c>
      <c r="I7" t="s">
        <v>12</v>
      </c>
      <c r="L7" s="36" t="s">
        <v>204</v>
      </c>
      <c r="M7" s="36" t="s">
        <v>203</v>
      </c>
      <c r="N7" s="37">
        <v>25</v>
      </c>
    </row>
    <row r="8" spans="1:14" x14ac:dyDescent="0.25">
      <c r="A8" s="30" t="s">
        <v>72</v>
      </c>
      <c r="B8" s="26" t="s">
        <v>73</v>
      </c>
      <c r="D8" s="39" t="s">
        <v>199</v>
      </c>
      <c r="E8" s="66" t="s">
        <v>166</v>
      </c>
      <c r="F8" s="38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opLeftCell="S1" workbookViewId="0">
      <selection activeCell="Y2" sqref="Y2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</row>
    <row r="2" spans="1:29" ht="30" hidden="1" x14ac:dyDescent="0.25">
      <c r="A2" s="51" t="s">
        <v>189</v>
      </c>
      <c r="B2" s="52">
        <v>44265</v>
      </c>
      <c r="C2" s="53">
        <v>3.5916956018518499E-2</v>
      </c>
      <c r="D2" s="54" t="s">
        <v>190</v>
      </c>
      <c r="E2" s="54" t="s">
        <v>191</v>
      </c>
      <c r="F2" s="54" t="s">
        <v>184</v>
      </c>
      <c r="G2" s="54" t="s">
        <v>192</v>
      </c>
      <c r="H2" s="54" t="s">
        <v>193</v>
      </c>
      <c r="I2" s="54" t="s">
        <v>194</v>
      </c>
      <c r="J2" s="54" t="s">
        <v>193</v>
      </c>
      <c r="K2" s="54" t="s">
        <v>195</v>
      </c>
      <c r="L2" s="54" t="s">
        <v>193</v>
      </c>
      <c r="M2" s="54"/>
      <c r="N2" s="54" t="s">
        <v>196</v>
      </c>
      <c r="O2" s="55">
        <v>124.61499999999999</v>
      </c>
      <c r="P2" s="56">
        <v>29</v>
      </c>
      <c r="Q2" s="55">
        <v>95.614999999999995</v>
      </c>
      <c r="R2" s="57" t="s">
        <v>189</v>
      </c>
      <c r="S2" s="58" t="s">
        <v>197</v>
      </c>
      <c r="T2" s="54" t="s">
        <v>185</v>
      </c>
      <c r="U2" s="55">
        <v>38720.400000000001</v>
      </c>
      <c r="V2" s="55">
        <v>31.48</v>
      </c>
      <c r="W2" s="55">
        <v>31.46</v>
      </c>
      <c r="X2" s="59" t="s">
        <v>198</v>
      </c>
      <c r="Y2" s="59" t="s">
        <v>199</v>
      </c>
      <c r="Z2" s="51" t="s">
        <v>200</v>
      </c>
      <c r="AA2" s="51" t="s">
        <v>201</v>
      </c>
      <c r="AB2" s="51" t="s">
        <v>202</v>
      </c>
      <c r="AC2" s="51"/>
    </row>
    <row r="3" spans="1:29" ht="30" x14ac:dyDescent="0.25">
      <c r="A3" s="51" t="s">
        <v>189</v>
      </c>
      <c r="B3" s="52">
        <v>44265</v>
      </c>
      <c r="C3" s="53">
        <v>3.5916956018518499E-2</v>
      </c>
      <c r="D3" s="54" t="s">
        <v>190</v>
      </c>
      <c r="E3" s="54" t="s">
        <v>191</v>
      </c>
      <c r="F3" s="54" t="s">
        <v>184</v>
      </c>
      <c r="G3" s="54" t="s">
        <v>203</v>
      </c>
      <c r="H3" s="54" t="s">
        <v>204</v>
      </c>
      <c r="I3" s="54" t="s">
        <v>205</v>
      </c>
      <c r="J3" s="54" t="s">
        <v>204</v>
      </c>
      <c r="K3" s="54" t="s">
        <v>195</v>
      </c>
      <c r="L3" s="54" t="s">
        <v>204</v>
      </c>
      <c r="M3" s="54"/>
      <c r="N3" s="54" t="s">
        <v>196</v>
      </c>
      <c r="O3" s="55">
        <v>124.61499999999999</v>
      </c>
      <c r="P3" s="56">
        <v>29</v>
      </c>
      <c r="Q3" s="55">
        <v>95.614999999999995</v>
      </c>
      <c r="R3" s="57" t="s">
        <v>189</v>
      </c>
      <c r="S3" s="58" t="s">
        <v>206</v>
      </c>
      <c r="T3" s="54" t="s">
        <v>185</v>
      </c>
      <c r="U3" s="55">
        <v>37121.4</v>
      </c>
      <c r="V3" s="55">
        <v>30.18</v>
      </c>
      <c r="W3" s="55">
        <v>30.12</v>
      </c>
      <c r="X3" s="59" t="s">
        <v>207</v>
      </c>
      <c r="Y3" s="59" t="s">
        <v>199</v>
      </c>
      <c r="Z3" s="51" t="s">
        <v>200</v>
      </c>
      <c r="AA3" s="51" t="s">
        <v>208</v>
      </c>
      <c r="AB3" s="51" t="s">
        <v>209</v>
      </c>
      <c r="AC3" s="51"/>
    </row>
    <row r="4" spans="1:29" ht="30" x14ac:dyDescent="0.25">
      <c r="A4" s="51" t="s">
        <v>189</v>
      </c>
      <c r="B4" s="52">
        <v>44265</v>
      </c>
      <c r="C4" s="53">
        <v>3.5916956018518499E-2</v>
      </c>
      <c r="D4" s="54" t="s">
        <v>190</v>
      </c>
      <c r="E4" s="54" t="s">
        <v>191</v>
      </c>
      <c r="F4" s="54" t="s">
        <v>184</v>
      </c>
      <c r="G4" s="54" t="s">
        <v>203</v>
      </c>
      <c r="H4" s="54" t="s">
        <v>204</v>
      </c>
      <c r="I4" s="54" t="s">
        <v>205</v>
      </c>
      <c r="J4" s="54" t="s">
        <v>204</v>
      </c>
      <c r="K4" s="54" t="s">
        <v>195</v>
      </c>
      <c r="L4" s="54" t="s">
        <v>204</v>
      </c>
      <c r="M4" s="54"/>
      <c r="N4" s="54" t="s">
        <v>196</v>
      </c>
      <c r="O4" s="55">
        <v>124.61499999999999</v>
      </c>
      <c r="P4" s="56">
        <v>29</v>
      </c>
      <c r="Q4" s="55">
        <v>95.614999999999995</v>
      </c>
      <c r="R4" s="57" t="s">
        <v>189</v>
      </c>
      <c r="S4" s="58" t="s">
        <v>210</v>
      </c>
      <c r="T4" s="54" t="s">
        <v>185</v>
      </c>
      <c r="U4" s="55">
        <v>45928.2</v>
      </c>
      <c r="V4" s="55">
        <v>37.340000000000003</v>
      </c>
      <c r="W4" s="55">
        <v>5.2409999999999997</v>
      </c>
      <c r="X4" s="59" t="s">
        <v>211</v>
      </c>
      <c r="Y4" s="59" t="s">
        <v>199</v>
      </c>
      <c r="Z4" s="51" t="s">
        <v>200</v>
      </c>
      <c r="AA4" s="51" t="s">
        <v>208</v>
      </c>
      <c r="AB4" s="51" t="s">
        <v>209</v>
      </c>
      <c r="AC4" s="51"/>
    </row>
    <row r="5" spans="1:29" ht="30" x14ac:dyDescent="0.25">
      <c r="A5" s="51" t="s">
        <v>189</v>
      </c>
      <c r="B5" s="52">
        <v>44265</v>
      </c>
      <c r="C5" s="53">
        <v>4.2296585648148199E-2</v>
      </c>
      <c r="D5" s="54" t="s">
        <v>212</v>
      </c>
      <c r="E5" s="54" t="s">
        <v>191</v>
      </c>
      <c r="F5" s="54" t="s">
        <v>184</v>
      </c>
      <c r="G5" s="54" t="s">
        <v>203</v>
      </c>
      <c r="H5" s="54" t="s">
        <v>204</v>
      </c>
      <c r="I5" s="54" t="s">
        <v>205</v>
      </c>
      <c r="J5" s="54" t="s">
        <v>204</v>
      </c>
      <c r="K5" s="54" t="s">
        <v>195</v>
      </c>
      <c r="L5" s="54" t="s">
        <v>204</v>
      </c>
      <c r="M5" s="54"/>
      <c r="N5" s="54" t="s">
        <v>213</v>
      </c>
      <c r="O5" s="55">
        <v>124.744</v>
      </c>
      <c r="P5" s="56">
        <v>29</v>
      </c>
      <c r="Q5" s="55">
        <v>95.744</v>
      </c>
      <c r="R5" s="57" t="s">
        <v>189</v>
      </c>
      <c r="S5" s="58" t="s">
        <v>214</v>
      </c>
      <c r="T5" s="54" t="s">
        <v>185</v>
      </c>
      <c r="U5" s="55">
        <v>45436.2</v>
      </c>
      <c r="V5" s="55">
        <v>36.94</v>
      </c>
      <c r="W5" s="55">
        <v>1.7649999999999999</v>
      </c>
      <c r="X5" s="59" t="s">
        <v>215</v>
      </c>
      <c r="Y5" s="59" t="s">
        <v>199</v>
      </c>
      <c r="Z5" s="51" t="s">
        <v>200</v>
      </c>
      <c r="AA5" s="51" t="s">
        <v>216</v>
      </c>
      <c r="AB5" s="51" t="s">
        <v>217</v>
      </c>
      <c r="AC5" s="51"/>
    </row>
    <row r="6" spans="1:29" ht="30" x14ac:dyDescent="0.25">
      <c r="A6" s="51" t="s">
        <v>189</v>
      </c>
      <c r="B6" s="52">
        <v>44265</v>
      </c>
      <c r="C6" s="53">
        <v>4.2296585648148199E-2</v>
      </c>
      <c r="D6" s="54" t="s">
        <v>212</v>
      </c>
      <c r="E6" s="54" t="s">
        <v>191</v>
      </c>
      <c r="F6" s="54" t="s">
        <v>184</v>
      </c>
      <c r="G6" s="54" t="s">
        <v>203</v>
      </c>
      <c r="H6" s="54" t="s">
        <v>204</v>
      </c>
      <c r="I6" s="54" t="s">
        <v>205</v>
      </c>
      <c r="J6" s="54" t="s">
        <v>204</v>
      </c>
      <c r="K6" s="54" t="s">
        <v>195</v>
      </c>
      <c r="L6" s="54" t="s">
        <v>204</v>
      </c>
      <c r="M6" s="54"/>
      <c r="N6" s="54" t="s">
        <v>213</v>
      </c>
      <c r="O6" s="55">
        <v>124.744</v>
      </c>
      <c r="P6" s="56">
        <v>29</v>
      </c>
      <c r="Q6" s="55">
        <v>95.744</v>
      </c>
      <c r="R6" s="57" t="s">
        <v>189</v>
      </c>
      <c r="S6" s="58" t="s">
        <v>210</v>
      </c>
      <c r="T6" s="54" t="s">
        <v>185</v>
      </c>
      <c r="U6" s="55">
        <v>45928.2</v>
      </c>
      <c r="V6" s="55">
        <v>37.340000000000003</v>
      </c>
      <c r="W6" s="55">
        <v>31.998999999999999</v>
      </c>
      <c r="X6" s="59" t="s">
        <v>211</v>
      </c>
      <c r="Y6" s="59" t="s">
        <v>199</v>
      </c>
      <c r="Z6" s="51" t="s">
        <v>200</v>
      </c>
      <c r="AA6" s="51" t="s">
        <v>216</v>
      </c>
      <c r="AB6" s="51" t="s">
        <v>217</v>
      </c>
      <c r="AC6" s="51"/>
    </row>
    <row r="7" spans="1:29" ht="30" x14ac:dyDescent="0.25">
      <c r="A7" s="51" t="s">
        <v>189</v>
      </c>
      <c r="B7" s="52">
        <v>44265</v>
      </c>
      <c r="C7" s="53">
        <v>4.2296585648148199E-2</v>
      </c>
      <c r="D7" s="54" t="s">
        <v>212</v>
      </c>
      <c r="E7" s="54" t="s">
        <v>191</v>
      </c>
      <c r="F7" s="54" t="s">
        <v>184</v>
      </c>
      <c r="G7" s="54" t="s">
        <v>203</v>
      </c>
      <c r="H7" s="54" t="s">
        <v>204</v>
      </c>
      <c r="I7" s="54" t="s">
        <v>205</v>
      </c>
      <c r="J7" s="54" t="s">
        <v>204</v>
      </c>
      <c r="K7" s="54" t="s">
        <v>195</v>
      </c>
      <c r="L7" s="54" t="s">
        <v>204</v>
      </c>
      <c r="M7" s="54"/>
      <c r="N7" s="54" t="s">
        <v>213</v>
      </c>
      <c r="O7" s="55">
        <v>124.744</v>
      </c>
      <c r="P7" s="56">
        <v>29</v>
      </c>
      <c r="Q7" s="55">
        <v>95.744</v>
      </c>
      <c r="R7" s="57" t="s">
        <v>189</v>
      </c>
      <c r="S7" s="58" t="s">
        <v>218</v>
      </c>
      <c r="T7" s="54" t="s">
        <v>185</v>
      </c>
      <c r="U7" s="55">
        <v>38818.800000000003</v>
      </c>
      <c r="V7" s="55">
        <v>31.56</v>
      </c>
      <c r="W7" s="55">
        <v>31.52</v>
      </c>
      <c r="X7" s="59" t="s">
        <v>219</v>
      </c>
      <c r="Y7" s="59" t="s">
        <v>199</v>
      </c>
      <c r="Z7" s="51" t="s">
        <v>200</v>
      </c>
      <c r="AA7" s="51" t="s">
        <v>216</v>
      </c>
      <c r="AB7" s="51" t="s">
        <v>217</v>
      </c>
      <c r="AC7" s="51"/>
    </row>
    <row r="8" spans="1:29" ht="30" x14ac:dyDescent="0.25">
      <c r="A8" s="51" t="s">
        <v>189</v>
      </c>
      <c r="B8" s="52">
        <v>44265</v>
      </c>
      <c r="C8" s="53">
        <v>4.2296585648148199E-2</v>
      </c>
      <c r="D8" s="54" t="s">
        <v>212</v>
      </c>
      <c r="E8" s="54" t="s">
        <v>191</v>
      </c>
      <c r="F8" s="54" t="s">
        <v>184</v>
      </c>
      <c r="G8" s="54" t="s">
        <v>203</v>
      </c>
      <c r="H8" s="54" t="s">
        <v>204</v>
      </c>
      <c r="I8" s="54" t="s">
        <v>205</v>
      </c>
      <c r="J8" s="54" t="s">
        <v>204</v>
      </c>
      <c r="K8" s="54" t="s">
        <v>195</v>
      </c>
      <c r="L8" s="54" t="s">
        <v>204</v>
      </c>
      <c r="M8" s="54"/>
      <c r="N8" s="54" t="s">
        <v>213</v>
      </c>
      <c r="O8" s="55">
        <v>124.744</v>
      </c>
      <c r="P8" s="56">
        <v>29</v>
      </c>
      <c r="Q8" s="55">
        <v>95.744</v>
      </c>
      <c r="R8" s="57" t="s">
        <v>189</v>
      </c>
      <c r="S8" s="58" t="s">
        <v>220</v>
      </c>
      <c r="T8" s="54" t="s">
        <v>185</v>
      </c>
      <c r="U8" s="55">
        <v>37515</v>
      </c>
      <c r="V8" s="55">
        <v>30.5</v>
      </c>
      <c r="W8" s="55">
        <v>30.46</v>
      </c>
      <c r="X8" s="59" t="s">
        <v>221</v>
      </c>
      <c r="Y8" s="59" t="s">
        <v>199</v>
      </c>
      <c r="Z8" s="51" t="s">
        <v>200</v>
      </c>
      <c r="AA8" s="51" t="s">
        <v>216</v>
      </c>
      <c r="AB8" s="51" t="s">
        <v>217</v>
      </c>
      <c r="AC8" s="51"/>
    </row>
    <row r="9" spans="1:29" ht="30" x14ac:dyDescent="0.25">
      <c r="A9" s="51" t="s">
        <v>189</v>
      </c>
      <c r="B9" s="52">
        <v>44265</v>
      </c>
      <c r="C9" s="53">
        <v>4.2636284722222202E-2</v>
      </c>
      <c r="D9" s="54" t="s">
        <v>222</v>
      </c>
      <c r="E9" s="54" t="s">
        <v>191</v>
      </c>
      <c r="F9" s="54" t="s">
        <v>184</v>
      </c>
      <c r="G9" s="54" t="s">
        <v>203</v>
      </c>
      <c r="H9" s="54" t="s">
        <v>204</v>
      </c>
      <c r="I9" s="54" t="s">
        <v>205</v>
      </c>
      <c r="J9" s="54" t="s">
        <v>204</v>
      </c>
      <c r="K9" s="54" t="s">
        <v>195</v>
      </c>
      <c r="L9" s="54" t="s">
        <v>204</v>
      </c>
      <c r="M9" s="54"/>
      <c r="N9" s="54" t="s">
        <v>223</v>
      </c>
      <c r="O9" s="55">
        <v>125.02500000000001</v>
      </c>
      <c r="P9" s="56">
        <v>29</v>
      </c>
      <c r="Q9" s="55">
        <v>96.025000000000006</v>
      </c>
      <c r="R9" s="57" t="s">
        <v>189</v>
      </c>
      <c r="S9" s="58" t="s">
        <v>214</v>
      </c>
      <c r="T9" s="54" t="s">
        <v>185</v>
      </c>
      <c r="U9" s="55">
        <v>45436.2</v>
      </c>
      <c r="V9" s="55">
        <v>36.94</v>
      </c>
      <c r="W9" s="55">
        <v>35.174999999999997</v>
      </c>
      <c r="X9" s="59" t="s">
        <v>215</v>
      </c>
      <c r="Y9" s="59" t="s">
        <v>199</v>
      </c>
      <c r="Z9" s="51" t="s">
        <v>200</v>
      </c>
      <c r="AA9" s="51" t="s">
        <v>224</v>
      </c>
      <c r="AB9" s="51" t="s">
        <v>225</v>
      </c>
      <c r="AC9" s="51"/>
    </row>
    <row r="10" spans="1:29" ht="30" x14ac:dyDescent="0.25">
      <c r="A10" s="51" t="s">
        <v>189</v>
      </c>
      <c r="B10" s="52">
        <v>44265</v>
      </c>
      <c r="C10" s="53">
        <v>4.2636284722222202E-2</v>
      </c>
      <c r="D10" s="54" t="s">
        <v>222</v>
      </c>
      <c r="E10" s="54" t="s">
        <v>191</v>
      </c>
      <c r="F10" s="54" t="s">
        <v>184</v>
      </c>
      <c r="G10" s="54" t="s">
        <v>203</v>
      </c>
      <c r="H10" s="54" t="s">
        <v>204</v>
      </c>
      <c r="I10" s="54" t="s">
        <v>205</v>
      </c>
      <c r="J10" s="54" t="s">
        <v>204</v>
      </c>
      <c r="K10" s="54" t="s">
        <v>195</v>
      </c>
      <c r="L10" s="54" t="s">
        <v>204</v>
      </c>
      <c r="M10" s="54"/>
      <c r="N10" s="54" t="s">
        <v>223</v>
      </c>
      <c r="O10" s="55">
        <v>125.02500000000001</v>
      </c>
      <c r="P10" s="56">
        <v>29</v>
      </c>
      <c r="Q10" s="55">
        <v>96.025000000000006</v>
      </c>
      <c r="R10" s="57" t="s">
        <v>189</v>
      </c>
      <c r="S10" s="58" t="s">
        <v>226</v>
      </c>
      <c r="T10" s="54" t="s">
        <v>185</v>
      </c>
      <c r="U10" s="55">
        <v>47035.199999999997</v>
      </c>
      <c r="V10" s="55">
        <v>38.24</v>
      </c>
      <c r="W10" s="55">
        <v>29.63</v>
      </c>
      <c r="X10" s="59" t="s">
        <v>227</v>
      </c>
      <c r="Y10" s="59" t="s">
        <v>199</v>
      </c>
      <c r="Z10" s="51" t="s">
        <v>200</v>
      </c>
      <c r="AA10" s="51" t="s">
        <v>224</v>
      </c>
      <c r="AB10" s="51" t="s">
        <v>225</v>
      </c>
      <c r="AC10" s="51"/>
    </row>
    <row r="11" spans="1:29" ht="30" x14ac:dyDescent="0.25">
      <c r="A11" s="51" t="s">
        <v>189</v>
      </c>
      <c r="B11" s="52">
        <v>44265</v>
      </c>
      <c r="C11" s="53">
        <v>4.2636284722222202E-2</v>
      </c>
      <c r="D11" s="54" t="s">
        <v>222</v>
      </c>
      <c r="E11" s="54" t="s">
        <v>191</v>
      </c>
      <c r="F11" s="54" t="s">
        <v>184</v>
      </c>
      <c r="G11" s="54" t="s">
        <v>203</v>
      </c>
      <c r="H11" s="54" t="s">
        <v>204</v>
      </c>
      <c r="I11" s="54" t="s">
        <v>205</v>
      </c>
      <c r="J11" s="54" t="s">
        <v>204</v>
      </c>
      <c r="K11" s="54" t="s">
        <v>195</v>
      </c>
      <c r="L11" s="54" t="s">
        <v>204</v>
      </c>
      <c r="M11" s="54"/>
      <c r="N11" s="54" t="s">
        <v>223</v>
      </c>
      <c r="O11" s="55">
        <v>125.02500000000001</v>
      </c>
      <c r="P11" s="56">
        <v>29</v>
      </c>
      <c r="Q11" s="55">
        <v>96.025000000000006</v>
      </c>
      <c r="R11" s="57" t="s">
        <v>189</v>
      </c>
      <c r="S11" s="58" t="s">
        <v>228</v>
      </c>
      <c r="T11" s="54" t="s">
        <v>185</v>
      </c>
      <c r="U11" s="55">
        <v>38400.6</v>
      </c>
      <c r="V11" s="55">
        <v>31.22</v>
      </c>
      <c r="W11" s="55">
        <v>31.22</v>
      </c>
      <c r="X11" s="59" t="s">
        <v>229</v>
      </c>
      <c r="Y11" s="59" t="s">
        <v>199</v>
      </c>
      <c r="Z11" s="51" t="s">
        <v>200</v>
      </c>
      <c r="AA11" s="51" t="s">
        <v>224</v>
      </c>
      <c r="AB11" s="51" t="s">
        <v>225</v>
      </c>
      <c r="AC11" s="51"/>
    </row>
    <row r="12" spans="1:29" ht="30" x14ac:dyDescent="0.25">
      <c r="A12" s="51" t="s">
        <v>189</v>
      </c>
      <c r="B12" s="52">
        <v>44265</v>
      </c>
      <c r="C12" s="53">
        <v>5.0353298611111097E-2</v>
      </c>
      <c r="D12" s="54" t="s">
        <v>230</v>
      </c>
      <c r="E12" s="54" t="s">
        <v>191</v>
      </c>
      <c r="F12" s="54" t="s">
        <v>184</v>
      </c>
      <c r="G12" s="54" t="s">
        <v>203</v>
      </c>
      <c r="H12" s="54" t="s">
        <v>204</v>
      </c>
      <c r="I12" s="54" t="s">
        <v>205</v>
      </c>
      <c r="J12" s="54" t="s">
        <v>204</v>
      </c>
      <c r="K12" s="54" t="s">
        <v>195</v>
      </c>
      <c r="L12" s="54" t="s">
        <v>204</v>
      </c>
      <c r="M12" s="54"/>
      <c r="N12" s="54" t="s">
        <v>231</v>
      </c>
      <c r="O12" s="55">
        <v>124.2</v>
      </c>
      <c r="P12" s="56">
        <v>29</v>
      </c>
      <c r="Q12" s="55">
        <v>95.2</v>
      </c>
      <c r="R12" s="57" t="s">
        <v>189</v>
      </c>
      <c r="S12" s="58" t="s">
        <v>226</v>
      </c>
      <c r="T12" s="54" t="s">
        <v>185</v>
      </c>
      <c r="U12" s="55">
        <v>47035.199999999997</v>
      </c>
      <c r="V12" s="55">
        <v>38.24</v>
      </c>
      <c r="W12" s="55">
        <v>8.5299999999999994</v>
      </c>
      <c r="X12" s="59" t="s">
        <v>227</v>
      </c>
      <c r="Y12" s="59" t="s">
        <v>199</v>
      </c>
      <c r="Z12" s="51" t="s">
        <v>200</v>
      </c>
      <c r="AA12" s="51" t="s">
        <v>232</v>
      </c>
      <c r="AB12" s="51" t="s">
        <v>233</v>
      </c>
      <c r="AC12" s="51"/>
    </row>
    <row r="13" spans="1:29" ht="30" x14ac:dyDescent="0.25">
      <c r="A13" s="51" t="s">
        <v>189</v>
      </c>
      <c r="B13" s="52">
        <v>44265</v>
      </c>
      <c r="C13" s="53">
        <v>5.0353298611111097E-2</v>
      </c>
      <c r="D13" s="54" t="s">
        <v>230</v>
      </c>
      <c r="E13" s="54" t="s">
        <v>191</v>
      </c>
      <c r="F13" s="54" t="s">
        <v>184</v>
      </c>
      <c r="G13" s="54" t="s">
        <v>203</v>
      </c>
      <c r="H13" s="54" t="s">
        <v>204</v>
      </c>
      <c r="I13" s="54" t="s">
        <v>205</v>
      </c>
      <c r="J13" s="54" t="s">
        <v>204</v>
      </c>
      <c r="K13" s="54" t="s">
        <v>195</v>
      </c>
      <c r="L13" s="54" t="s">
        <v>204</v>
      </c>
      <c r="M13" s="54"/>
      <c r="N13" s="54" t="s">
        <v>231</v>
      </c>
      <c r="O13" s="55">
        <v>124.2</v>
      </c>
      <c r="P13" s="56">
        <v>29</v>
      </c>
      <c r="Q13" s="55">
        <v>95.2</v>
      </c>
      <c r="R13" s="57" t="s">
        <v>189</v>
      </c>
      <c r="S13" s="58" t="s">
        <v>234</v>
      </c>
      <c r="T13" s="54" t="s">
        <v>185</v>
      </c>
      <c r="U13" s="55">
        <v>46764.6</v>
      </c>
      <c r="V13" s="55">
        <v>38.020000000000003</v>
      </c>
      <c r="W13" s="55">
        <v>37.86</v>
      </c>
      <c r="X13" s="59" t="s">
        <v>235</v>
      </c>
      <c r="Y13" s="59" t="s">
        <v>199</v>
      </c>
      <c r="Z13" s="51" t="s">
        <v>200</v>
      </c>
      <c r="AA13" s="51" t="s">
        <v>232</v>
      </c>
      <c r="AB13" s="51" t="s">
        <v>233</v>
      </c>
      <c r="AC13" s="51"/>
    </row>
    <row r="14" spans="1:29" ht="30" x14ac:dyDescent="0.25">
      <c r="A14" s="51" t="s">
        <v>189</v>
      </c>
      <c r="B14" s="52">
        <v>44265</v>
      </c>
      <c r="C14" s="53">
        <v>5.0353298611111097E-2</v>
      </c>
      <c r="D14" s="54" t="s">
        <v>230</v>
      </c>
      <c r="E14" s="54" t="s">
        <v>191</v>
      </c>
      <c r="F14" s="54" t="s">
        <v>184</v>
      </c>
      <c r="G14" s="54" t="s">
        <v>203</v>
      </c>
      <c r="H14" s="54" t="s">
        <v>204</v>
      </c>
      <c r="I14" s="54" t="s">
        <v>205</v>
      </c>
      <c r="J14" s="54" t="s">
        <v>204</v>
      </c>
      <c r="K14" s="54" t="s">
        <v>195</v>
      </c>
      <c r="L14" s="54" t="s">
        <v>204</v>
      </c>
      <c r="M14" s="54"/>
      <c r="N14" s="54" t="s">
        <v>231</v>
      </c>
      <c r="O14" s="55">
        <v>124.2</v>
      </c>
      <c r="P14" s="56">
        <v>29</v>
      </c>
      <c r="Q14" s="55">
        <v>95.2</v>
      </c>
      <c r="R14" s="57" t="s">
        <v>189</v>
      </c>
      <c r="S14" s="58" t="s">
        <v>236</v>
      </c>
      <c r="T14" s="54" t="s">
        <v>185</v>
      </c>
      <c r="U14" s="55">
        <v>62508.6</v>
      </c>
      <c r="V14" s="55">
        <v>50.82</v>
      </c>
      <c r="W14" s="55">
        <v>48.81</v>
      </c>
      <c r="X14" s="59" t="s">
        <v>237</v>
      </c>
      <c r="Y14" s="59" t="s">
        <v>199</v>
      </c>
      <c r="Z14" s="51" t="s">
        <v>200</v>
      </c>
      <c r="AA14" s="51" t="s">
        <v>232</v>
      </c>
      <c r="AB14" s="51" t="s">
        <v>233</v>
      </c>
      <c r="AC14" s="51"/>
    </row>
    <row r="15" spans="1:29" ht="30" x14ac:dyDescent="0.25">
      <c r="A15" s="51" t="s">
        <v>189</v>
      </c>
      <c r="B15" s="52">
        <v>44265</v>
      </c>
      <c r="C15" s="53">
        <v>5.0530057870370397E-2</v>
      </c>
      <c r="D15" s="54" t="s">
        <v>238</v>
      </c>
      <c r="E15" s="54" t="s">
        <v>191</v>
      </c>
      <c r="F15" s="54" t="s">
        <v>184</v>
      </c>
      <c r="G15" s="54" t="s">
        <v>203</v>
      </c>
      <c r="H15" s="54" t="s">
        <v>204</v>
      </c>
      <c r="I15" s="54" t="s">
        <v>205</v>
      </c>
      <c r="J15" s="54" t="s">
        <v>204</v>
      </c>
      <c r="K15" s="54" t="s">
        <v>195</v>
      </c>
      <c r="L15" s="54" t="s">
        <v>204</v>
      </c>
      <c r="M15" s="54"/>
      <c r="N15" s="54" t="s">
        <v>239</v>
      </c>
      <c r="O15" s="55">
        <v>125.554</v>
      </c>
      <c r="P15" s="56">
        <v>30</v>
      </c>
      <c r="Q15" s="55">
        <v>95.554000000000002</v>
      </c>
      <c r="R15" s="57" t="s">
        <v>189</v>
      </c>
      <c r="S15" s="58" t="s">
        <v>240</v>
      </c>
      <c r="T15" s="54" t="s">
        <v>185</v>
      </c>
      <c r="U15" s="55">
        <v>38203.800000000003</v>
      </c>
      <c r="V15" s="55">
        <v>31.06</v>
      </c>
      <c r="W15" s="55">
        <v>15.523999999999999</v>
      </c>
      <c r="X15" s="59" t="s">
        <v>241</v>
      </c>
      <c r="Y15" s="59" t="s">
        <v>199</v>
      </c>
      <c r="Z15" s="51" t="s">
        <v>200</v>
      </c>
      <c r="AA15" s="51" t="s">
        <v>242</v>
      </c>
      <c r="AB15" s="51" t="s">
        <v>243</v>
      </c>
      <c r="AC15" s="51"/>
    </row>
    <row r="16" spans="1:29" ht="30" x14ac:dyDescent="0.25">
      <c r="A16" s="51" t="s">
        <v>189</v>
      </c>
      <c r="B16" s="52">
        <v>44265</v>
      </c>
      <c r="C16" s="53">
        <v>5.0530057870370397E-2</v>
      </c>
      <c r="D16" s="54" t="s">
        <v>238</v>
      </c>
      <c r="E16" s="54" t="s">
        <v>191</v>
      </c>
      <c r="F16" s="54" t="s">
        <v>184</v>
      </c>
      <c r="G16" s="54" t="s">
        <v>203</v>
      </c>
      <c r="H16" s="54" t="s">
        <v>204</v>
      </c>
      <c r="I16" s="54" t="s">
        <v>205</v>
      </c>
      <c r="J16" s="54" t="s">
        <v>204</v>
      </c>
      <c r="K16" s="54" t="s">
        <v>195</v>
      </c>
      <c r="L16" s="54" t="s">
        <v>204</v>
      </c>
      <c r="M16" s="54"/>
      <c r="N16" s="54" t="s">
        <v>239</v>
      </c>
      <c r="O16" s="55">
        <v>125.554</v>
      </c>
      <c r="P16" s="56">
        <v>30</v>
      </c>
      <c r="Q16" s="55">
        <v>95.554000000000002</v>
      </c>
      <c r="R16" s="57" t="s">
        <v>189</v>
      </c>
      <c r="S16" s="58" t="s">
        <v>244</v>
      </c>
      <c r="T16" s="54" t="s">
        <v>185</v>
      </c>
      <c r="U16" s="55">
        <v>57539.4</v>
      </c>
      <c r="V16" s="55">
        <v>46.78</v>
      </c>
      <c r="W16" s="55">
        <v>46.72</v>
      </c>
      <c r="X16" s="59" t="s">
        <v>245</v>
      </c>
      <c r="Y16" s="59" t="s">
        <v>199</v>
      </c>
      <c r="Z16" s="51" t="s">
        <v>200</v>
      </c>
      <c r="AA16" s="51" t="s">
        <v>242</v>
      </c>
      <c r="AB16" s="51" t="s">
        <v>243</v>
      </c>
      <c r="AC16" s="51"/>
    </row>
    <row r="17" spans="1:29" ht="30" x14ac:dyDescent="0.25">
      <c r="A17" s="51" t="s">
        <v>189</v>
      </c>
      <c r="B17" s="52">
        <v>44265</v>
      </c>
      <c r="C17" s="53">
        <v>5.0530057870370397E-2</v>
      </c>
      <c r="D17" s="54" t="s">
        <v>238</v>
      </c>
      <c r="E17" s="54" t="s">
        <v>191</v>
      </c>
      <c r="F17" s="54" t="s">
        <v>184</v>
      </c>
      <c r="G17" s="54" t="s">
        <v>203</v>
      </c>
      <c r="H17" s="54" t="s">
        <v>204</v>
      </c>
      <c r="I17" s="54" t="s">
        <v>205</v>
      </c>
      <c r="J17" s="54" t="s">
        <v>204</v>
      </c>
      <c r="K17" s="54" t="s">
        <v>195</v>
      </c>
      <c r="L17" s="54" t="s">
        <v>204</v>
      </c>
      <c r="M17" s="54"/>
      <c r="N17" s="54" t="s">
        <v>239</v>
      </c>
      <c r="O17" s="55">
        <v>125.554</v>
      </c>
      <c r="P17" s="56">
        <v>30</v>
      </c>
      <c r="Q17" s="55">
        <v>95.554000000000002</v>
      </c>
      <c r="R17" s="57" t="s">
        <v>189</v>
      </c>
      <c r="S17" s="58" t="s">
        <v>246</v>
      </c>
      <c r="T17" s="54" t="s">
        <v>185</v>
      </c>
      <c r="U17" s="55">
        <v>38572.800000000003</v>
      </c>
      <c r="V17" s="55">
        <v>31.36</v>
      </c>
      <c r="W17" s="55">
        <v>31.34</v>
      </c>
      <c r="X17" s="59" t="s">
        <v>247</v>
      </c>
      <c r="Y17" s="59" t="s">
        <v>199</v>
      </c>
      <c r="Z17" s="51" t="s">
        <v>200</v>
      </c>
      <c r="AA17" s="51" t="s">
        <v>242</v>
      </c>
      <c r="AB17" s="51" t="s">
        <v>243</v>
      </c>
      <c r="AC17" s="51"/>
    </row>
    <row r="18" spans="1:29" ht="30" x14ac:dyDescent="0.25">
      <c r="A18" s="51" t="s">
        <v>189</v>
      </c>
      <c r="B18" s="52">
        <v>44265</v>
      </c>
      <c r="C18" s="53">
        <v>5.0530057870370397E-2</v>
      </c>
      <c r="D18" s="54" t="s">
        <v>238</v>
      </c>
      <c r="E18" s="54" t="s">
        <v>191</v>
      </c>
      <c r="F18" s="54" t="s">
        <v>184</v>
      </c>
      <c r="G18" s="54" t="s">
        <v>203</v>
      </c>
      <c r="H18" s="54" t="s">
        <v>204</v>
      </c>
      <c r="I18" s="54" t="s">
        <v>205</v>
      </c>
      <c r="J18" s="54" t="s">
        <v>204</v>
      </c>
      <c r="K18" s="54" t="s">
        <v>195</v>
      </c>
      <c r="L18" s="54" t="s">
        <v>204</v>
      </c>
      <c r="M18" s="54"/>
      <c r="N18" s="54" t="s">
        <v>239</v>
      </c>
      <c r="O18" s="55">
        <v>125.554</v>
      </c>
      <c r="P18" s="56">
        <v>30</v>
      </c>
      <c r="Q18" s="55">
        <v>95.554000000000002</v>
      </c>
      <c r="R18" s="57" t="s">
        <v>189</v>
      </c>
      <c r="S18" s="58" t="s">
        <v>236</v>
      </c>
      <c r="T18" s="54" t="s">
        <v>185</v>
      </c>
      <c r="U18" s="55">
        <v>62508.6</v>
      </c>
      <c r="V18" s="55">
        <v>50.82</v>
      </c>
      <c r="W18" s="55">
        <v>1.97</v>
      </c>
      <c r="X18" s="59" t="s">
        <v>237</v>
      </c>
      <c r="Y18" s="59" t="s">
        <v>199</v>
      </c>
      <c r="Z18" s="51" t="s">
        <v>200</v>
      </c>
      <c r="AA18" s="51" t="s">
        <v>242</v>
      </c>
      <c r="AB18" s="51" t="s">
        <v>243</v>
      </c>
      <c r="AC18" s="51"/>
    </row>
    <row r="19" spans="1:29" ht="30" x14ac:dyDescent="0.25">
      <c r="A19" s="51" t="s">
        <v>189</v>
      </c>
      <c r="B19" s="52">
        <v>44265</v>
      </c>
      <c r="C19" s="53">
        <v>5.4564525462962997E-2</v>
      </c>
      <c r="D19" s="54" t="s">
        <v>248</v>
      </c>
      <c r="E19" s="54" t="s">
        <v>191</v>
      </c>
      <c r="F19" s="54" t="s">
        <v>184</v>
      </c>
      <c r="G19" s="54" t="s">
        <v>203</v>
      </c>
      <c r="H19" s="54" t="s">
        <v>204</v>
      </c>
      <c r="I19" s="54" t="s">
        <v>205</v>
      </c>
      <c r="J19" s="54" t="s">
        <v>204</v>
      </c>
      <c r="K19" s="54" t="s">
        <v>195</v>
      </c>
      <c r="L19" s="54" t="s">
        <v>204</v>
      </c>
      <c r="M19" s="54"/>
      <c r="N19" s="54" t="s">
        <v>249</v>
      </c>
      <c r="O19" s="55">
        <v>127.264</v>
      </c>
      <c r="P19" s="56">
        <v>31.49</v>
      </c>
      <c r="Q19" s="55">
        <v>95.774000000000001</v>
      </c>
      <c r="R19" s="57" t="s">
        <v>189</v>
      </c>
      <c r="S19" s="58" t="s">
        <v>250</v>
      </c>
      <c r="T19" s="54" t="s">
        <v>185</v>
      </c>
      <c r="U19" s="55">
        <v>57662.400000000001</v>
      </c>
      <c r="V19" s="55">
        <v>46.88</v>
      </c>
      <c r="W19" s="55">
        <v>17.498000000000001</v>
      </c>
      <c r="X19" s="59" t="s">
        <v>251</v>
      </c>
      <c r="Y19" s="59" t="s">
        <v>199</v>
      </c>
      <c r="Z19" s="51" t="s">
        <v>200</v>
      </c>
      <c r="AA19" s="51" t="s">
        <v>252</v>
      </c>
      <c r="AB19" s="51" t="s">
        <v>253</v>
      </c>
      <c r="AC19" s="51"/>
    </row>
    <row r="20" spans="1:29" ht="30" x14ac:dyDescent="0.25">
      <c r="A20" s="51" t="s">
        <v>189</v>
      </c>
      <c r="B20" s="52">
        <v>44265</v>
      </c>
      <c r="C20" s="53">
        <v>5.4564525462962997E-2</v>
      </c>
      <c r="D20" s="54" t="s">
        <v>248</v>
      </c>
      <c r="E20" s="54" t="s">
        <v>191</v>
      </c>
      <c r="F20" s="54" t="s">
        <v>184</v>
      </c>
      <c r="G20" s="54" t="s">
        <v>203</v>
      </c>
      <c r="H20" s="54" t="s">
        <v>204</v>
      </c>
      <c r="I20" s="54" t="s">
        <v>205</v>
      </c>
      <c r="J20" s="54" t="s">
        <v>204</v>
      </c>
      <c r="K20" s="54" t="s">
        <v>195</v>
      </c>
      <c r="L20" s="54" t="s">
        <v>204</v>
      </c>
      <c r="M20" s="54"/>
      <c r="N20" s="54" t="s">
        <v>249</v>
      </c>
      <c r="O20" s="55">
        <v>127.264</v>
      </c>
      <c r="P20" s="56">
        <v>31.49</v>
      </c>
      <c r="Q20" s="55">
        <v>95.774000000000001</v>
      </c>
      <c r="R20" s="57" t="s">
        <v>189</v>
      </c>
      <c r="S20" s="58" t="s">
        <v>240</v>
      </c>
      <c r="T20" s="54" t="s">
        <v>185</v>
      </c>
      <c r="U20" s="55">
        <v>38203.800000000003</v>
      </c>
      <c r="V20" s="55">
        <v>31.06</v>
      </c>
      <c r="W20" s="55">
        <v>15.496</v>
      </c>
      <c r="X20" s="59" t="s">
        <v>241</v>
      </c>
      <c r="Y20" s="59" t="s">
        <v>199</v>
      </c>
      <c r="Z20" s="51" t="s">
        <v>200</v>
      </c>
      <c r="AA20" s="51" t="s">
        <v>252</v>
      </c>
      <c r="AB20" s="51" t="s">
        <v>253</v>
      </c>
      <c r="AC20" s="51"/>
    </row>
    <row r="21" spans="1:29" ht="30" x14ac:dyDescent="0.25">
      <c r="A21" s="51" t="s">
        <v>189</v>
      </c>
      <c r="B21" s="52">
        <v>44265</v>
      </c>
      <c r="C21" s="53">
        <v>5.4564525462962997E-2</v>
      </c>
      <c r="D21" s="54" t="s">
        <v>248</v>
      </c>
      <c r="E21" s="54" t="s">
        <v>191</v>
      </c>
      <c r="F21" s="54" t="s">
        <v>184</v>
      </c>
      <c r="G21" s="54" t="s">
        <v>203</v>
      </c>
      <c r="H21" s="54" t="s">
        <v>204</v>
      </c>
      <c r="I21" s="54" t="s">
        <v>205</v>
      </c>
      <c r="J21" s="54" t="s">
        <v>204</v>
      </c>
      <c r="K21" s="54" t="s">
        <v>195</v>
      </c>
      <c r="L21" s="54" t="s">
        <v>204</v>
      </c>
      <c r="M21" s="54"/>
      <c r="N21" s="54" t="s">
        <v>249</v>
      </c>
      <c r="O21" s="55">
        <v>127.264</v>
      </c>
      <c r="P21" s="56">
        <v>31.49</v>
      </c>
      <c r="Q21" s="55">
        <v>95.774000000000001</v>
      </c>
      <c r="R21" s="57" t="s">
        <v>189</v>
      </c>
      <c r="S21" s="58" t="s">
        <v>254</v>
      </c>
      <c r="T21" s="54" t="s">
        <v>185</v>
      </c>
      <c r="U21" s="55">
        <v>38868</v>
      </c>
      <c r="V21" s="55">
        <v>31.6</v>
      </c>
      <c r="W21" s="55">
        <v>31.52</v>
      </c>
      <c r="X21" s="59" t="s">
        <v>255</v>
      </c>
      <c r="Y21" s="59" t="s">
        <v>199</v>
      </c>
      <c r="Z21" s="51" t="s">
        <v>200</v>
      </c>
      <c r="AA21" s="51" t="s">
        <v>252</v>
      </c>
      <c r="AB21" s="51" t="s">
        <v>253</v>
      </c>
      <c r="AC21" s="51"/>
    </row>
    <row r="22" spans="1:29" ht="30" x14ac:dyDescent="0.25">
      <c r="A22" s="51" t="s">
        <v>189</v>
      </c>
      <c r="B22" s="52">
        <v>44265</v>
      </c>
      <c r="C22" s="53">
        <v>5.4564525462962997E-2</v>
      </c>
      <c r="D22" s="54" t="s">
        <v>248</v>
      </c>
      <c r="E22" s="54" t="s">
        <v>191</v>
      </c>
      <c r="F22" s="54" t="s">
        <v>184</v>
      </c>
      <c r="G22" s="54" t="s">
        <v>203</v>
      </c>
      <c r="H22" s="54" t="s">
        <v>204</v>
      </c>
      <c r="I22" s="54" t="s">
        <v>205</v>
      </c>
      <c r="J22" s="54" t="s">
        <v>204</v>
      </c>
      <c r="K22" s="54" t="s">
        <v>195</v>
      </c>
      <c r="L22" s="54" t="s">
        <v>204</v>
      </c>
      <c r="M22" s="54"/>
      <c r="N22" s="54" t="s">
        <v>249</v>
      </c>
      <c r="O22" s="55">
        <v>127.264</v>
      </c>
      <c r="P22" s="56">
        <v>31.49</v>
      </c>
      <c r="Q22" s="55">
        <v>95.774000000000001</v>
      </c>
      <c r="R22" s="57" t="s">
        <v>189</v>
      </c>
      <c r="S22" s="58" t="s">
        <v>256</v>
      </c>
      <c r="T22" s="54" t="s">
        <v>185</v>
      </c>
      <c r="U22" s="55">
        <v>38548.199999999997</v>
      </c>
      <c r="V22" s="55">
        <v>31.34</v>
      </c>
      <c r="W22" s="55">
        <v>31.26</v>
      </c>
      <c r="X22" s="59" t="s">
        <v>257</v>
      </c>
      <c r="Y22" s="59" t="s">
        <v>199</v>
      </c>
      <c r="Z22" s="51" t="s">
        <v>200</v>
      </c>
      <c r="AA22" s="51" t="s">
        <v>252</v>
      </c>
      <c r="AB22" s="51" t="s">
        <v>253</v>
      </c>
      <c r="AC22" s="51"/>
    </row>
    <row r="23" spans="1:29" ht="30" x14ac:dyDescent="0.25">
      <c r="A23" s="51" t="s">
        <v>189</v>
      </c>
      <c r="B23" s="52">
        <v>44265</v>
      </c>
      <c r="C23" s="53">
        <v>5.6674826388888898E-2</v>
      </c>
      <c r="D23" s="54" t="s">
        <v>258</v>
      </c>
      <c r="E23" s="54" t="s">
        <v>191</v>
      </c>
      <c r="F23" s="54" t="s">
        <v>184</v>
      </c>
      <c r="G23" s="54" t="s">
        <v>203</v>
      </c>
      <c r="H23" s="54" t="s">
        <v>204</v>
      </c>
      <c r="I23" s="54" t="s">
        <v>205</v>
      </c>
      <c r="J23" s="54" t="s">
        <v>204</v>
      </c>
      <c r="K23" s="54" t="s">
        <v>195</v>
      </c>
      <c r="L23" s="54" t="s">
        <v>204</v>
      </c>
      <c r="M23" s="54"/>
      <c r="N23" s="54" t="s">
        <v>259</v>
      </c>
      <c r="O23" s="55">
        <v>125.15</v>
      </c>
      <c r="P23" s="56">
        <v>30</v>
      </c>
      <c r="Q23" s="55">
        <v>95.15</v>
      </c>
      <c r="R23" s="57" t="s">
        <v>189</v>
      </c>
      <c r="S23" s="58" t="s">
        <v>260</v>
      </c>
      <c r="T23" s="54" t="s">
        <v>185</v>
      </c>
      <c r="U23" s="55">
        <v>58449.599999999999</v>
      </c>
      <c r="V23" s="55">
        <v>47.52</v>
      </c>
      <c r="W23" s="55">
        <v>27.748000000000001</v>
      </c>
      <c r="X23" s="59" t="s">
        <v>261</v>
      </c>
      <c r="Y23" s="59" t="s">
        <v>199</v>
      </c>
      <c r="Z23" s="51" t="s">
        <v>200</v>
      </c>
      <c r="AA23" s="51" t="s">
        <v>262</v>
      </c>
      <c r="AB23" s="51" t="s">
        <v>263</v>
      </c>
      <c r="AC23" s="51"/>
    </row>
    <row r="24" spans="1:29" ht="30" x14ac:dyDescent="0.25">
      <c r="A24" s="51" t="s">
        <v>189</v>
      </c>
      <c r="B24" s="52">
        <v>44265</v>
      </c>
      <c r="C24" s="53">
        <v>5.6674826388888898E-2</v>
      </c>
      <c r="D24" s="54" t="s">
        <v>258</v>
      </c>
      <c r="E24" s="54" t="s">
        <v>191</v>
      </c>
      <c r="F24" s="54" t="s">
        <v>184</v>
      </c>
      <c r="G24" s="54" t="s">
        <v>203</v>
      </c>
      <c r="H24" s="54" t="s">
        <v>204</v>
      </c>
      <c r="I24" s="54" t="s">
        <v>205</v>
      </c>
      <c r="J24" s="54" t="s">
        <v>204</v>
      </c>
      <c r="K24" s="54" t="s">
        <v>195</v>
      </c>
      <c r="L24" s="54" t="s">
        <v>204</v>
      </c>
      <c r="M24" s="54"/>
      <c r="N24" s="54" t="s">
        <v>259</v>
      </c>
      <c r="O24" s="55">
        <v>125.15</v>
      </c>
      <c r="P24" s="56">
        <v>30</v>
      </c>
      <c r="Q24" s="55">
        <v>95.15</v>
      </c>
      <c r="R24" s="57" t="s">
        <v>189</v>
      </c>
      <c r="S24" s="58" t="s">
        <v>250</v>
      </c>
      <c r="T24" s="54" t="s">
        <v>185</v>
      </c>
      <c r="U24" s="55">
        <v>57662.400000000001</v>
      </c>
      <c r="V24" s="55">
        <v>46.88</v>
      </c>
      <c r="W24" s="55">
        <v>29.321999999999999</v>
      </c>
      <c r="X24" s="59" t="s">
        <v>251</v>
      </c>
      <c r="Y24" s="59" t="s">
        <v>199</v>
      </c>
      <c r="Z24" s="51" t="s">
        <v>200</v>
      </c>
      <c r="AA24" s="51" t="s">
        <v>262</v>
      </c>
      <c r="AB24" s="51" t="s">
        <v>263</v>
      </c>
      <c r="AC24" s="51"/>
    </row>
    <row r="25" spans="1:29" ht="30" x14ac:dyDescent="0.25">
      <c r="A25" s="51" t="s">
        <v>189</v>
      </c>
      <c r="B25" s="52">
        <v>44265</v>
      </c>
      <c r="C25" s="53">
        <v>5.6674826388888898E-2</v>
      </c>
      <c r="D25" s="54" t="s">
        <v>258</v>
      </c>
      <c r="E25" s="54" t="s">
        <v>191</v>
      </c>
      <c r="F25" s="54" t="s">
        <v>184</v>
      </c>
      <c r="G25" s="54" t="s">
        <v>203</v>
      </c>
      <c r="H25" s="54" t="s">
        <v>204</v>
      </c>
      <c r="I25" s="54" t="s">
        <v>205</v>
      </c>
      <c r="J25" s="54" t="s">
        <v>204</v>
      </c>
      <c r="K25" s="54" t="s">
        <v>195</v>
      </c>
      <c r="L25" s="54" t="s">
        <v>204</v>
      </c>
      <c r="M25" s="54"/>
      <c r="N25" s="54" t="s">
        <v>259</v>
      </c>
      <c r="O25" s="55">
        <v>125.15</v>
      </c>
      <c r="P25" s="56">
        <v>30</v>
      </c>
      <c r="Q25" s="55">
        <v>95.15</v>
      </c>
      <c r="R25" s="57" t="s">
        <v>189</v>
      </c>
      <c r="S25" s="58" t="s">
        <v>264</v>
      </c>
      <c r="T25" s="54" t="s">
        <v>185</v>
      </c>
      <c r="U25" s="55">
        <v>47035.199999999997</v>
      </c>
      <c r="V25" s="55">
        <v>38.24</v>
      </c>
      <c r="W25" s="55">
        <v>38.08</v>
      </c>
      <c r="X25" s="59" t="s">
        <v>265</v>
      </c>
      <c r="Y25" s="59" t="s">
        <v>199</v>
      </c>
      <c r="Z25" s="51" t="s">
        <v>200</v>
      </c>
      <c r="AA25" s="51" t="s">
        <v>262</v>
      </c>
      <c r="AB25" s="51" t="s">
        <v>263</v>
      </c>
      <c r="AC25" s="51"/>
    </row>
    <row r="26" spans="1:29" ht="30" x14ac:dyDescent="0.25">
      <c r="A26" s="51" t="s">
        <v>189</v>
      </c>
      <c r="B26" s="52">
        <v>44265</v>
      </c>
      <c r="C26" s="53">
        <v>6.2880081018518497E-2</v>
      </c>
      <c r="D26" s="54" t="s">
        <v>266</v>
      </c>
      <c r="E26" s="54" t="s">
        <v>191</v>
      </c>
      <c r="F26" s="54" t="s">
        <v>184</v>
      </c>
      <c r="G26" s="54" t="s">
        <v>203</v>
      </c>
      <c r="H26" s="54" t="s">
        <v>204</v>
      </c>
      <c r="I26" s="54" t="s">
        <v>205</v>
      </c>
      <c r="J26" s="54" t="s">
        <v>204</v>
      </c>
      <c r="K26" s="54" t="s">
        <v>195</v>
      </c>
      <c r="L26" s="54" t="s">
        <v>204</v>
      </c>
      <c r="M26" s="54"/>
      <c r="N26" s="54" t="s">
        <v>267</v>
      </c>
      <c r="O26" s="55">
        <v>126.77500000000001</v>
      </c>
      <c r="P26" s="56">
        <v>31.49</v>
      </c>
      <c r="Q26" s="55">
        <v>95.284999999999997</v>
      </c>
      <c r="R26" s="57" t="s">
        <v>189</v>
      </c>
      <c r="S26" s="58" t="s">
        <v>260</v>
      </c>
      <c r="T26" s="54" t="s">
        <v>185</v>
      </c>
      <c r="U26" s="55">
        <v>58449.599999999999</v>
      </c>
      <c r="V26" s="55">
        <v>47.52</v>
      </c>
      <c r="W26" s="55">
        <v>19.731999999999999</v>
      </c>
      <c r="X26" s="59" t="s">
        <v>261</v>
      </c>
      <c r="Y26" s="59" t="s">
        <v>199</v>
      </c>
      <c r="Z26" s="51" t="s">
        <v>200</v>
      </c>
      <c r="AA26" s="51" t="s">
        <v>268</v>
      </c>
      <c r="AB26" s="51" t="s">
        <v>269</v>
      </c>
      <c r="AC26" s="51"/>
    </row>
    <row r="27" spans="1:29" ht="30" x14ac:dyDescent="0.25">
      <c r="A27" s="51" t="s">
        <v>189</v>
      </c>
      <c r="B27" s="52">
        <v>44265</v>
      </c>
      <c r="C27" s="53">
        <v>6.2880081018518497E-2</v>
      </c>
      <c r="D27" s="54" t="s">
        <v>266</v>
      </c>
      <c r="E27" s="54" t="s">
        <v>191</v>
      </c>
      <c r="F27" s="54" t="s">
        <v>184</v>
      </c>
      <c r="G27" s="54" t="s">
        <v>203</v>
      </c>
      <c r="H27" s="54" t="s">
        <v>204</v>
      </c>
      <c r="I27" s="54" t="s">
        <v>205</v>
      </c>
      <c r="J27" s="54" t="s">
        <v>204</v>
      </c>
      <c r="K27" s="54" t="s">
        <v>195</v>
      </c>
      <c r="L27" s="54" t="s">
        <v>204</v>
      </c>
      <c r="M27" s="54"/>
      <c r="N27" s="54" t="s">
        <v>267</v>
      </c>
      <c r="O27" s="55">
        <v>126.77500000000001</v>
      </c>
      <c r="P27" s="56">
        <v>31.49</v>
      </c>
      <c r="Q27" s="55">
        <v>95.284999999999997</v>
      </c>
      <c r="R27" s="57" t="s">
        <v>189</v>
      </c>
      <c r="S27" s="58" t="s">
        <v>270</v>
      </c>
      <c r="T27" s="54" t="s">
        <v>185</v>
      </c>
      <c r="U27" s="55">
        <v>38843.4</v>
      </c>
      <c r="V27" s="55">
        <v>31.58</v>
      </c>
      <c r="W27" s="55">
        <v>31.58</v>
      </c>
      <c r="X27" s="59" t="s">
        <v>271</v>
      </c>
      <c r="Y27" s="59" t="s">
        <v>199</v>
      </c>
      <c r="Z27" s="51" t="s">
        <v>200</v>
      </c>
      <c r="AA27" s="51" t="s">
        <v>268</v>
      </c>
      <c r="AB27" s="51" t="s">
        <v>269</v>
      </c>
      <c r="AC27" s="51"/>
    </row>
    <row r="28" spans="1:29" hidden="1" x14ac:dyDescent="0.25"/>
    <row r="29" spans="1:29" hidden="1" x14ac:dyDescent="0.25"/>
    <row r="30" spans="1:29" hidden="1" x14ac:dyDescent="0.25"/>
    <row r="31" spans="1:29" hidden="1" x14ac:dyDescent="0.25"/>
    <row r="32" spans="1:2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B14A1182-9B23-4287-96D0-FAC0D20AC914}">
    <filterColumn colId="7">
      <filters>
        <filter val="06.315.338/0194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2021-03-12T14:50:02Z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