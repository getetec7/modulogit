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xandre\Desktop\3\"/>
    </mc:Choice>
  </mc:AlternateContent>
  <xr:revisionPtr revIDLastSave="0" documentId="13_ncr:1_{3F559F2D-1179-4A64-AFCB-A7B6D8C55CEB}" xr6:coauthVersionLast="36" xr6:coauthVersionMax="36" xr10:uidLastSave="{00000000-0000-0000-0000-000000000000}"/>
  <bookViews>
    <workbookView xWindow="-120" yWindow="-120" windowWidth="25440" windowHeight="15390" activeTab="1" xr2:uid="{00000000-000D-0000-FFFF-FFFF00000000}"/>
  </bookViews>
  <sheets>
    <sheet name="LAYOUT_FERRO" sheetId="2" r:id="rId1"/>
    <sheet name="BASE_TXT" sheetId="1" r:id="rId2"/>
    <sheet name="BASE" sheetId="3" r:id="rId3"/>
    <sheet name="CNPJS" sheetId="4" r:id="rId4"/>
  </sheets>
  <functionGroups builtInGroupCount="19"/>
  <definedNames>
    <definedName name="_xlnm._FilterDatabase" localSheetId="1" hidden="1">BASE_TXT!$A$1:$L$1602</definedName>
    <definedName name="_xlnm._FilterDatabase" localSheetId="0" hidden="1">LAYOUT_FERRO!#REF!</definedName>
    <definedName name="TBL_FILIAIS">OFFSET(BASE_TXT!$A$1,0,0,COUNTA(BASE_TXT!$A:$A),COUNTA(BASE_TXT!$1:$1))</definedName>
  </definedNames>
  <calcPr calcId="18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33" i="3" l="1"/>
  <c r="I132" i="3" l="1"/>
  <c r="I131" i="3" l="1"/>
  <c r="I130" i="3" l="1"/>
  <c r="I129" i="3" l="1"/>
  <c r="I128" i="3" l="1"/>
  <c r="I127" i="3" l="1"/>
  <c r="I126" i="3"/>
  <c r="I125" i="3" l="1"/>
  <c r="I124" i="3" l="1"/>
  <c r="I123" i="3"/>
  <c r="A47" i="4" l="1"/>
  <c r="I122" i="3" l="1"/>
  <c r="I121" i="3"/>
  <c r="I120" i="3"/>
  <c r="I119" i="3"/>
  <c r="I118" i="3" l="1"/>
  <c r="I117" i="3"/>
  <c r="I116" i="3"/>
  <c r="I115" i="3"/>
  <c r="I114" i="3"/>
  <c r="I113" i="3" l="1"/>
  <c r="I112" i="3" l="1"/>
  <c r="I111" i="3" l="1"/>
  <c r="I110" i="3"/>
  <c r="I109" i="3" l="1"/>
  <c r="I108" i="3" l="1"/>
  <c r="I107" i="3"/>
  <c r="I106" i="3"/>
  <c r="I105" i="3"/>
  <c r="I104" i="3"/>
  <c r="I103" i="3"/>
  <c r="I102" i="3"/>
  <c r="I101" i="3"/>
  <c r="I100" i="3" l="1"/>
  <c r="I99" i="3" l="1"/>
  <c r="I98" i="3" l="1"/>
  <c r="I97" i="3" l="1"/>
  <c r="I96" i="3" l="1"/>
  <c r="I95" i="3" l="1"/>
  <c r="I94" i="3"/>
  <c r="I93" i="3" l="1"/>
  <c r="I92" i="3" l="1"/>
  <c r="I91" i="3"/>
  <c r="I90" i="3"/>
  <c r="I89" i="3"/>
  <c r="I88" i="3"/>
  <c r="I87" i="3" l="1"/>
  <c r="G87" i="3"/>
  <c r="H87" i="3" s="1"/>
  <c r="I86" i="3"/>
  <c r="I85" i="3" l="1"/>
  <c r="I84" i="3"/>
  <c r="I83" i="3"/>
  <c r="I82" i="3"/>
  <c r="I81" i="3"/>
  <c r="I80" i="3"/>
  <c r="I79" i="3"/>
  <c r="G79" i="3"/>
  <c r="H79" i="3" s="1"/>
  <c r="I78" i="3" l="1"/>
  <c r="G78" i="3"/>
  <c r="H78" i="3" s="1"/>
  <c r="I77" i="3"/>
  <c r="I76" i="3"/>
  <c r="I75" i="3"/>
  <c r="I74" i="3" l="1"/>
  <c r="I73" i="3"/>
  <c r="I72" i="3"/>
  <c r="I71" i="3"/>
  <c r="I70" i="3"/>
  <c r="I69" i="3"/>
  <c r="I68" i="3"/>
  <c r="I67" i="3"/>
  <c r="I66" i="3"/>
  <c r="I65" i="3" l="1"/>
  <c r="I64" i="3"/>
  <c r="G64" i="3"/>
  <c r="H64" i="3" s="1"/>
  <c r="I63" i="3"/>
  <c r="I62" i="3"/>
  <c r="I61" i="3"/>
  <c r="I60" i="3" l="1"/>
  <c r="I59" i="3"/>
  <c r="I58" i="3"/>
  <c r="I57" i="3"/>
  <c r="G57" i="3"/>
  <c r="H57" i="3" s="1"/>
  <c r="I56" i="3"/>
  <c r="I55" i="3"/>
  <c r="I54" i="3" l="1"/>
  <c r="I53" i="3" l="1"/>
  <c r="I52" i="3"/>
  <c r="I51" i="3"/>
  <c r="I50" i="3" l="1"/>
  <c r="I49" i="3"/>
  <c r="G49" i="3"/>
  <c r="H49" i="3" s="1"/>
  <c r="A46" i="4" l="1"/>
  <c r="I48" i="3" l="1"/>
  <c r="I47" i="3"/>
  <c r="I46" i="3" l="1"/>
  <c r="I45" i="3"/>
  <c r="I44" i="3"/>
  <c r="I43" i="3"/>
  <c r="I42" i="3"/>
  <c r="G42" i="3"/>
  <c r="H42" i="3" s="1"/>
  <c r="I41" i="3"/>
  <c r="I40" i="3"/>
  <c r="G40" i="3"/>
  <c r="H40" i="3" s="1"/>
  <c r="I39" i="3"/>
  <c r="I38" i="3"/>
  <c r="I37" i="3"/>
  <c r="I36" i="3"/>
  <c r="I35" i="3"/>
  <c r="G35" i="3"/>
  <c r="H35" i="3" s="1"/>
  <c r="I34" i="3"/>
  <c r="I33" i="3"/>
  <c r="G33" i="3"/>
  <c r="H33" i="3" s="1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2" i="3"/>
  <c r="I3" i="3"/>
  <c r="I4" i="3"/>
  <c r="I5" i="3"/>
  <c r="I6" i="3"/>
  <c r="I7" i="3"/>
  <c r="I8" i="3"/>
  <c r="I9" i="3"/>
  <c r="I10" i="3"/>
  <c r="I11" i="3"/>
  <c r="A2" i="4" l="1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1" i="4"/>
  <c r="I1" i="4" l="1"/>
  <c r="G133" i="3"/>
  <c r="H133" i="3" s="1"/>
  <c r="G132" i="3"/>
  <c r="H132" i="3" s="1"/>
  <c r="G131" i="3"/>
  <c r="H131" i="3" s="1"/>
  <c r="G130" i="3"/>
  <c r="H130" i="3" s="1"/>
  <c r="G129" i="3"/>
  <c r="H129" i="3" s="1"/>
  <c r="G128" i="3"/>
  <c r="H128" i="3" s="1"/>
  <c r="G126" i="3"/>
  <c r="H126" i="3" s="1"/>
  <c r="G127" i="3"/>
  <c r="H127" i="3" s="1"/>
  <c r="G125" i="3"/>
  <c r="H125" i="3" s="1"/>
  <c r="G123" i="3"/>
  <c r="H123" i="3" s="1"/>
  <c r="G124" i="3"/>
  <c r="H124" i="3" s="1"/>
  <c r="G121" i="3"/>
  <c r="H121" i="3" s="1"/>
  <c r="G122" i="3"/>
  <c r="H122" i="3" s="1"/>
  <c r="G119" i="3"/>
  <c r="H119" i="3" s="1"/>
  <c r="G120" i="3"/>
  <c r="H120" i="3" s="1"/>
  <c r="G116" i="3"/>
  <c r="H116" i="3" s="1"/>
  <c r="G117" i="3"/>
  <c r="H117" i="3" s="1"/>
  <c r="G114" i="3"/>
  <c r="H114" i="3" s="1"/>
  <c r="G118" i="3"/>
  <c r="H118" i="3" s="1"/>
  <c r="G115" i="3"/>
  <c r="H115" i="3" s="1"/>
  <c r="G113" i="3"/>
  <c r="H113" i="3" s="1"/>
  <c r="G112" i="3"/>
  <c r="H112" i="3" s="1"/>
  <c r="G110" i="3"/>
  <c r="H110" i="3" s="1"/>
  <c r="G111" i="3"/>
  <c r="H111" i="3" s="1"/>
  <c r="G109" i="3"/>
  <c r="H109" i="3" s="1"/>
  <c r="G106" i="3"/>
  <c r="H106" i="3" s="1"/>
  <c r="G102" i="3"/>
  <c r="H102" i="3" s="1"/>
  <c r="G107" i="3"/>
  <c r="H107" i="3" s="1"/>
  <c r="G103" i="3"/>
  <c r="H103" i="3" s="1"/>
  <c r="G108" i="3"/>
  <c r="H108" i="3" s="1"/>
  <c r="G104" i="3"/>
  <c r="H104" i="3" s="1"/>
  <c r="G105" i="3"/>
  <c r="H105" i="3" s="1"/>
  <c r="G101" i="3"/>
  <c r="H101" i="3" s="1"/>
  <c r="G100" i="3"/>
  <c r="H100" i="3" s="1"/>
  <c r="G99" i="3"/>
  <c r="H99" i="3" s="1"/>
  <c r="G98" i="3"/>
  <c r="H98" i="3" s="1"/>
  <c r="G97" i="3"/>
  <c r="H97" i="3" s="1"/>
  <c r="G96" i="3"/>
  <c r="H96" i="3" s="1"/>
  <c r="G5" i="3"/>
  <c r="H5" i="3" s="1"/>
  <c r="G7" i="3"/>
  <c r="G94" i="3"/>
  <c r="H94" i="3" s="1"/>
  <c r="G95" i="3"/>
  <c r="G93" i="3"/>
  <c r="H93" i="3" s="1"/>
  <c r="G90" i="3"/>
  <c r="H90" i="3" s="1"/>
  <c r="G91" i="3"/>
  <c r="H91" i="3" s="1"/>
  <c r="G92" i="3"/>
  <c r="H92" i="3" s="1"/>
  <c r="G88" i="3"/>
  <c r="H88" i="3" s="1"/>
  <c r="G89" i="3"/>
  <c r="H89" i="3" s="1"/>
  <c r="G86" i="3"/>
  <c r="H86" i="3" s="1"/>
  <c r="G83" i="3"/>
  <c r="H83" i="3" s="1"/>
  <c r="G84" i="3"/>
  <c r="H84" i="3" s="1"/>
  <c r="G80" i="3"/>
  <c r="H80" i="3" s="1"/>
  <c r="G85" i="3"/>
  <c r="H85" i="3" s="1"/>
  <c r="G81" i="3"/>
  <c r="H81" i="3" s="1"/>
  <c r="G82" i="3"/>
  <c r="H82" i="3" s="1"/>
  <c r="G76" i="3"/>
  <c r="H76" i="3" s="1"/>
  <c r="G75" i="3"/>
  <c r="H75" i="3" s="1"/>
  <c r="G77" i="3"/>
  <c r="H77" i="3" s="1"/>
  <c r="G72" i="3"/>
  <c r="H72" i="3" s="1"/>
  <c r="G68" i="3"/>
  <c r="H68" i="3" s="1"/>
  <c r="G70" i="3"/>
  <c r="H70" i="3" s="1"/>
  <c r="G73" i="3"/>
  <c r="H73" i="3" s="1"/>
  <c r="G69" i="3"/>
  <c r="H69" i="3" s="1"/>
  <c r="G66" i="3"/>
  <c r="H66" i="3" s="1"/>
  <c r="G67" i="3"/>
  <c r="H67" i="3" s="1"/>
  <c r="G74" i="3"/>
  <c r="H74" i="3" s="1"/>
  <c r="G71" i="3"/>
  <c r="H71" i="3" s="1"/>
  <c r="G63" i="3"/>
  <c r="H63" i="3" s="1"/>
  <c r="G61" i="3"/>
  <c r="H61" i="3" s="1"/>
  <c r="G65" i="3"/>
  <c r="H65" i="3" s="1"/>
  <c r="G62" i="3"/>
  <c r="H62" i="3" s="1"/>
  <c r="G58" i="3"/>
  <c r="H58" i="3" s="1"/>
  <c r="G59" i="3"/>
  <c r="H59" i="3" s="1"/>
  <c r="G55" i="3"/>
  <c r="H55" i="3" s="1"/>
  <c r="G60" i="3"/>
  <c r="H60" i="3" s="1"/>
  <c r="G56" i="3"/>
  <c r="H56" i="3" s="1"/>
  <c r="G54" i="3"/>
  <c r="H54" i="3" s="1"/>
  <c r="G51" i="3"/>
  <c r="H51" i="3" s="1"/>
  <c r="G52" i="3"/>
  <c r="H52" i="3" s="1"/>
  <c r="G53" i="3"/>
  <c r="H53" i="3" s="1"/>
  <c r="G50" i="3"/>
  <c r="H50" i="3" s="1"/>
  <c r="G16" i="3"/>
  <c r="H16" i="3" s="1"/>
  <c r="G48" i="3"/>
  <c r="H48" i="3" s="1"/>
  <c r="G47" i="3"/>
  <c r="H47" i="3" s="1"/>
  <c r="G43" i="3"/>
  <c r="H43" i="3" s="1"/>
  <c r="G41" i="3"/>
  <c r="H41" i="3" s="1"/>
  <c r="G36" i="3"/>
  <c r="H36" i="3" s="1"/>
  <c r="G34" i="3"/>
  <c r="H34" i="3" s="1"/>
  <c r="G27" i="3"/>
  <c r="H27" i="3" s="1"/>
  <c r="G25" i="3"/>
  <c r="H25" i="3" s="1"/>
  <c r="G20" i="3"/>
  <c r="H20" i="3" s="1"/>
  <c r="G18" i="3"/>
  <c r="H18" i="3" s="1"/>
  <c r="G14" i="3"/>
  <c r="H14" i="3" s="1"/>
  <c r="G46" i="3"/>
  <c r="H46" i="3" s="1"/>
  <c r="G39" i="3"/>
  <c r="H39" i="3" s="1"/>
  <c r="G37" i="3"/>
  <c r="H37" i="3" s="1"/>
  <c r="G32" i="3"/>
  <c r="H32" i="3" s="1"/>
  <c r="G30" i="3"/>
  <c r="H30" i="3" s="1"/>
  <c r="G23" i="3"/>
  <c r="H23" i="3" s="1"/>
  <c r="G21" i="3"/>
  <c r="H21" i="3" s="1"/>
  <c r="G12" i="3"/>
  <c r="H12" i="3" s="1"/>
  <c r="G13" i="3"/>
  <c r="H13" i="3" s="1"/>
  <c r="G44" i="3"/>
  <c r="H44" i="3" s="1"/>
  <c r="G28" i="3"/>
  <c r="H28" i="3" s="1"/>
  <c r="G26" i="3"/>
  <c r="H26" i="3" s="1"/>
  <c r="G19" i="3"/>
  <c r="H19" i="3" s="1"/>
  <c r="G17" i="3"/>
  <c r="H17" i="3" s="1"/>
  <c r="G15" i="3"/>
  <c r="H15" i="3" s="1"/>
  <c r="G45" i="3"/>
  <c r="H45" i="3" s="1"/>
  <c r="G38" i="3"/>
  <c r="H38" i="3" s="1"/>
  <c r="G31" i="3"/>
  <c r="H31" i="3" s="1"/>
  <c r="G29" i="3"/>
  <c r="H29" i="3" s="1"/>
  <c r="G24" i="3"/>
  <c r="H24" i="3" s="1"/>
  <c r="G22" i="3"/>
  <c r="H22" i="3" s="1"/>
  <c r="H7" i="3"/>
  <c r="G4" i="3"/>
  <c r="G8" i="3"/>
  <c r="G3" i="3"/>
  <c r="G9" i="3"/>
  <c r="G10" i="3"/>
  <c r="G11" i="3"/>
  <c r="G2" i="3"/>
  <c r="G6" i="3"/>
  <c r="H95" i="3" l="1"/>
  <c r="D2" i="3" s="1"/>
  <c r="C2" i="3"/>
  <c r="H9" i="3"/>
  <c r="H2" i="3"/>
  <c r="H3" i="3"/>
  <c r="H11" i="3"/>
  <c r="H8" i="3"/>
  <c r="H6" i="3"/>
  <c r="H4" i="3"/>
  <c r="H10" i="3"/>
  <c r="E2" i="3"/>
</calcChain>
</file>

<file path=xl/sharedStrings.xml><?xml version="1.0" encoding="utf-8"?>
<sst xmlns="http://schemas.openxmlformats.org/spreadsheetml/2006/main" count="275" uniqueCount="231">
  <si>
    <t>Notas fiscais</t>
  </si>
  <si>
    <t>DCL</t>
  </si>
  <si>
    <t>Identificação</t>
  </si>
  <si>
    <t>Fornecedor Referência</t>
  </si>
  <si>
    <t>Destino Fiscal</t>
  </si>
  <si>
    <t>Descarga (kg)</t>
  </si>
  <si>
    <t>Vagão</t>
  </si>
  <si>
    <t>Hora Descarga</t>
  </si>
  <si>
    <t>Bruto</t>
  </si>
  <si>
    <t>Tara</t>
  </si>
  <si>
    <t>Líquido</t>
  </si>
  <si>
    <t>COFCO GRAINS LTDA (0010-36)</t>
  </si>
  <si>
    <t>COFCO GRAINS LTDA (0013-89)</t>
  </si>
  <si>
    <t>COFCO GRAINS LTDA (0002-26)</t>
  </si>
  <si>
    <t>COFCO GRAINS LTDA (0003-07)</t>
  </si>
  <si>
    <t>COFCO GRAINS LTDA (0008-11)</t>
  </si>
  <si>
    <t>COFCO BRASIL S.A. (0028-39)</t>
  </si>
  <si>
    <t>COFCO BRASIL S.A. (0181-66)</t>
  </si>
  <si>
    <t>Rótulos de Linha</t>
  </si>
  <si>
    <t>06.315.338/0050-05</t>
  </si>
  <si>
    <t>06.315.338/0031-34</t>
  </si>
  <si>
    <t>06.315.338/0165-46</t>
  </si>
  <si>
    <t>06.315.338/0183-28</t>
  </si>
  <si>
    <t>06.315.338/0169-70</t>
  </si>
  <si>
    <t>06.315.338/0186-70</t>
  </si>
  <si>
    <t>06.315.338/0179-41</t>
  </si>
  <si>
    <t>29.332.398/0004-98</t>
  </si>
  <si>
    <t>06.315.338/0182-47</t>
  </si>
  <si>
    <t>06.315.338/0171-94</t>
  </si>
  <si>
    <t>06.315.338/0184-09</t>
  </si>
  <si>
    <t>FILIAL</t>
  </si>
  <si>
    <t>ESTAB</t>
  </si>
  <si>
    <t>ORIGEM</t>
  </si>
  <si>
    <t>DESTINO FINAL</t>
  </si>
  <si>
    <t>BUSCAR</t>
  </si>
  <si>
    <t>06.315.338/0001-19</t>
  </si>
  <si>
    <t>06.315.338/0003-80</t>
  </si>
  <si>
    <t>06.315.338/0006-23</t>
  </si>
  <si>
    <t>06.315.338/0005-42</t>
  </si>
  <si>
    <t>29.332.398/0012-06</t>
  </si>
  <si>
    <t>06.315.338/0002-08</t>
  </si>
  <si>
    <t>29.332.398/0036-75</t>
  </si>
  <si>
    <t>06.315.338/0016-03</t>
  </si>
  <si>
    <t>29.332.398/0003-07</t>
  </si>
  <si>
    <t>06.315.338/0017-86</t>
  </si>
  <si>
    <t>29.332.398/0007-30</t>
  </si>
  <si>
    <t>29.332.398/0034-03</t>
  </si>
  <si>
    <t>06.315.338/0026-77</t>
  </si>
  <si>
    <t>06.315.338/0028-39</t>
  </si>
  <si>
    <t>29.332.398/0013-89</t>
  </si>
  <si>
    <t>29.332.398/0008-11</t>
  </si>
  <si>
    <t>06.315.338/0002-69</t>
  </si>
  <si>
    <t>06.315.338/0030-53</t>
  </si>
  <si>
    <t>29.332.398/0042-13</t>
  </si>
  <si>
    <t>29.332.398/0041-32</t>
  </si>
  <si>
    <t>29.332.398/0005-79</t>
  </si>
  <si>
    <t>06.315.338/0172-75</t>
  </si>
  <si>
    <t>29.332.398/0040-51</t>
  </si>
  <si>
    <t>06.315.338/0174-37</t>
  </si>
  <si>
    <t>29.332.398/0010-36</t>
  </si>
  <si>
    <t>29.332.398/0014-60</t>
  </si>
  <si>
    <t>06.315.338/0181-66</t>
  </si>
  <si>
    <t>29.332.398/0006-50</t>
  </si>
  <si>
    <t>29.332.398/0009-00</t>
  </si>
  <si>
    <t>29.332.398/0037-56</t>
  </si>
  <si>
    <t>06.315.338/0193-08</t>
  </si>
  <si>
    <t>29.332.398/0043-02</t>
  </si>
  <si>
    <t>29.332.398/0039-18</t>
  </si>
  <si>
    <t>29.332.398/0002-26</t>
  </si>
  <si>
    <t>56.216.872/0001-46</t>
  </si>
  <si>
    <t>COFCO BRASIL S.A (0182-47)</t>
  </si>
  <si>
    <t>COFCO GRAINS LTDA (0004-98)</t>
  </si>
  <si>
    <t>TAGUI COMERCIO DE CEREAIS LTDA (0001-99)</t>
  </si>
  <si>
    <t>Data</t>
  </si>
  <si>
    <t>COFCO INTERNATIONAL GRAINS LTDA. (0010-36)</t>
  </si>
  <si>
    <t>COFCO INTERNATIONAL GRAINS LTDA. (0005-79)</t>
  </si>
  <si>
    <t>COFCO INTERNATIONAL GRAINS LTDA (0003-07)</t>
  </si>
  <si>
    <t>COFCO INTERNATIONAL BRASIL S.A. (0182-47)</t>
  </si>
  <si>
    <t>MILHO</t>
  </si>
  <si>
    <t>SOJA</t>
  </si>
  <si>
    <t>COFCO INTERNATIONAL BRASIL S.A (0183-28)</t>
  </si>
  <si>
    <t>COFCO INTERNACIONAL BRASIL S.A.(0028-39)</t>
  </si>
  <si>
    <t>COFCO INTERNATIONAL BRASIL S.A. (0177-80)</t>
  </si>
  <si>
    <t>COFCO INTERNATIONAL GRAINS LTDA. (0008-11)</t>
  </si>
  <si>
    <t>COFCO INTERNATIONAL GRAINS LTDA. (0007-30)</t>
  </si>
  <si>
    <t>BELAGRICOLA (0046-83)</t>
  </si>
  <si>
    <t>OURO SAFRA INDUSTRIA E COMERCIO LTDA (0012-08)</t>
  </si>
  <si>
    <t>IJS COMERCIO DE GRAOS EM GERAL LTDA (0001-64)</t>
  </si>
  <si>
    <t>ARMAZENS GERAIS DO PRODUTOR LTDA (0003-50)</t>
  </si>
  <si>
    <t>COFCO INTERNATIONAL GRAINS LTDA. (0013-89)</t>
  </si>
  <si>
    <t>GIANSANTE COM ATAC DE CER - EIRELI (0001-38)</t>
  </si>
  <si>
    <t>MILHOMIL COMERCIO DE CEREAIS LTDA (0001-95)</t>
  </si>
  <si>
    <t>INOCENCIO CEREAIS LTDA (0001-55)</t>
  </si>
  <si>
    <t>BELAGRICOLA (0016-68)</t>
  </si>
  <si>
    <t>AGROBOM COMERCIO E EXPORTACAO DE CEREAIS EIRELI (0001-88)</t>
  </si>
  <si>
    <t>MV FUTURO CEREAIS S/A (0001-37)</t>
  </si>
  <si>
    <t>YUKAER AGRO LTDA (0002-44)</t>
  </si>
  <si>
    <t>PAULO SERGIO BARREIRA.</t>
  </si>
  <si>
    <t>TERRA NOVA COM REP E ASSIST TECNICA LTA ( 0001-20)</t>
  </si>
  <si>
    <t>ARMAZENS GERAIS DO PRODUTOR LTDA</t>
  </si>
  <si>
    <t>VALE GRAOS AGRONEGOCIOS LTDA (0001-05)</t>
  </si>
  <si>
    <t>INTEGRADA COOPERATIVA AGROINDUSTRIAL (0086-82)</t>
  </si>
  <si>
    <t>FRONTEIRA COM E REPRES DE PROD AGRO LTDA (0001-63)</t>
  </si>
  <si>
    <t>HELENO TEIXEIRA (0001-47)</t>
  </si>
  <si>
    <t>ELIANO ANTUNES DE OLIVEIRA</t>
  </si>
  <si>
    <t>BELAGRICOLA (0027-10)</t>
  </si>
  <si>
    <t>BURIGRAOS COMERCIO DE CEREAIS LTDA - EPP</t>
  </si>
  <si>
    <t>BELAGRICOLA (0097-23)</t>
  </si>
  <si>
    <t>BELAGRICOLA (0034-40)</t>
  </si>
  <si>
    <t>BELAGRICOLA (0088-32)</t>
  </si>
  <si>
    <t>BELAGRICOLA (0087-51)</t>
  </si>
  <si>
    <t>BELAGRICOLA (0099-95)</t>
  </si>
  <si>
    <t>BELAGRICOLA (0081-66)</t>
  </si>
  <si>
    <t>06.315.338/0177-80</t>
  </si>
  <si>
    <t>JATOBA COMERCIO IMP 0004-61</t>
  </si>
  <si>
    <t>COFCO INTERNACIONAL BRASIL S.A. (0181-66)</t>
  </si>
  <si>
    <t>COFCO INTERNATIONAL GRAINS LTDA. (0004-98)</t>
  </si>
  <si>
    <t>PRODUTOS ALIMENTICIOS ORLANDIA S.A. COM. E IND. (0004-72)</t>
  </si>
  <si>
    <t>PRODUTOS ALIMENTICIOS ORLANDIA(0002-00)</t>
  </si>
  <si>
    <t>CARAMURU ALIMENTOS S.A. (0003-71)</t>
  </si>
  <si>
    <t>PORTO MINEIRO DE GRAOS LTDA (0001-86)</t>
  </si>
  <si>
    <t>COOPERCITRUS COOPERATIVA DE PRODUTORES RURAIS (0164-38)</t>
  </si>
  <si>
    <t>GLAUBER SOUSA PADUA</t>
  </si>
  <si>
    <t>AGROGUINA AGRICOLA LTDA (0001-20)</t>
  </si>
  <si>
    <t>CEREALISTA TRAVESSAO LTDA (0001-52)</t>
  </si>
  <si>
    <t>A12 COMERCIO DE CEREAIS EIRELI (0001-12)</t>
  </si>
  <si>
    <t>OURO SAFRA INDUSTRIA E COMERCIO LTDA  (0024-41)</t>
  </si>
  <si>
    <t>MCR COMERCIO DE CEREAIS LTDA (0001-35)</t>
  </si>
  <si>
    <t>SANDRA LUCIA ESTEVES VAZ DE LIMA EIRELI - EPP (0001-10)</t>
  </si>
  <si>
    <t>FORTALEZA AGRO LTDA</t>
  </si>
  <si>
    <t>OURO SAFRA INDUSTRIA E COMERCIO LTDA (0010-46)</t>
  </si>
  <si>
    <t>BALA CEREALISTA LTDA (0001-26)</t>
  </si>
  <si>
    <t>OURO SAFRA INDUSTRIA E COMERCIO LTDA (0023-60)</t>
  </si>
  <si>
    <t>COOPERCITRUS COOPERATIVA DE PRODUTORES RURAIS(0148-18)</t>
  </si>
  <si>
    <t>COOPERCITRUS COOPERATIVA DE PRODUTORES RURAIS (0039-64)</t>
  </si>
  <si>
    <t>COOPERCITRUS COOPERATIVA DE PRODUTORES RURAIS (0165-19)</t>
  </si>
  <si>
    <t>COFCO INTERNATIONAL BRASIL S.A. (0180-85)</t>
  </si>
  <si>
    <t>COMERCIO DE CEREAIS YOKOTOBI LTDA (0002-65)</t>
  </si>
  <si>
    <t>COOPERCITRUS COOPERATIVA DE PRODUTORES RURAIS (0172-48)</t>
  </si>
  <si>
    <t>OURO SAFRA INDUSTRIA E COMERCIO LTDA (0007-40)</t>
  </si>
  <si>
    <t>COOPERCITRUS COOPERATIVA DE PRODUTORES RURAIS (0038-83)</t>
  </si>
  <si>
    <t>OURO SAFRA INDUSTRIA E COMERCIO LTDA (0017-12)</t>
  </si>
  <si>
    <t>COMERCIAL CEREALISTA SOLIMA LTDA (0001-58)</t>
  </si>
  <si>
    <t>GLOBAL AGRONEGOCIOS LTDA - ME</t>
  </si>
  <si>
    <t>CARLOS ROBERTO DE PADUA</t>
  </si>
  <si>
    <t>INTEGRADA COOPERATIVA AGROINDUSTRIAL (0087-63)</t>
  </si>
  <si>
    <t>GRAO DE OURO COM EXP DE COMMODITES AGRICOLAS (0001-16)</t>
  </si>
  <si>
    <t>COFCO INTERNATIONAL BRASIL S.A. (0185-90)</t>
  </si>
  <si>
    <t>COFCO INTERNATIONAL BRASIL S.A. (0050-05)</t>
  </si>
  <si>
    <t>COFCO INTERNATIONAL BRASIL S.A. (0184-09)</t>
  </si>
  <si>
    <t>CEREALISTA ESPLANADA DE BURI EIRELI - EPP (0001-40)</t>
  </si>
  <si>
    <t>GAVILON DO BRASIL COMERCIO DE PRODUTOS AGRICOLAS LTDA. (0017-35)</t>
  </si>
  <si>
    <t>ANGELA MARIA BERNARDES</t>
  </si>
  <si>
    <t>COOPERMOTA COOPERATIVA AGROINDUSTRIAL (0023-36)</t>
  </si>
  <si>
    <t>MCR COMERCIO DE CEREAIS LTDA.(0002-16)</t>
  </si>
  <si>
    <t>COOPERATIVA AGRO INDUSTRIAL HOLAMBRA (0006-35)</t>
  </si>
  <si>
    <t>COOPERMOTA COOPERATIVA AGROINDUSTRIAL (0004-73)</t>
  </si>
  <si>
    <t>COFCO INTERNATIONAL GRAINS LTDA. (0002-26)</t>
  </si>
  <si>
    <t>COOPERCITRUS COOPERATIVA DE PRODUTORES RURAIS (0175-90)</t>
  </si>
  <si>
    <t/>
  </si>
  <si>
    <t>CEREALISTA TRES IRMAOS (0001-35)</t>
  </si>
  <si>
    <t>INTEGRADA COOPERATIVA AGROINDUSTRIAL (0044-23)</t>
  </si>
  <si>
    <t>JATOBA COM IMP E EXP DE CEREAIS LTDA.(0001-19)</t>
  </si>
  <si>
    <t>COFCO INTERNATIONAL GRAINS LTDA. (0003-07)</t>
  </si>
  <si>
    <t>COFCO INTERNATIONAL BRASIL S.A (0031-34)</t>
  </si>
  <si>
    <t>COFCO INTERNATIONAL BRASIL SA (0206-59)</t>
  </si>
  <si>
    <t>COFCO INTERNATIONAL BRASIL S.A. (0186-70)</t>
  </si>
  <si>
    <t>JATOBA COMERCIO IMP (0004-61)</t>
  </si>
  <si>
    <t>CJ INTERNATIONAL BRASIL COMERCIAL AGRICOLA LTDA (0004-15)</t>
  </si>
  <si>
    <t>PRIORI SEMENTES E DEFENSIVOS AGRICOLAS LTDA (0001-15)</t>
  </si>
  <si>
    <t>BELAGRICOLA (0078-60)</t>
  </si>
  <si>
    <t>AGROSUL COM E ARM DE CEREAIS LTDA (0001-59)</t>
  </si>
  <si>
    <t>AGRICOLA ALVORADA S.A (0010-76)</t>
  </si>
  <si>
    <t>INTEGRADA COOPERATIVA AGROINDUSTRIAL(0089-25)</t>
  </si>
  <si>
    <t>PRODUZZA CEREAIS LTDA (0001-01)</t>
  </si>
  <si>
    <t>VICTOR M COTA COMERCIO DE CEREAIS (0002-64)</t>
  </si>
  <si>
    <t>CARGILL AGRICOLA S.A. (0066-00)</t>
  </si>
  <si>
    <t>CARGILL AGRICOLA S.A. (0069-45)</t>
  </si>
  <si>
    <t>COFCO INTERNACIONAL BRASIL S.A. (0028-39)</t>
  </si>
  <si>
    <t>COFCO INTERNATIONAL BRASIL S.A. (0206-59)</t>
  </si>
  <si>
    <t>COMERCIAL BOA SAFRA ITABERA LTDA ME (0001-20)</t>
  </si>
  <si>
    <t>INTEGRADA COOPERATIVA AGROINDUSTRIAL (0089-25)</t>
  </si>
  <si>
    <t>BM INDUSTRIA E COMERCIO DE CEREAIS EIRELI (0001-61)</t>
  </si>
  <si>
    <t>RFA CEREALISTA LTDA (0001-78)</t>
  </si>
  <si>
    <t>PORTO MINEIRO DE GRAOS ARM GERAIS LTDA (0002-67)</t>
  </si>
  <si>
    <t>GAMA COMERCIO IMPORTACAO E EXPORTACAO DE CEREAIS LTDA (0001-30)</t>
  </si>
  <si>
    <t>COCAMAR COOPERATIVA AGROINDUSTRIAL (0241-88)</t>
  </si>
  <si>
    <t>CARGILL AGRICOLA SA. (0075-93)</t>
  </si>
  <si>
    <t>CARGILL AGRICOLA S.A (0301-45)</t>
  </si>
  <si>
    <t>0206-59</t>
  </si>
  <si>
    <t>06.315.338/0206-59</t>
  </si>
  <si>
    <t>COFCO INTERNATIONAL BRASIL S.A. (0028-39)</t>
  </si>
  <si>
    <t>ELIANO ANTUNES DE OLIVEIRA (0001-57)</t>
  </si>
  <si>
    <t>GRAN-MILHO CORRETORA DE GRAOS LTDA (0001-06)</t>
  </si>
  <si>
    <t>SCARPIM COM DE CEREAIS LTDA (0001-13)</t>
  </si>
  <si>
    <t>ARMAZENS GERAIS DO PRODUTOR LTDA (0001-99)</t>
  </si>
  <si>
    <t>PIMFOR EMPREENDIMENTOS AGROP LTDA (0001-97)</t>
  </si>
  <si>
    <t>SOJAMIL COMERCIO DE GRAOS LTDA. - ME (0001-77)</t>
  </si>
  <si>
    <t>COFCO INTERNATIONAL BRASIL S.A. (0016-03)</t>
  </si>
  <si>
    <t>Ordem</t>
  </si>
  <si>
    <t>Depositante</t>
  </si>
  <si>
    <t>Placa do Veículo</t>
  </si>
  <si>
    <t>Peso 1ª Pesagem</t>
  </si>
  <si>
    <t>Data 1ª Pesagem</t>
  </si>
  <si>
    <t>Peso 2ª Pesagem</t>
  </si>
  <si>
    <t>Data 2ª Pesagem</t>
  </si>
  <si>
    <t>Peso Líquido</t>
  </si>
  <si>
    <t>Peso Nota / Estimado</t>
  </si>
  <si>
    <t>Dif. Peso NF Peso Liq</t>
  </si>
  <si>
    <t>Contrato</t>
  </si>
  <si>
    <t>NOTA FISCAL</t>
  </si>
  <si>
    <t>COFCO INTERNATIONAL BRASIL S.A. (0003-80)</t>
  </si>
  <si>
    <t>COFCO INTERNATIONAL BRASIL S.A. (0181-66)</t>
  </si>
  <si>
    <t>COFCO INTERNATIONAL BRASIL S. A. (0215-40)</t>
  </si>
  <si>
    <t>103874</t>
  </si>
  <si>
    <t>EZU3I99</t>
  </si>
  <si>
    <t>10/02/2021 03:57</t>
  </si>
  <si>
    <t>10/02/2021 04:30</t>
  </si>
  <si>
    <t>2021-SOY0215-40-SP</t>
  </si>
  <si>
    <t>296</t>
  </si>
  <si>
    <t>295</t>
  </si>
  <si>
    <t>103889</t>
  </si>
  <si>
    <t>AZS9D55</t>
  </si>
  <si>
    <t>10/02/2021 09:53</t>
  </si>
  <si>
    <t>10/02/2021 10:13</t>
  </si>
  <si>
    <t>297</t>
  </si>
  <si>
    <t>103890</t>
  </si>
  <si>
    <t>ECS1A95</t>
  </si>
  <si>
    <t>10/02/2021 10:07</t>
  </si>
  <si>
    <t>10/02/2021 10:29</t>
  </si>
  <si>
    <t>298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</si>
</sst>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[$-416]dd\-mmm\-yy;@"/>
    <numFmt numFmtId="166" formatCode="[$-416]d\-mmm\-yy;@"/>
    <numFmt numFmtId="167" formatCode="#,000"/>
    <numFmt numFmtId="168" formatCode="dd/mm/yyyy"/>
  </numFmts>
  <fonts count="4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7">
    <xf numFmtId="0" fontId="0" fillId="0" borderId="0" xfId="0"/>
    <xf numFmtId="1" fontId="0" fillId="0" borderId="0" xfId="0" applyNumberFormat="1"/>
    <xf numFmtId="3" fontId="0" fillId="0" borderId="0" xfId="0" applyNumberFormat="1"/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11" xfId="0" applyFont="1" applyBorder="1" applyAlignment="1">
      <alignment horizontal="center" vertical="center"/>
    </xf>
    <xf numFmtId="166" fontId="1" fillId="0" borderId="12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3" fontId="1" fillId="0" borderId="11" xfId="0" applyNumberFormat="1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4" fontId="1" fillId="0" borderId="0" xfId="0" applyNumberFormat="1" applyFont="1"/>
    <xf numFmtId="49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167" fontId="0" fillId="0" borderId="0" xfId="0" applyNumberFormat="1"/>
    <xf numFmtId="167" fontId="1" fillId="0" borderId="13" xfId="1" applyNumberFormat="1" applyFont="1" applyBorder="1" applyAlignment="1">
      <alignment horizontal="center" vertical="center"/>
    </xf>
    <xf numFmtId="0" fontId="3" fillId="0" borderId="0" xfId="0" applyFont="1"/>
    <xf numFmtId="0" fontId="1" fillId="0" borderId="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49" fontId="1" fillId="0" borderId="4" xfId="0" applyNumberFormat="1" applyFont="1" applyBorder="1" applyAlignment="1">
      <alignment horizontal="center" vertical="center"/>
    </xf>
    <xf numFmtId="49" fontId="1" fillId="0" borderId="11" xfId="0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67" fontId="1" fillId="0" borderId="7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168" fontId="0" fillId="0" borderId="0" xfId="0" applyNumberForma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e" refreshedDate="44245.627373726849" createdVersion="6" refreshedVersion="6" minRefreshableVersion="3" recordCount="4" xr:uid="{00000000-000A-0000-FFFF-FFFF00000000}">
  <cacheSource type="worksheet">
    <worksheetSource name="=TBL_FILIAIS"/>
  </cacheSource>
  <cacheFields count="12">
    <cacheField name="Ordem" numFmtId="0">
      <sharedItems/>
    </cacheField>
    <cacheField name="Depositante" numFmtId="0">
      <sharedItems count="128">
        <s v="COFCO INTERNATIONAL BRASIL S. A. (0215-40)"/>
        <s v="COMERCIO DE CEREAIS YOKOTOBI LTDA (0002-65)" u="1"/>
        <s v="CJ INTERNATIONAL BRASIL COMERCIAL AGRICOLA LTDA (0004-15)" u="1"/>
        <s v="COFCO INTERNATIONAL BRASIL S.A. (0050-05)" u="1"/>
        <s v="COOPERCITRUS COOPERATIVA DE PRODUTORES RURAIS (0038-83)" u="1"/>
        <s v="BELAGRICOLA (0078-60)" u="1"/>
        <s v="COFCO INTERNATIONAL BRASIL S.A (0183-28)" u="1"/>
        <s v="COFCO INTERNATIONAL GRAINS LTDA. (0013-89)" u="1"/>
        <s v="ARMAZENS GERAIS DO PRODUTOR LTDA" u="1"/>
        <s v="COFCO INTERNATIONAL BRASIL SA (0206-59)" u="1"/>
        <s v="CARLOS ROBERTO DE PADUA" u="1"/>
        <s v="COFCO INTERNATIONAL GRAINS LTDA. (0007-30)" u="1"/>
        <s v="SCARPIM COM DE CEREAIS LTDA (0001-13)" u="1"/>
        <s v="COFCO INTERNATIONAL GRAINS LTDA (0003-07)" u="1"/>
        <s v="FRONTEIRA COM E REPRES DE PROD AGRO LTDA (0001-63)" u="1"/>
        <s v="COFCO INTERNATIONAL BRASIL S.A. (0003-80)" u="1"/>
        <s v="HELENO TEIXEIRA (0001-47)" u="1"/>
        <s v="COFCO INTERNATIONAL BRASIL S.A. (0180-85)" u="1"/>
        <s v="BELAGRICOLA (0087-51)" u="1"/>
        <s v="CEREALISTA TRES IRMAOS (0001-35)" u="1"/>
        <s v="PORTO MINEIRO DE GRAOS ARM GERAIS LTDA (0002-67)" u="1"/>
        <s v="MILHOMIL COMERCIO DE CEREAIS LTDA (0001-95)" u="1"/>
        <s v="COOPERCITRUS COOPERATIVA DE PRODUTORES RURAIS (0165-19)" u="1"/>
        <s v="BALA CEREALISTA LTDA (0001-26)" u="1"/>
        <s v="COFCO INTERNATIONAL BRASIL S.A. (0186-70)" u="1"/>
        <s v="TERRA NOVA COM REP E ASSIST TECNICA LTA ( 0001-20)" u="1"/>
        <s v="ARMAZENS GERAIS DO PRODUTOR LTDA (0003-50)" u="1"/>
        <s v="COFCO INTERNACIONAL BRASIL S.A.(0028-39)" u="1"/>
        <s v="CARGILL AGRICOLA S.A. (0069-45)" u="1"/>
        <s v="COFCO INTERNATIONAL GRAINS LTDA. (0003-07)" u="1"/>
        <s v="JATOBA COM IMP E EXP DE CEREAIS LTDA.(0001-19)" u="1"/>
        <s v="AGRICOLA ALVORADA S.A (0010-76)" u="1"/>
        <s v="COOPERCITRUS COOPERATIVA DE PRODUTORES RURAIS (0039-64)" u="1"/>
        <s v="COFCO INTERNATIONAL BRASIL S.A. (0206-59)" u="1"/>
        <s v="COOPERATIVA AGRO INDUSTRIAL HOLAMBRA (0006-35)" u="1"/>
        <s v="OURO SAFRA INDUSTRIA E COMERCIO LTDA  (0024-41)" u="1"/>
        <s v="YUKAER AGRO LTDA (0002-44)" u="1"/>
        <s v="INTEGRADA COOPERATIVA AGROINDUSTRIAL (0087-63)" u="1"/>
        <s v="PRODUZZA CEREAIS LTDA (0001-01)" u="1"/>
        <s v="COFCO GRAINS LTDA (0003-07)" u="1"/>
        <s v="COFCO INTERNATIONAL GRAINS LTDA. (0005-79)" u="1"/>
        <s v="ELIANO ANTUNES DE OLIVEIRA" u="1"/>
        <s v="GRAO DE OURO COM EXP DE COMMODITES AGRICOLAS (0001-16)" u="1"/>
        <s v="JATOBA COMERCIO IMP (0004-61)" u="1"/>
        <s v="TAGUI COMERCIO DE CEREAIS LTDA (0001-99)" u="1"/>
        <s v="PIMFOR EMPREENDIMENTOS AGROP LTDA (0001-97)" u="1"/>
        <s v="ANGELA MARIA BERNARDES" u="1"/>
        <s v="COFCO INTERNATIONAL BRASIL S.A (0031-34)" u="1"/>
        <s v="BELAGRICOLA (0081-66)" u="1"/>
        <s v="AGROSUL COM E ARM DE CEREAIS LTDA (0001-59)" u="1"/>
        <s v="PAULO SERGIO BARREIRA." u="1"/>
        <s v="VICTOR M COTA COMERCIO DE CEREAIS (0002-64)" u="1"/>
        <s v="MCR COMERCIO DE CEREAIS LTDA (0001-35)" u="1"/>
        <s v="OURO SAFRA INDUSTRIA E COMERCIO LTDA (0012-08)" u="1"/>
        <s v="PRODUTOS ALIMENTICIOS ORLANDIA S.A. COM. E IND. (0004-72)" u="1"/>
        <s v="IJS COMERCIO DE GRAOS EM GERAL LTDA (0001-64)" u="1"/>
        <s v="BELAGRICOLA (0046-83)" u="1"/>
        <s v="COOPERCITRUS COOPERATIVA DE PRODUTORES RURAIS(0148-18)" u="1"/>
        <s v="ARMAZENS GERAIS DO PRODUTOR LTDA (0001-99)" u="1"/>
        <s v="COFCO INTERNATIONAL GRAINS LTDA. (0008-11)" u="1"/>
        <s v="COFCO INTERNACIONAL BRASIL S.A. (0181-66)" u="1"/>
        <s v="COFCO INTERNATIONAL BRASIL S.A. (0181-66)" u="1"/>
        <s v="CARGILL AGRICOLA S.A. (0066-00)" u="1"/>
        <s v="A12 COMERCIO DE CEREAIS EIRELI (0001-12)" u="1"/>
        <s v="COFCO INTERNATIONAL GRAINS LTDA. (0010-36)" u="1"/>
        <s v="FORTALEZA AGRO LTDA" u="1"/>
        <s v="GAVILON DO BRASIL COMERCIO DE PRODUTOS AGRICOLAS LTDA. (0017-35)" u="1"/>
        <s v="RFA CEREALISTA LTDA (0001-78)" u="1"/>
        <s v="COCAMAR COOPERATIVA AGROINDUSTRIAL (0241-88)" u="1"/>
        <s v="INTEGRADA COOPERATIVA AGROINDUSTRIAL (0086-82)" u="1"/>
        <s v="CARGILL AGRICOLA SA. (0075-93)" u="1"/>
        <s v="SOJAMIL COMERCIO DE GRAOS LTDA. - ME (0001-77)" u="1"/>
        <s v="COFCO INTERNATIONAL BRASIL S.A. (0184-09)" u="1"/>
        <s v="COFCO GRAINS LTDA (0002-26)" u="1"/>
        <s v="MCR COMERCIO DE CEREAIS LTDA.(0002-16)" u="1"/>
        <s v="COOPERMOTA COOPERATIVA AGROINDUSTRIAL (0023-36)" u="1"/>
        <s v="AGROBOM COMERCIO E EXPORTACAO DE CEREAIS EIRELI (0001-88)" u="1"/>
        <s v="BELAGRICOLA (0088-32)" u="1"/>
        <s v="COFCO INTERNATIONAL BRASIL S.A. (0016-03)" u="1"/>
        <s v="GIANSANTE COM ATAC DE CER - EIRELI (0001-38)" u="1"/>
        <s v="PRODUTOS ALIMENTICIOS ORLANDIA(0002-00)" u="1"/>
        <s v="COFCO INTERNATIONAL BRASIL S.A. (0185-90)" u="1"/>
        <s v="BURIGRAOS COMERCIO DE CEREAIS LTDA - EPP" u="1"/>
        <s v="BELAGRICOLA (0034-40)" u="1"/>
        <s v="BELAGRICOLA (0099-95)" u="1"/>
        <s v="CEREALISTA TRAVESSAO LTDA (0001-52)" u="1"/>
        <s v="COMERCIAL CEREALISTA SOLIMA LTDA (0001-58)" u="1"/>
        <s v="COOPERCITRUS COOPERATIVA DE PRODUTORES RURAIS (0172-48)" u="1"/>
        <s v="OURO SAFRA INDUSTRIA E COMERCIO LTDA (0023-60)" u="1"/>
        <s v="BELAGRICOLA (0097-23)" u="1"/>
        <s v="AGROGUINA AGRICOLA LTDA (0001-20)" u="1"/>
        <s v="SANDRA LUCIA ESTEVES VAZ DE LIMA EIRELI - EPP (0001-10)" u="1"/>
        <s v="GLAUBER SOUSA PADUA" u="1"/>
        <s v="CEREALISTA ESPLANADA DE BURI EIRELI - EPP (0001-40)" u="1"/>
        <s v="COOPERMOTA COOPERATIVA AGROINDUSTRIAL (0004-73)" u="1"/>
        <s v="PRIORI SEMENTES E DEFENSIVOS AGRICOLAS LTDA (0001-15)" u="1"/>
        <s v="GRAN-MILHO CORRETORA DE GRAOS LTDA (0001-06)" u="1"/>
        <s v="COFCO BRASIL S.A (0182-47)" u="1"/>
        <s v="COMERCIAL BOA SAFRA ITABERA LTDA ME (0001-20)" u="1"/>
        <s v="INTEGRADA COOPERATIVA AGROINDUSTRIAL(0089-25)" u="1"/>
        <s v="GAMA COMERCIO IMPORTACAO E EXPORTACAO DE CEREAIS LTDA (0001-30)" u="1"/>
        <s v="BELAGRICOLA (0027-10)" u="1"/>
        <s v="COOPERCITRUS COOPERATIVA DE PRODUTORES RURAIS (0175-90)" u="1"/>
        <s v="COFCO GRAINS LTDA (0004-98)" u="1"/>
        <s v="COFCO INTERNATIONAL GRAINS LTDA. (0002-26)" u="1"/>
        <s v="COFCO INTERNATIONAL BRASIL S.A. (0182-47)" u="1"/>
        <s v="OURO SAFRA INDUSTRIA E COMERCIO LTDA (0010-46)" u="1"/>
        <s v="ELIANO ANTUNES DE OLIVEIRA (0001-57)" u="1"/>
        <s v="JATOBA COMERCIO IMP 0004-61" u="1"/>
        <s v="PORTO MINEIRO DE GRAOS LTDA (0001-86)" u="1"/>
        <s v="COOPERCITRUS COOPERATIVA DE PRODUTORES RURAIS (0164-38)" u="1"/>
        <s v="COFCO INTERNACIONAL BRASIL S.A. (0028-39)" u="1"/>
        <s v="COFCO INTERNATIONAL BRASIL S.A. (0028-39)" u="1"/>
        <s v="INTEGRADA COOPERATIVA AGROINDUSTRIAL (0089-25)" u="1"/>
        <s v="BELAGRICOLA (0016-68)" u="1"/>
        <s v="GLOBAL AGRONEGOCIOS LTDA - ME" u="1"/>
        <s v="OURO SAFRA INDUSTRIA E COMERCIO LTDA (0017-12)" u="1"/>
        <s v="MV FUTURO CEREAIS S/A (0001-37)" u="1"/>
        <s v="INOCENCIO CEREAIS LTDA (0001-55)" u="1"/>
        <s v="CARAMURU ALIMENTOS S.A. (0003-71)" u="1"/>
        <s v="VALE GRAOS AGRONEGOCIOS LTDA (0001-05)" u="1"/>
        <s v="COFCO INTERNATIONAL BRASIL S.A. (0177-80)" u="1"/>
        <s v="COFCO INTERNATIONAL GRAINS LTDA. (0004-98)" u="1"/>
        <s v="BM INDUSTRIA E COMERCIO DE CEREAIS EIRELI (0001-61)" u="1"/>
        <s v="COFCO GRAINS LTDA (0013-89)" u="1"/>
        <s v="OURO SAFRA INDUSTRIA E COMERCIO LTDA (0007-40)" u="1"/>
        <s v="CARGILL AGRICOLA S.A (0301-45)" u="1"/>
        <s v="INTEGRADA COOPERATIVA AGROINDUSTRIAL (0044-23)" u="1"/>
      </sharedItems>
    </cacheField>
    <cacheField name="Placa do Veículo" numFmtId="0">
      <sharedItems/>
    </cacheField>
    <cacheField name="Peso 1ª Pesagem" numFmtId="0">
      <sharedItems containsSemiMixedTypes="0" containsString="0" containsNumber="1" containsInteger="1" minValue="56400" maxValue="72440"/>
    </cacheField>
    <cacheField name="Data 1ª Pesagem" numFmtId="168">
      <sharedItems/>
    </cacheField>
    <cacheField name="Peso 2ª Pesagem" numFmtId="0">
      <sharedItems containsSemiMixedTypes="0" containsString="0" containsNumber="1" containsInteger="1" minValue="21660" maxValue="26140"/>
    </cacheField>
    <cacheField name="Data 2ª Pesagem" numFmtId="168">
      <sharedItems/>
    </cacheField>
    <cacheField name="Peso Líquido" numFmtId="0">
      <sharedItems containsSemiMixedTypes="0" containsString="0" containsNumber="1" containsInteger="1" minValue="17438" maxValue="35200"/>
    </cacheField>
    <cacheField name="Peso Nota / Estimado" numFmtId="0">
      <sharedItems containsSemiMixedTypes="0" containsString="0" containsNumber="1" containsInteger="1" minValue="17430" maxValue="35150"/>
    </cacheField>
    <cacheField name="Dif. Peso NF Peso Liq" numFmtId="0">
      <sharedItems containsSemiMixedTypes="0" containsString="0" containsNumber="1" containsInteger="1" minValue="8" maxValue="50"/>
    </cacheField>
    <cacheField name="Contrato" numFmtId="0">
      <sharedItems/>
    </cacheField>
    <cacheField name="NOTA FISCA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103874"/>
    <x v="0"/>
    <s v="EZU3I99"/>
    <n v="72440"/>
    <s v="10/02/2021 03:57"/>
    <n v="26140"/>
    <s v="10/02/2021 04:30"/>
    <n v="28862"/>
    <n v="28850"/>
    <n v="12"/>
    <s v="2021-SOY0215-40-SP"/>
    <s v="296"/>
  </r>
  <r>
    <s v="103874"/>
    <x v="0"/>
    <s v="EZU3I99"/>
    <n v="72440"/>
    <s v="10/02/2021 03:57"/>
    <n v="26140"/>
    <s v="10/02/2021 04:30"/>
    <n v="17438"/>
    <n v="17430"/>
    <n v="8"/>
    <s v="2021-SOY0215-40-SP"/>
    <s v="295"/>
  </r>
  <r>
    <s v="103889"/>
    <x v="0"/>
    <s v="AZS9D55"/>
    <n v="57120"/>
    <s v="10/02/2021 09:53"/>
    <n v="21920"/>
    <s v="10/02/2021 10:13"/>
    <n v="35200"/>
    <n v="35150"/>
    <n v="50"/>
    <s v="2021-SOY0215-40-SP"/>
    <s v="297"/>
  </r>
  <r>
    <s v="103890"/>
    <x v="0"/>
    <s v="ECS1A95"/>
    <n v="56400"/>
    <s v="10/02/2021 10:07"/>
    <n v="21660"/>
    <s v="10/02/2021 10:29"/>
    <n v="34740"/>
    <n v="34730"/>
    <n v="10"/>
    <s v="2021-SOY0215-40-SP"/>
    <s v="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>
  <location ref="A2:A3" firstHeaderRow="1" firstDataRow="1" firstDataCol="1"/>
  <pivotFields count="12">
    <pivotField showAll="0" defaultSubtotal="0"/>
    <pivotField axis="axisRow" showAll="0">
      <items count="129">
        <item m="1" x="97"/>
        <item m="1" x="39"/>
        <item m="1" x="103"/>
        <item m="1" x="124"/>
        <item m="1" x="64"/>
        <item m="1" x="40"/>
        <item m="1" x="13"/>
        <item m="1" x="105"/>
        <item m="1" x="6"/>
        <item m="1" x="27"/>
        <item m="1" x="121"/>
        <item m="1" x="59"/>
        <item m="1" x="11"/>
        <item m="1" x="44"/>
        <item m="1" x="73"/>
        <item m="1" x="56"/>
        <item m="1" x="53"/>
        <item m="1" x="55"/>
        <item m="1" x="26"/>
        <item m="1" x="7"/>
        <item m="1" x="79"/>
        <item m="1" x="21"/>
        <item m="1" x="118"/>
        <item m="1" x="114"/>
        <item m="1" x="76"/>
        <item m="1" x="117"/>
        <item m="1" x="36"/>
        <item m="1" x="50"/>
        <item m="1" x="25"/>
        <item m="1" x="8"/>
        <item m="1" x="120"/>
        <item m="1" x="69"/>
        <item m="1" x="14"/>
        <item m="1" x="16"/>
        <item m="1" x="41"/>
        <item m="1" x="101"/>
        <item m="1" x="82"/>
        <item m="1" x="89"/>
        <item m="1" x="83"/>
        <item m="1" x="77"/>
        <item m="1" x="18"/>
        <item m="1" x="84"/>
        <item m="1" x="48"/>
        <item m="1" x="108"/>
        <item m="1" x="60"/>
        <item m="1" x="122"/>
        <item m="1" x="54"/>
        <item m="1" x="80"/>
        <item m="1" x="119"/>
        <item m="1" x="109"/>
        <item m="1" x="110"/>
        <item m="1" x="92"/>
        <item m="1" x="90"/>
        <item m="1" x="85"/>
        <item m="1" x="63"/>
        <item m="1" x="35"/>
        <item m="1" x="52"/>
        <item m="1" x="91"/>
        <item m="1" x="65"/>
        <item m="1" x="106"/>
        <item m="1" x="23"/>
        <item m="1" x="88"/>
        <item m="1" x="57"/>
        <item m="1" x="32"/>
        <item m="1" x="22"/>
        <item m="1" x="17"/>
        <item m="1" x="1"/>
        <item m="1" x="87"/>
        <item m="1" x="125"/>
        <item m="1" x="4"/>
        <item m="1" x="116"/>
        <item m="1" x="86"/>
        <item m="1" x="115"/>
        <item m="1" x="10"/>
        <item m="1" x="37"/>
        <item m="1" x="42"/>
        <item m="1" x="81"/>
        <item m="1" x="3"/>
        <item m="1" x="72"/>
        <item m="1" x="93"/>
        <item m="1" x="66"/>
        <item m="1" x="46"/>
        <item m="1" x="75"/>
        <item m="1" x="74"/>
        <item m="1" x="34"/>
        <item m="1" x="94"/>
        <item m="1" x="104"/>
        <item m="1" x="102"/>
        <item m="1" x="19"/>
        <item m="1" x="127"/>
        <item m="1" x="30"/>
        <item m="1" x="29"/>
        <item m="1" x="47"/>
        <item m="1" x="9"/>
        <item m="1" x="24"/>
        <item m="1" x="43"/>
        <item m="1" x="2"/>
        <item m="1" x="95"/>
        <item m="1" x="5"/>
        <item m="1" x="49"/>
        <item m="1" x="31"/>
        <item m="1" x="99"/>
        <item m="1" x="38"/>
        <item m="1" x="51"/>
        <item m="1" x="62"/>
        <item m="1" x="28"/>
        <item m="1" x="111"/>
        <item m="1" x="33"/>
        <item m="1" x="98"/>
        <item m="1" x="113"/>
        <item m="1" x="123"/>
        <item m="1" x="67"/>
        <item m="1" x="20"/>
        <item m="1" x="100"/>
        <item m="1" x="68"/>
        <item m="1" x="70"/>
        <item m="1" x="126"/>
        <item m="1" x="112"/>
        <item m="1" x="107"/>
        <item m="1" x="96"/>
        <item m="1" x="12"/>
        <item m="1" x="58"/>
        <item m="1" x="45"/>
        <item m="1" x="71"/>
        <item m="1" x="78"/>
        <item m="1" x="15"/>
        <item m="1" x="61"/>
        <item x="0"/>
        <item t="default"/>
      </items>
    </pivotField>
    <pivotField showAll="0"/>
    <pivotField showAll="0"/>
    <pivotField numFmtId="14" showAll="0"/>
    <pivotField showAll="0"/>
    <pivotField numFmtId="14" showAll="0"/>
    <pivotField showAll="0"/>
    <pivotField showAll="0" defaultSubtotal="0"/>
    <pivotField showAll="0" defaultSubtotal="0"/>
    <pivotField showAll="0"/>
    <pivotField showAll="0"/>
  </pivotFields>
  <rowFields count="1">
    <field x="1"/>
  </rowFields>
  <rowItems count="1">
    <i>
      <x v="12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AYOUT"/>
  <dimension ref="A1:O8"/>
  <sheetViews>
    <sheetView zoomScaleNormal="100" workbookViewId="0">
      <pane ySplit="2" topLeftCell="A3" activePane="bottomLeft" state="frozenSplit"/>
      <selection pane="bottomLeft" activeCell="N5" sqref="N5:N8"/>
    </sheetView>
  </sheetViews>
  <sheetFormatPr defaultColWidth="9.140625" defaultRowHeight="11.25" x14ac:dyDescent="0.2"/>
  <cols>
    <col min="1" max="1" width="18.28515625" style="12" bestFit="1" customWidth="1"/>
    <col min="2" max="2" width="13.85546875" style="5" bestFit="1" customWidth="1"/>
    <col min="3" max="3" width="10.140625" style="5" bestFit="1" customWidth="1"/>
    <col min="4" max="4" width="22.140625" style="5" bestFit="1" customWidth="1"/>
    <col min="5" max="5" width="14" style="5" bestFit="1" customWidth="1"/>
    <col min="6" max="6" width="8.7109375" style="5" bestFit="1" customWidth="1"/>
    <col min="7" max="7" width="22.85546875" style="5" bestFit="1" customWidth="1"/>
    <col min="8" max="8" width="25.28515625" style="5" bestFit="1" customWidth="1"/>
    <col min="9" max="9" width="25.5703125" style="12" bestFit="1" customWidth="1"/>
    <col min="10" max="10" width="14.7109375" style="11" bestFit="1" customWidth="1"/>
    <col min="11" max="11" width="14.85546875" style="5" bestFit="1" customWidth="1"/>
    <col min="12" max="12" width="4.7109375" style="5" bestFit="1" customWidth="1"/>
    <col min="13" max="13" width="4" style="5" bestFit="1" customWidth="1"/>
    <col min="14" max="14" width="16" style="5" bestFit="1" customWidth="1"/>
    <col min="15" max="15" width="20.5703125" style="5" customWidth="1"/>
    <col min="16" max="16384" width="9.140625" style="5"/>
  </cols>
  <sheetData>
    <row r="1" spans="1:15" ht="30" customHeight="1" x14ac:dyDescent="0.2">
      <c r="A1" s="26" t="s">
        <v>49</v>
      </c>
      <c r="B1" s="28">
        <v>1</v>
      </c>
      <c r="C1" s="30" t="s">
        <v>0</v>
      </c>
      <c r="D1" s="32" t="s">
        <v>1</v>
      </c>
      <c r="E1" s="3" t="s">
        <v>2</v>
      </c>
      <c r="F1" s="34" t="s">
        <v>3</v>
      </c>
      <c r="G1" s="19" t="s">
        <v>49</v>
      </c>
      <c r="H1" s="19" t="s">
        <v>4</v>
      </c>
      <c r="I1" s="21" t="s">
        <v>159</v>
      </c>
      <c r="J1" s="23" t="s">
        <v>5</v>
      </c>
      <c r="K1" s="24"/>
      <c r="L1" s="24"/>
      <c r="M1" s="24"/>
      <c r="N1" s="25"/>
      <c r="O1" s="4"/>
    </row>
    <row r="2" spans="1:15" ht="12" thickBot="1" x14ac:dyDescent="0.25">
      <c r="A2" s="27"/>
      <c r="B2" s="29"/>
      <c r="C2" s="31"/>
      <c r="D2" s="33"/>
      <c r="E2" s="6" t="s">
        <v>6</v>
      </c>
      <c r="F2" s="35"/>
      <c r="G2" s="20"/>
      <c r="H2" s="20"/>
      <c r="I2" s="22"/>
      <c r="J2" s="7" t="s">
        <v>73</v>
      </c>
      <c r="K2" s="8" t="s">
        <v>7</v>
      </c>
      <c r="L2" s="9" t="s">
        <v>8</v>
      </c>
      <c r="M2" s="9" t="s">
        <v>9</v>
      </c>
      <c r="N2" s="17" t="s">
        <v>10</v>
      </c>
      <c r="O2" s="10"/>
    </row>
    <row r="3" spans="1:15" ht="12" thickTop="1" x14ac:dyDescent="0.2"/>
    <row r="5" spans="1:15" ht="15" x14ac:dyDescent="0.25">
      <c r="A5" s="12" t="s">
        <v>159</v>
      </c>
      <c r="B5" s="5">
        <v>1</v>
      </c>
      <c r="C5" t="s">
        <v>219</v>
      </c>
      <c r="E5" t="s">
        <v>215</v>
      </c>
      <c r="G5" s="5" t="s">
        <v>159</v>
      </c>
      <c r="I5" s="12" t="s">
        <v>69</v>
      </c>
      <c r="J5" s="36" t="s">
        <v>217</v>
      </c>
      <c r="N5" s="16">
        <v>28862</v>
      </c>
    </row>
    <row r="6" spans="1:15" ht="15" x14ac:dyDescent="0.25">
      <c r="A6" s="12" t="s">
        <v>159</v>
      </c>
      <c r="B6" s="5">
        <v>1</v>
      </c>
      <c r="C6" t="s">
        <v>220</v>
      </c>
      <c r="E6" t="s">
        <v>215</v>
      </c>
      <c r="G6" s="5" t="s">
        <v>159</v>
      </c>
      <c r="I6" s="12" t="s">
        <v>69</v>
      </c>
      <c r="J6" s="36" t="s">
        <v>217</v>
      </c>
      <c r="N6" s="16">
        <v>17438</v>
      </c>
    </row>
    <row r="7" spans="1:15" ht="15" x14ac:dyDescent="0.25">
      <c r="A7" s="12" t="s">
        <v>159</v>
      </c>
      <c r="B7" s="5">
        <v>1</v>
      </c>
      <c r="C7" t="s">
        <v>225</v>
      </c>
      <c r="E7" t="s">
        <v>222</v>
      </c>
      <c r="G7" s="5" t="s">
        <v>159</v>
      </c>
      <c r="I7" s="12" t="s">
        <v>69</v>
      </c>
      <c r="J7" s="36" t="s">
        <v>224</v>
      </c>
      <c r="N7" s="16">
        <v>35200</v>
      </c>
    </row>
    <row r="8" spans="1:15" ht="15" x14ac:dyDescent="0.25">
      <c r="A8" s="12" t="s">
        <v>159</v>
      </c>
      <c r="B8" s="5">
        <v>1</v>
      </c>
      <c r="C8" t="s">
        <v>230</v>
      </c>
      <c r="E8" t="s">
        <v>227</v>
      </c>
      <c r="G8" s="5" t="s">
        <v>159</v>
      </c>
      <c r="I8" s="12" t="s">
        <v>69</v>
      </c>
      <c r="J8" s="36" t="s">
        <v>229</v>
      </c>
      <c r="N8" s="16">
        <v>34740</v>
      </c>
    </row>
  </sheetData>
  <mergeCells count="9">
    <mergeCell ref="H1:H2"/>
    <mergeCell ref="I1:I2"/>
    <mergeCell ref="J1:N1"/>
    <mergeCell ref="A1:A2"/>
    <mergeCell ref="B1:B2"/>
    <mergeCell ref="C1:C2"/>
    <mergeCell ref="D1:D2"/>
    <mergeCell ref="F1:F2"/>
    <mergeCell ref="G1:G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ASE_TXT" filterMode="1"/>
  <dimension ref="A1:L1602"/>
  <sheetViews>
    <sheetView tabSelected="1" zoomScaleNormal="100" workbookViewId="0">
      <selection sqref="A1:L40"/>
    </sheetView>
  </sheetViews>
  <sheetFormatPr defaultRowHeight="15" x14ac:dyDescent="0.25"/>
  <cols>
    <col min="1" max="1" width="8.85546875" style="1"/>
    <col min="2" max="2" width="26.7109375" bestFit="1" customWidth="1"/>
    <col min="3" max="3" width="14.42578125" bestFit="1" customWidth="1"/>
    <col min="4" max="4" width="14.85546875" style="1" bestFit="1" customWidth="1"/>
    <col min="5" max="5" width="14.85546875" bestFit="1" customWidth="1"/>
    <col min="7" max="7" width="14.85546875" bestFit="1" customWidth="1"/>
    <col min="8" max="8" width="8.85546875" style="2"/>
  </cols>
  <sheetData>
    <row r="1" spans="1:12" x14ac:dyDescent="0.25">
      <c r="A1" t="s">
        <v>199</v>
      </c>
      <c r="B1" t="s">
        <v>200</v>
      </c>
      <c r="C1" t="s">
        <v>201</v>
      </c>
      <c r="D1" t="s">
        <v>202</v>
      </c>
      <c r="E1" s="36" t="s">
        <v>203</v>
      </c>
      <c r="F1" t="s">
        <v>204</v>
      </c>
      <c r="G1" s="36" t="s">
        <v>205</v>
      </c>
      <c r="H1" t="s">
        <v>206</v>
      </c>
      <c r="I1" t="s">
        <v>207</v>
      </c>
      <c r="J1" t="s">
        <v>208</v>
      </c>
      <c r="K1" t="s">
        <v>209</v>
      </c>
      <c r="L1" t="s">
        <v>210</v>
      </c>
    </row>
    <row r="2" spans="1:12" x14ac:dyDescent="0.25">
      <c r="A2" t="s">
        <v>214</v>
      </c>
      <c r="B2" t="s">
        <v>213</v>
      </c>
      <c r="C2" t="s">
        <v>215</v>
      </c>
      <c r="D2">
        <v>72440</v>
      </c>
      <c r="E2" s="36" t="s">
        <v>216</v>
      </c>
      <c r="F2">
        <v>26140</v>
      </c>
      <c r="G2" s="36" t="s">
        <v>217</v>
      </c>
      <c r="H2">
        <v>28862</v>
      </c>
      <c r="I2">
        <v>28850</v>
      </c>
      <c r="J2">
        <v>12</v>
      </c>
      <c r="K2" t="s">
        <v>218</v>
      </c>
      <c r="L2" t="s">
        <v>219</v>
      </c>
    </row>
    <row r="3" spans="1:12" x14ac:dyDescent="0.25">
      <c r="A3" t="s">
        <v>214</v>
      </c>
      <c r="B3" t="s">
        <v>213</v>
      </c>
      <c r="C3" t="s">
        <v>215</v>
      </c>
      <c r="D3">
        <v>72440</v>
      </c>
      <c r="E3" s="36" t="s">
        <v>216</v>
      </c>
      <c r="F3">
        <v>26140</v>
      </c>
      <c r="G3" s="36" t="s">
        <v>217</v>
      </c>
      <c r="H3">
        <v>17438</v>
      </c>
      <c r="I3">
        <v>17430</v>
      </c>
      <c r="J3">
        <v>8</v>
      </c>
      <c r="K3" t="s">
        <v>218</v>
      </c>
      <c r="L3" t="s">
        <v>220</v>
      </c>
    </row>
    <row r="4" spans="1:12" x14ac:dyDescent="0.25">
      <c r="A4" t="s">
        <v>221</v>
      </c>
      <c r="B4" t="s">
        <v>213</v>
      </c>
      <c r="C4" t="s">
        <v>222</v>
      </c>
      <c r="D4">
        <v>57120</v>
      </c>
      <c r="E4" s="36" t="s">
        <v>223</v>
      </c>
      <c r="F4">
        <v>21920</v>
      </c>
      <c r="G4" s="36" t="s">
        <v>224</v>
      </c>
      <c r="H4">
        <v>35200</v>
      </c>
      <c r="I4">
        <v>35150</v>
      </c>
      <c r="J4">
        <v>50</v>
      </c>
      <c r="K4" t="s">
        <v>218</v>
      </c>
      <c r="L4" t="s">
        <v>225</v>
      </c>
    </row>
    <row r="5" spans="1:12" x14ac:dyDescent="0.25">
      <c r="A5" t="s">
        <v>226</v>
      </c>
      <c r="B5" t="s">
        <v>213</v>
      </c>
      <c r="C5" t="s">
        <v>227</v>
      </c>
      <c r="D5">
        <v>56400</v>
      </c>
      <c r="E5" s="36" t="s">
        <v>228</v>
      </c>
      <c r="F5">
        <v>21660</v>
      </c>
      <c r="G5" s="36" t="s">
        <v>229</v>
      </c>
      <c r="H5">
        <v>34740</v>
      </c>
      <c r="I5">
        <v>34730</v>
      </c>
      <c r="J5">
        <v>10</v>
      </c>
      <c r="K5" t="s">
        <v>218</v>
      </c>
      <c r="L5" t="s">
        <v>230</v>
      </c>
    </row>
    <row r="6" spans="1:12" hidden="1" x14ac:dyDescent="0.25"/>
    <row r="7" spans="1:12" hidden="1" x14ac:dyDescent="0.25"/>
    <row r="8" spans="1:12" hidden="1" x14ac:dyDescent="0.25"/>
    <row r="9" spans="1:12" hidden="1" x14ac:dyDescent="0.25"/>
    <row r="10" spans="1:12" hidden="1" x14ac:dyDescent="0.25"/>
    <row r="11" spans="1:12" hidden="1" x14ac:dyDescent="0.25"/>
    <row r="12" spans="1:12" hidden="1" x14ac:dyDescent="0.25"/>
    <row r="13" spans="1:12" hidden="1" x14ac:dyDescent="0.25"/>
    <row r="14" spans="1:12" hidden="1" x14ac:dyDescent="0.25"/>
    <row r="15" spans="1:12" hidden="1" x14ac:dyDescent="0.25"/>
    <row r="16" spans="1:12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  <row r="28" hidden="1" x14ac:dyDescent="0.25"/>
    <row r="29" hidden="1" x14ac:dyDescent="0.25"/>
    <row r="30" hidden="1" x14ac:dyDescent="0.25"/>
    <row r="31" hidden="1" x14ac:dyDescent="0.25"/>
    <row r="32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</sheetData>
  <autoFilter ref="A1:L1602" xr:uid="{EDD56871-603E-4D3E-81D9-3ECDBADD6F87}">
    <filterColumn colId="1">
      <filters>
        <filter val="COFCO INTERNATIONAL BRASIL S. A. (0215-40)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ASE"/>
  <dimension ref="A1:M133"/>
  <sheetViews>
    <sheetView topLeftCell="F118" workbookViewId="0">
      <selection activeCell="I145" sqref="I145"/>
    </sheetView>
  </sheetViews>
  <sheetFormatPr defaultRowHeight="15" x14ac:dyDescent="0.25"/>
  <cols>
    <col min="1" max="1" width="42.42578125" bestFit="1" customWidth="1"/>
    <col min="2" max="2" width="41.85546875" bestFit="1" customWidth="1"/>
    <col min="3" max="4" width="17.7109375" bestFit="1" customWidth="1"/>
    <col min="5" max="5" width="26.7109375" bestFit="1" customWidth="1"/>
    <col min="6" max="6" width="47.42578125" customWidth="1"/>
    <col min="7" max="8" width="17.7109375" bestFit="1" customWidth="1"/>
    <col min="9" max="9" width="18" bestFit="1" customWidth="1"/>
  </cols>
  <sheetData>
    <row r="1" spans="1:13" x14ac:dyDescent="0.25">
      <c r="B1" s="15" t="s">
        <v>34</v>
      </c>
      <c r="C1" s="15" t="s">
        <v>31</v>
      </c>
      <c r="D1" s="15" t="s">
        <v>32</v>
      </c>
      <c r="E1" s="15" t="s">
        <v>33</v>
      </c>
      <c r="F1" t="s">
        <v>30</v>
      </c>
      <c r="G1" t="s">
        <v>31</v>
      </c>
      <c r="H1" t="s">
        <v>32</v>
      </c>
      <c r="I1" t="s">
        <v>33</v>
      </c>
      <c r="J1" t="s">
        <v>78</v>
      </c>
      <c r="K1" t="s">
        <v>69</v>
      </c>
      <c r="M1" t="s">
        <v>79</v>
      </c>
    </row>
    <row r="2" spans="1:13" x14ac:dyDescent="0.25">
      <c r="A2" s="13" t="s">
        <v>18</v>
      </c>
      <c r="B2" t="s">
        <v>213</v>
      </c>
      <c r="C2" t="str">
        <f>VLOOKUP(B2,F:G,2,0)</f>
        <v/>
      </c>
      <c r="D2" s="15" t="str">
        <f>VLOOKUP(BASE!$B$2,BASE!$F:$I,3,0)</f>
        <v/>
      </c>
      <c r="E2" s="15" t="str">
        <f>VLOOKUP(BASE!$B$2,BASE!$F:$I,4,0)</f>
        <v>56.216.872/0001-46</v>
      </c>
      <c r="F2" s="14" t="s">
        <v>16</v>
      </c>
      <c r="G2" t="str">
        <f>IFERROR(VLOOKUP(MID(F2,SEARCH("(",F2,1)+1,7),CNPJS!A:B,2,0),"")</f>
        <v>06.315.338/0028-39</v>
      </c>
      <c r="H2" t="str">
        <f t="shared" ref="H2:H8" si="0">G2</f>
        <v>06.315.338/0028-39</v>
      </c>
      <c r="I2" t="str">
        <f>IFERROR(VLOOKUP($M$1,J:K,2,0),"")</f>
        <v>56.216.872/0001-46</v>
      </c>
      <c r="J2" t="s">
        <v>79</v>
      </c>
      <c r="K2" t="s">
        <v>69</v>
      </c>
    </row>
    <row r="3" spans="1:13" x14ac:dyDescent="0.25">
      <c r="A3" s="14" t="s">
        <v>213</v>
      </c>
      <c r="F3" s="14" t="s">
        <v>17</v>
      </c>
      <c r="G3" t="str">
        <f>IFERROR(VLOOKUP(MID(F3,SEARCH("(",F3,1)+1,7),CNPJS!A:B,2,0),"")</f>
        <v>06.315.338/0181-66</v>
      </c>
      <c r="H3" t="str">
        <f t="shared" si="0"/>
        <v>06.315.338/0181-66</v>
      </c>
      <c r="I3" t="str">
        <f t="shared" ref="I3:I11" si="1">IFERROR(VLOOKUP($M$1,J:K,2,0),"")</f>
        <v>56.216.872/0001-46</v>
      </c>
    </row>
    <row r="4" spans="1:13" x14ac:dyDescent="0.25">
      <c r="F4" s="14" t="s">
        <v>13</v>
      </c>
      <c r="G4" t="str">
        <f>IFERROR(VLOOKUP(MID(F4,SEARCH("(",F4,1)+1,7),CNPJS!A:B,2,0),"")</f>
        <v>29.332.398/0002-26</v>
      </c>
      <c r="H4" t="str">
        <f t="shared" si="0"/>
        <v>29.332.398/0002-26</v>
      </c>
      <c r="I4" t="str">
        <f t="shared" si="1"/>
        <v>56.216.872/0001-46</v>
      </c>
    </row>
    <row r="5" spans="1:13" x14ac:dyDescent="0.25">
      <c r="F5" s="14" t="s">
        <v>14</v>
      </c>
      <c r="G5" t="str">
        <f>IFERROR(VLOOKUP(MID(F5,SEARCH("(",F5,1)+1,7),CNPJS!A:B,2,0),"")</f>
        <v>29.332.398/0003-07</v>
      </c>
      <c r="H5" t="str">
        <f t="shared" si="0"/>
        <v>29.332.398/0003-07</v>
      </c>
      <c r="I5" t="str">
        <f t="shared" si="1"/>
        <v>56.216.872/0001-46</v>
      </c>
    </row>
    <row r="6" spans="1:13" x14ac:dyDescent="0.25">
      <c r="F6" s="14" t="s">
        <v>15</v>
      </c>
      <c r="G6" t="str">
        <f>IFERROR(VLOOKUP(MID(F6,SEARCH("(",F6,1)+1,7),CNPJS!A:B,2,0),"")</f>
        <v>29.332.398/0008-11</v>
      </c>
      <c r="H6" t="str">
        <f t="shared" si="0"/>
        <v>29.332.398/0008-11</v>
      </c>
      <c r="I6" t="str">
        <f t="shared" si="1"/>
        <v>56.216.872/0001-46</v>
      </c>
    </row>
    <row r="7" spans="1:13" x14ac:dyDescent="0.25">
      <c r="F7" s="14" t="s">
        <v>11</v>
      </c>
      <c r="G7" t="str">
        <f>IFERROR(VLOOKUP(MID(F7,SEARCH("(",F7,1)+1,7),CNPJS!A:B,2,0),"")</f>
        <v>29.332.398/0010-36</v>
      </c>
      <c r="H7" t="str">
        <f t="shared" si="0"/>
        <v>29.332.398/0010-36</v>
      </c>
      <c r="I7" t="str">
        <f t="shared" si="1"/>
        <v>56.216.872/0001-46</v>
      </c>
    </row>
    <row r="8" spans="1:13" x14ac:dyDescent="0.25">
      <c r="F8" s="14" t="s">
        <v>12</v>
      </c>
      <c r="G8" t="str">
        <f>IFERROR(VLOOKUP(MID(F8,SEARCH("(",F8,1)+1,7),CNPJS!A:B,2,0),"")</f>
        <v>29.332.398/0013-89</v>
      </c>
      <c r="H8" t="str">
        <f t="shared" si="0"/>
        <v>29.332.398/0013-89</v>
      </c>
      <c r="I8" t="str">
        <f t="shared" si="1"/>
        <v>56.216.872/0001-46</v>
      </c>
    </row>
    <row r="9" spans="1:13" x14ac:dyDescent="0.25">
      <c r="F9" t="s">
        <v>70</v>
      </c>
      <c r="G9" t="str">
        <f>IFERROR(VLOOKUP(MID(F9,SEARCH("(",F9,1)+1,7),CNPJS!A:B,2,0),"")</f>
        <v>06.315.338/0182-47</v>
      </c>
      <c r="H9" t="str">
        <f t="shared" ref="H9:H46" si="2">G9</f>
        <v>06.315.338/0182-47</v>
      </c>
      <c r="I9" t="str">
        <f t="shared" si="1"/>
        <v>56.216.872/0001-46</v>
      </c>
    </row>
    <row r="10" spans="1:13" x14ac:dyDescent="0.25">
      <c r="F10" t="s">
        <v>71</v>
      </c>
      <c r="G10" t="str">
        <f>IFERROR(VLOOKUP(MID(F10,SEARCH("(",F10,1)+1,7),CNPJS!A:B,2,0),"")</f>
        <v>29.332.398/0004-98</v>
      </c>
      <c r="H10" t="str">
        <f t="shared" si="2"/>
        <v>29.332.398/0004-98</v>
      </c>
      <c r="I10" t="str">
        <f t="shared" si="1"/>
        <v>56.216.872/0001-46</v>
      </c>
    </row>
    <row r="11" spans="1:13" x14ac:dyDescent="0.25">
      <c r="F11" t="s">
        <v>72</v>
      </c>
      <c r="G11" t="str">
        <f>IFERROR(VLOOKUP(MID(F11,SEARCH("(",F11,1)+1,7),CNPJS!A:B,2,0),"")</f>
        <v/>
      </c>
      <c r="H11" t="str">
        <f t="shared" si="2"/>
        <v/>
      </c>
      <c r="I11" t="str">
        <f t="shared" si="1"/>
        <v>56.216.872/0001-46</v>
      </c>
    </row>
    <row r="12" spans="1:13" x14ac:dyDescent="0.25">
      <c r="F12" t="s">
        <v>76</v>
      </c>
      <c r="G12" t="str">
        <f>IFERROR(VLOOKUP(MID(F12,SEARCH("(",F12,1)+1,7),CNPJS!A:B,2,0),"")</f>
        <v>29.332.398/0003-07</v>
      </c>
      <c r="H12" t="str">
        <f t="shared" si="2"/>
        <v>29.332.398/0003-07</v>
      </c>
      <c r="I12" t="str">
        <f t="shared" ref="I12:I46" si="3">IFERROR(VLOOKUP($M$1,J:K,2,0),"")</f>
        <v>56.216.872/0001-46</v>
      </c>
    </row>
    <row r="13" spans="1:13" x14ac:dyDescent="0.25">
      <c r="F13" t="s">
        <v>77</v>
      </c>
      <c r="G13" t="str">
        <f>IFERROR(VLOOKUP(MID(F13,SEARCH("(",F13,1)+1,7),CNPJS!A:B,2,0),"")</f>
        <v>06.315.338/0182-47</v>
      </c>
      <c r="H13" t="str">
        <f t="shared" si="2"/>
        <v>06.315.338/0182-47</v>
      </c>
      <c r="I13" t="str">
        <f t="shared" si="3"/>
        <v>56.216.872/0001-46</v>
      </c>
    </row>
    <row r="14" spans="1:13" x14ac:dyDescent="0.25">
      <c r="F14" t="s">
        <v>80</v>
      </c>
      <c r="G14" t="str">
        <f>IFERROR(VLOOKUP(MID(F14,SEARCH("(",F14,1)+1,7),CNPJS!A:B,2,0),"")</f>
        <v>06.315.338/0183-28</v>
      </c>
      <c r="H14" t="str">
        <f t="shared" si="2"/>
        <v>06.315.338/0183-28</v>
      </c>
      <c r="I14" t="str">
        <f t="shared" si="3"/>
        <v>56.216.872/0001-46</v>
      </c>
    </row>
    <row r="15" spans="1:13" x14ac:dyDescent="0.25">
      <c r="F15" t="s">
        <v>81</v>
      </c>
      <c r="G15" t="str">
        <f>IFERROR(VLOOKUP(MID(F15,SEARCH("(",F15,1)+1,7),CNPJS!A:B,2,0),"")</f>
        <v>06.315.338/0028-39</v>
      </c>
      <c r="H15" t="str">
        <f t="shared" si="2"/>
        <v>06.315.338/0028-39</v>
      </c>
      <c r="I15" t="str">
        <f t="shared" si="3"/>
        <v>56.216.872/0001-46</v>
      </c>
    </row>
    <row r="16" spans="1:13" x14ac:dyDescent="0.25">
      <c r="F16" t="s">
        <v>82</v>
      </c>
      <c r="G16" t="str">
        <f>IFERROR(VLOOKUP(MID(F16,SEARCH("(",F16,1)+1,7),CNPJS!A:B,2,0),"")</f>
        <v>06.315.338/0177-80</v>
      </c>
      <c r="H16" t="str">
        <f t="shared" si="2"/>
        <v>06.315.338/0177-80</v>
      </c>
      <c r="I16" t="str">
        <f t="shared" si="3"/>
        <v>56.216.872/0001-46</v>
      </c>
    </row>
    <row r="17" spans="6:9" x14ac:dyDescent="0.25">
      <c r="F17" t="s">
        <v>74</v>
      </c>
      <c r="G17" t="str">
        <f>IFERROR(VLOOKUP(MID(F17,SEARCH("(",F17,1)+1,7),CNPJS!A:B,2,0),"")</f>
        <v>29.332.398/0010-36</v>
      </c>
      <c r="H17" t="str">
        <f t="shared" si="2"/>
        <v>29.332.398/0010-36</v>
      </c>
      <c r="I17" t="str">
        <f t="shared" si="3"/>
        <v>56.216.872/0001-46</v>
      </c>
    </row>
    <row r="18" spans="6:9" x14ac:dyDescent="0.25">
      <c r="F18" t="s">
        <v>75</v>
      </c>
      <c r="G18" t="str">
        <f>IFERROR(VLOOKUP(MID(F18,SEARCH("(",F18,1)+1,7),CNPJS!A:B,2,0),"")</f>
        <v>29.332.398/0005-79</v>
      </c>
      <c r="H18" t="str">
        <f t="shared" si="2"/>
        <v>29.332.398/0005-79</v>
      </c>
      <c r="I18" t="str">
        <f t="shared" si="3"/>
        <v>56.216.872/0001-46</v>
      </c>
    </row>
    <row r="19" spans="6:9" x14ac:dyDescent="0.25">
      <c r="F19" t="s">
        <v>83</v>
      </c>
      <c r="G19" t="str">
        <f>IFERROR(VLOOKUP(MID(F19,SEARCH("(",F19,1)+1,7),CNPJS!A:B,2,0),"")</f>
        <v>29.332.398/0008-11</v>
      </c>
      <c r="H19" t="str">
        <f t="shared" si="2"/>
        <v>29.332.398/0008-11</v>
      </c>
      <c r="I19" t="str">
        <f t="shared" si="3"/>
        <v>56.216.872/0001-46</v>
      </c>
    </row>
    <row r="20" spans="6:9" x14ac:dyDescent="0.25">
      <c r="F20" t="s">
        <v>84</v>
      </c>
      <c r="G20" t="str">
        <f>IFERROR(VLOOKUP(MID(F20,SEARCH("(",F20,1)+1,7),CNPJS!A:B,2,0),"")</f>
        <v>29.332.398/0007-30</v>
      </c>
      <c r="H20" t="str">
        <f t="shared" si="2"/>
        <v>29.332.398/0007-30</v>
      </c>
      <c r="I20" t="str">
        <f t="shared" si="3"/>
        <v>56.216.872/0001-46</v>
      </c>
    </row>
    <row r="21" spans="6:9" x14ac:dyDescent="0.25">
      <c r="F21" t="s">
        <v>85</v>
      </c>
      <c r="G21" t="str">
        <f>IFERROR(VLOOKUP(MID(F21,SEARCH("(",F21,1)+1,7),CNPJS!A:B,2,0),"")</f>
        <v/>
      </c>
      <c r="H21" t="str">
        <f t="shared" si="2"/>
        <v/>
      </c>
      <c r="I21" t="str">
        <f t="shared" si="3"/>
        <v>56.216.872/0001-46</v>
      </c>
    </row>
    <row r="22" spans="6:9" x14ac:dyDescent="0.25">
      <c r="F22" t="s">
        <v>86</v>
      </c>
      <c r="G22" t="str">
        <f>IFERROR(VLOOKUP(MID(F22,SEARCH("(",F22,1)+1,7),CNPJS!A:B,2,0),"")</f>
        <v/>
      </c>
      <c r="H22" t="str">
        <f t="shared" si="2"/>
        <v/>
      </c>
      <c r="I22" t="str">
        <f t="shared" si="3"/>
        <v>56.216.872/0001-46</v>
      </c>
    </row>
    <row r="23" spans="6:9" x14ac:dyDescent="0.25">
      <c r="F23" t="s">
        <v>87</v>
      </c>
      <c r="G23" t="str">
        <f>IFERROR(VLOOKUP(MID(F23,SEARCH("(",F23,1)+1,7),CNPJS!A:B,2,0),"")</f>
        <v/>
      </c>
      <c r="H23" t="str">
        <f t="shared" si="2"/>
        <v/>
      </c>
      <c r="I23" t="str">
        <f t="shared" si="3"/>
        <v>56.216.872/0001-46</v>
      </c>
    </row>
    <row r="24" spans="6:9" x14ac:dyDescent="0.25">
      <c r="F24" t="s">
        <v>88</v>
      </c>
      <c r="G24" t="str">
        <f>IFERROR(VLOOKUP(MID(F24,SEARCH("(",F24,1)+1,7),CNPJS!A:B,2,0),"")</f>
        <v/>
      </c>
      <c r="H24" t="str">
        <f t="shared" si="2"/>
        <v/>
      </c>
      <c r="I24" t="str">
        <f t="shared" si="3"/>
        <v>56.216.872/0001-46</v>
      </c>
    </row>
    <row r="25" spans="6:9" x14ac:dyDescent="0.25">
      <c r="F25" t="s">
        <v>89</v>
      </c>
      <c r="G25" t="str">
        <f>IFERROR(VLOOKUP(MID(F25,SEARCH("(",F25,1)+1,7),CNPJS!A:B,2,0),"")</f>
        <v>29.332.398/0013-89</v>
      </c>
      <c r="H25" t="str">
        <f t="shared" si="2"/>
        <v>29.332.398/0013-89</v>
      </c>
      <c r="I25" t="str">
        <f t="shared" si="3"/>
        <v>56.216.872/0001-46</v>
      </c>
    </row>
    <row r="26" spans="6:9" x14ac:dyDescent="0.25">
      <c r="F26" t="s">
        <v>90</v>
      </c>
      <c r="G26" t="str">
        <f>IFERROR(VLOOKUP(MID(F26,SEARCH("(",F26,1)+1,7),CNPJS!A:B,2,0),"")</f>
        <v/>
      </c>
      <c r="H26" t="str">
        <f t="shared" si="2"/>
        <v/>
      </c>
      <c r="I26" t="str">
        <f t="shared" si="3"/>
        <v>56.216.872/0001-46</v>
      </c>
    </row>
    <row r="27" spans="6:9" x14ac:dyDescent="0.25">
      <c r="F27" t="s">
        <v>91</v>
      </c>
      <c r="G27" t="str">
        <f>IFERROR(VLOOKUP(MID(F27,SEARCH("(",F27,1)+1,7),CNPJS!A:B,2,0),"")</f>
        <v/>
      </c>
      <c r="H27" t="str">
        <f t="shared" si="2"/>
        <v/>
      </c>
      <c r="I27" t="str">
        <f t="shared" si="3"/>
        <v>56.216.872/0001-46</v>
      </c>
    </row>
    <row r="28" spans="6:9" x14ac:dyDescent="0.25">
      <c r="F28" t="s">
        <v>92</v>
      </c>
      <c r="G28" t="str">
        <f>IFERROR(VLOOKUP(MID(F28,SEARCH("(",F28,1)+1,7),CNPJS!A:B,2,0),"")</f>
        <v/>
      </c>
      <c r="H28" t="str">
        <f t="shared" si="2"/>
        <v/>
      </c>
      <c r="I28" t="str">
        <f t="shared" si="3"/>
        <v>56.216.872/0001-46</v>
      </c>
    </row>
    <row r="29" spans="6:9" x14ac:dyDescent="0.25">
      <c r="F29" t="s">
        <v>93</v>
      </c>
      <c r="G29" t="str">
        <f>IFERROR(VLOOKUP(MID(F29,SEARCH("(",F29,1)+1,7),CNPJS!A:B,2,0),"")</f>
        <v/>
      </c>
      <c r="H29" t="str">
        <f t="shared" si="2"/>
        <v/>
      </c>
      <c r="I29" t="str">
        <f t="shared" si="3"/>
        <v>56.216.872/0001-46</v>
      </c>
    </row>
    <row r="30" spans="6:9" x14ac:dyDescent="0.25">
      <c r="F30" t="s">
        <v>94</v>
      </c>
      <c r="G30" t="str">
        <f>IFERROR(VLOOKUP(MID(F30,SEARCH("(",F30,1)+1,7),CNPJS!A:B,2,0),"")</f>
        <v/>
      </c>
      <c r="H30" t="str">
        <f t="shared" si="2"/>
        <v/>
      </c>
      <c r="I30" t="str">
        <f t="shared" si="3"/>
        <v>56.216.872/0001-46</v>
      </c>
    </row>
    <row r="31" spans="6:9" x14ac:dyDescent="0.25">
      <c r="F31" t="s">
        <v>95</v>
      </c>
      <c r="G31" t="str">
        <f>IFERROR(VLOOKUP(MID(F31,SEARCH("(",F31,1)+1,7),CNPJS!A:B,2,0),"")</f>
        <v/>
      </c>
      <c r="H31" t="str">
        <f t="shared" si="2"/>
        <v/>
      </c>
      <c r="I31" t="str">
        <f t="shared" si="3"/>
        <v>56.216.872/0001-46</v>
      </c>
    </row>
    <row r="32" spans="6:9" x14ac:dyDescent="0.25">
      <c r="F32" t="s">
        <v>96</v>
      </c>
      <c r="G32" t="str">
        <f>IFERROR(VLOOKUP(MID(F32,SEARCH("(",F32,1)+1,7),CNPJS!A:B,2,0),"")</f>
        <v/>
      </c>
      <c r="H32" t="str">
        <f t="shared" si="2"/>
        <v/>
      </c>
      <c r="I32" t="str">
        <f t="shared" si="3"/>
        <v>56.216.872/0001-46</v>
      </c>
    </row>
    <row r="33" spans="6:9" x14ac:dyDescent="0.25">
      <c r="F33" t="s">
        <v>97</v>
      </c>
      <c r="G33" t="str">
        <f>IFERROR(VLOOKUP(MID(F33,SEARCH("(",F33,1)+1,7),CNPJS!A:B,2,0),"")</f>
        <v/>
      </c>
      <c r="H33" t="str">
        <f t="shared" si="2"/>
        <v/>
      </c>
      <c r="I33" t="str">
        <f t="shared" si="3"/>
        <v>56.216.872/0001-46</v>
      </c>
    </row>
    <row r="34" spans="6:9" x14ac:dyDescent="0.25">
      <c r="F34" t="s">
        <v>98</v>
      </c>
      <c r="G34" t="str">
        <f>IFERROR(VLOOKUP(MID(F34,SEARCH("(",F34,1)+1,7),CNPJS!A:B,2,0),"")</f>
        <v/>
      </c>
      <c r="H34" t="str">
        <f t="shared" si="2"/>
        <v/>
      </c>
      <c r="I34" t="str">
        <f t="shared" si="3"/>
        <v>56.216.872/0001-46</v>
      </c>
    </row>
    <row r="35" spans="6:9" x14ac:dyDescent="0.25">
      <c r="F35" t="s">
        <v>99</v>
      </c>
      <c r="G35" t="str">
        <f>IFERROR(VLOOKUP(MID(F35,SEARCH("(",F35,1)+1,7),CNPJS!A:B,2,0),"")</f>
        <v/>
      </c>
      <c r="H35" t="str">
        <f t="shared" si="2"/>
        <v/>
      </c>
      <c r="I35" t="str">
        <f t="shared" si="3"/>
        <v>56.216.872/0001-46</v>
      </c>
    </row>
    <row r="36" spans="6:9" x14ac:dyDescent="0.25">
      <c r="F36" t="s">
        <v>100</v>
      </c>
      <c r="G36" t="str">
        <f>IFERROR(VLOOKUP(MID(F36,SEARCH("(",F36,1)+1,7),CNPJS!A:B,2,0),"")</f>
        <v/>
      </c>
      <c r="H36" t="str">
        <f t="shared" si="2"/>
        <v/>
      </c>
      <c r="I36" t="str">
        <f t="shared" si="3"/>
        <v>56.216.872/0001-46</v>
      </c>
    </row>
    <row r="37" spans="6:9" x14ac:dyDescent="0.25">
      <c r="F37" t="s">
        <v>101</v>
      </c>
      <c r="G37" t="str">
        <f>IFERROR(VLOOKUP(MID(F37,SEARCH("(",F37,1)+1,7),CNPJS!A:B,2,0),"")</f>
        <v/>
      </c>
      <c r="H37" t="str">
        <f t="shared" si="2"/>
        <v/>
      </c>
      <c r="I37" t="str">
        <f t="shared" si="3"/>
        <v>56.216.872/0001-46</v>
      </c>
    </row>
    <row r="38" spans="6:9" x14ac:dyDescent="0.25">
      <c r="F38" t="s">
        <v>102</v>
      </c>
      <c r="G38" t="str">
        <f>IFERROR(VLOOKUP(MID(F38,SEARCH("(",F38,1)+1,7),CNPJS!A:B,2,0),"")</f>
        <v/>
      </c>
      <c r="H38" t="str">
        <f t="shared" si="2"/>
        <v/>
      </c>
      <c r="I38" t="str">
        <f t="shared" si="3"/>
        <v>56.216.872/0001-46</v>
      </c>
    </row>
    <row r="39" spans="6:9" x14ac:dyDescent="0.25">
      <c r="F39" t="s">
        <v>103</v>
      </c>
      <c r="G39" t="str">
        <f>IFERROR(VLOOKUP(MID(F39,SEARCH("(",F39,1)+1,7),CNPJS!A:B,2,0),"")</f>
        <v/>
      </c>
      <c r="H39" t="str">
        <f t="shared" si="2"/>
        <v/>
      </c>
      <c r="I39" t="str">
        <f t="shared" si="3"/>
        <v>56.216.872/0001-46</v>
      </c>
    </row>
    <row r="40" spans="6:9" x14ac:dyDescent="0.25">
      <c r="F40" t="s">
        <v>104</v>
      </c>
      <c r="G40" t="str">
        <f>IFERROR(VLOOKUP(MID(F40,SEARCH("(",F40,1)+1,7),CNPJS!A:B,2,0),"")</f>
        <v/>
      </c>
      <c r="H40" t="str">
        <f t="shared" si="2"/>
        <v/>
      </c>
      <c r="I40" t="str">
        <f t="shared" si="3"/>
        <v>56.216.872/0001-46</v>
      </c>
    </row>
    <row r="41" spans="6:9" x14ac:dyDescent="0.25">
      <c r="F41" t="s">
        <v>105</v>
      </c>
      <c r="G41" t="str">
        <f>IFERROR(VLOOKUP(MID(F41,SEARCH("(",F41,1)+1,7),CNPJS!A:B,2,0),"")</f>
        <v/>
      </c>
      <c r="H41" t="str">
        <f t="shared" si="2"/>
        <v/>
      </c>
      <c r="I41" t="str">
        <f t="shared" si="3"/>
        <v>56.216.872/0001-46</v>
      </c>
    </row>
    <row r="42" spans="6:9" x14ac:dyDescent="0.25">
      <c r="F42" t="s">
        <v>106</v>
      </c>
      <c r="G42" t="str">
        <f>IFERROR(VLOOKUP(MID(F42,SEARCH("(",F42,1)+1,7),CNPJS!A:B,2,0),"")</f>
        <v/>
      </c>
      <c r="H42" t="str">
        <f t="shared" si="2"/>
        <v/>
      </c>
      <c r="I42" t="str">
        <f t="shared" si="3"/>
        <v>56.216.872/0001-46</v>
      </c>
    </row>
    <row r="43" spans="6:9" x14ac:dyDescent="0.25">
      <c r="F43" t="s">
        <v>107</v>
      </c>
      <c r="G43" t="str">
        <f>IFERROR(VLOOKUP(MID(F43,SEARCH("(",F43,1)+1,7),CNPJS!A:B,2,0),"")</f>
        <v/>
      </c>
      <c r="H43" t="str">
        <f t="shared" si="2"/>
        <v/>
      </c>
      <c r="I43" t="str">
        <f t="shared" si="3"/>
        <v>56.216.872/0001-46</v>
      </c>
    </row>
    <row r="44" spans="6:9" x14ac:dyDescent="0.25">
      <c r="F44" t="s">
        <v>108</v>
      </c>
      <c r="G44" t="str">
        <f>IFERROR(VLOOKUP(MID(F44,SEARCH("(",F44,1)+1,7),CNPJS!A:B,2,0),"")</f>
        <v/>
      </c>
      <c r="H44" t="str">
        <f t="shared" si="2"/>
        <v/>
      </c>
      <c r="I44" t="str">
        <f t="shared" si="3"/>
        <v>56.216.872/0001-46</v>
      </c>
    </row>
    <row r="45" spans="6:9" x14ac:dyDescent="0.25">
      <c r="F45" t="s">
        <v>109</v>
      </c>
      <c r="G45" t="str">
        <f>IFERROR(VLOOKUP(MID(F45,SEARCH("(",F45,1)+1,7),CNPJS!A:B,2,0),"")</f>
        <v/>
      </c>
      <c r="H45" t="str">
        <f t="shared" si="2"/>
        <v/>
      </c>
      <c r="I45" t="str">
        <f t="shared" si="3"/>
        <v>56.216.872/0001-46</v>
      </c>
    </row>
    <row r="46" spans="6:9" x14ac:dyDescent="0.25">
      <c r="F46" t="s">
        <v>110</v>
      </c>
      <c r="G46" t="str">
        <f>IFERROR(VLOOKUP(MID(F46,SEARCH("(",F46,1)+1,7),CNPJS!A:B,2,0),"")</f>
        <v/>
      </c>
      <c r="H46" t="str">
        <f t="shared" si="2"/>
        <v/>
      </c>
      <c r="I46" t="str">
        <f t="shared" si="3"/>
        <v>56.216.872/0001-46</v>
      </c>
    </row>
    <row r="47" spans="6:9" x14ac:dyDescent="0.25">
      <c r="F47" t="s">
        <v>111</v>
      </c>
      <c r="G47" t="str">
        <f>IFERROR(VLOOKUP(MID(F47,SEARCH("(",F47,1)+1,7),CNPJS!A:B,2,0),"")</f>
        <v/>
      </c>
      <c r="H47" t="str">
        <f t="shared" ref="H47:H53" si="4">G47</f>
        <v/>
      </c>
      <c r="I47" t="str">
        <f t="shared" ref="I47:I53" si="5">IFERROR(VLOOKUP($M$1,J:K,2,0),"")</f>
        <v>56.216.872/0001-46</v>
      </c>
    </row>
    <row r="48" spans="6:9" x14ac:dyDescent="0.25">
      <c r="F48" t="s">
        <v>112</v>
      </c>
      <c r="G48" t="str">
        <f>IFERROR(VLOOKUP(MID(F48,SEARCH("(",F48,1)+1,7),CNPJS!A:B,2,0),"")</f>
        <v/>
      </c>
      <c r="H48" t="str">
        <f t="shared" si="4"/>
        <v/>
      </c>
      <c r="I48" t="str">
        <f t="shared" si="5"/>
        <v>56.216.872/0001-46</v>
      </c>
    </row>
    <row r="49" spans="6:9" x14ac:dyDescent="0.25">
      <c r="F49" t="s">
        <v>114</v>
      </c>
      <c r="G49" t="str">
        <f>IFERROR(VLOOKUP(MID(F49,SEARCH("(",F49,1)+1,7),CNPJS!A:B,2,0),"")</f>
        <v/>
      </c>
      <c r="H49" t="str">
        <f t="shared" si="4"/>
        <v/>
      </c>
      <c r="I49" t="str">
        <f t="shared" si="5"/>
        <v>56.216.872/0001-46</v>
      </c>
    </row>
    <row r="50" spans="6:9" x14ac:dyDescent="0.25">
      <c r="F50" t="s">
        <v>115</v>
      </c>
      <c r="G50" t="str">
        <f>IFERROR(VLOOKUP(MID(F50,SEARCH("(",F50,1)+1,7),CNPJS!A:B,2,0),"")</f>
        <v>06.315.338/0181-66</v>
      </c>
      <c r="H50" t="str">
        <f t="shared" si="4"/>
        <v>06.315.338/0181-66</v>
      </c>
      <c r="I50" t="str">
        <f t="shared" si="5"/>
        <v>56.216.872/0001-46</v>
      </c>
    </row>
    <row r="51" spans="6:9" x14ac:dyDescent="0.25">
      <c r="F51" t="s">
        <v>116</v>
      </c>
      <c r="G51" t="str">
        <f>IFERROR(VLOOKUP(MID(F51,SEARCH("(",F51,1)+1,7),CNPJS!A:B,2,0),"")</f>
        <v>29.332.398/0004-98</v>
      </c>
      <c r="H51" t="str">
        <f t="shared" si="4"/>
        <v>29.332.398/0004-98</v>
      </c>
      <c r="I51" t="str">
        <f t="shared" si="5"/>
        <v>56.216.872/0001-46</v>
      </c>
    </row>
    <row r="52" spans="6:9" x14ac:dyDescent="0.25">
      <c r="F52" t="s">
        <v>117</v>
      </c>
      <c r="G52" t="str">
        <f>IFERROR(VLOOKUP(MID(F52,SEARCH("(",F52,1)+1,7),CNPJS!A:B,2,0),"")</f>
        <v/>
      </c>
      <c r="H52" t="str">
        <f t="shared" si="4"/>
        <v/>
      </c>
      <c r="I52" t="str">
        <f t="shared" si="5"/>
        <v>56.216.872/0001-46</v>
      </c>
    </row>
    <row r="53" spans="6:9" x14ac:dyDescent="0.25">
      <c r="F53" t="s">
        <v>118</v>
      </c>
      <c r="G53" t="str">
        <f>IFERROR(VLOOKUP(MID(F53,SEARCH("(",F53,1)+1,7),CNPJS!A:B,2,0),"")</f>
        <v/>
      </c>
      <c r="H53" t="str">
        <f t="shared" si="4"/>
        <v/>
      </c>
      <c r="I53" t="str">
        <f t="shared" si="5"/>
        <v>56.216.872/0001-46</v>
      </c>
    </row>
    <row r="54" spans="6:9" x14ac:dyDescent="0.25">
      <c r="F54" t="s">
        <v>119</v>
      </c>
      <c r="G54" t="str">
        <f>IFERROR(VLOOKUP(MID(F54,SEARCH("(",F54,1)+1,7),CNPJS!A:B,2,0),"")</f>
        <v/>
      </c>
      <c r="H54" t="str">
        <f t="shared" ref="H54:H60" si="6">G54</f>
        <v/>
      </c>
      <c r="I54" t="str">
        <f t="shared" ref="I54:I60" si="7">IFERROR(VLOOKUP($M$1,J:K,2,0),"")</f>
        <v>56.216.872/0001-46</v>
      </c>
    </row>
    <row r="55" spans="6:9" x14ac:dyDescent="0.25">
      <c r="F55" t="s">
        <v>120</v>
      </c>
      <c r="G55" t="str">
        <f>IFERROR(VLOOKUP(MID(F55,SEARCH("(",F55,1)+1,7),CNPJS!A:B,2,0),"")</f>
        <v/>
      </c>
      <c r="H55" t="str">
        <f t="shared" si="6"/>
        <v/>
      </c>
      <c r="I55" t="str">
        <f t="shared" si="7"/>
        <v>56.216.872/0001-46</v>
      </c>
    </row>
    <row r="56" spans="6:9" x14ac:dyDescent="0.25">
      <c r="F56" t="s">
        <v>121</v>
      </c>
      <c r="G56" t="str">
        <f>IFERROR(VLOOKUP(MID(F56,SEARCH("(",F56,1)+1,7),CNPJS!A:B,2,0),"")</f>
        <v/>
      </c>
      <c r="H56" t="str">
        <f t="shared" si="6"/>
        <v/>
      </c>
      <c r="I56" t="str">
        <f t="shared" si="7"/>
        <v>56.216.872/0001-46</v>
      </c>
    </row>
    <row r="57" spans="6:9" x14ac:dyDescent="0.25">
      <c r="F57" t="s">
        <v>122</v>
      </c>
      <c r="G57" t="str">
        <f>IFERROR(VLOOKUP(MID(F57,SEARCH("(",F57,1)+1,7),CNPJS!A:B,2,0),"")</f>
        <v/>
      </c>
      <c r="H57" t="str">
        <f t="shared" si="6"/>
        <v/>
      </c>
      <c r="I57" t="str">
        <f t="shared" si="7"/>
        <v>56.216.872/0001-46</v>
      </c>
    </row>
    <row r="58" spans="6:9" x14ac:dyDescent="0.25">
      <c r="F58" t="s">
        <v>123</v>
      </c>
      <c r="G58" t="str">
        <f>IFERROR(VLOOKUP(MID(F58,SEARCH("(",F58,1)+1,7),CNPJS!A:B,2,0),"")</f>
        <v/>
      </c>
      <c r="H58" t="str">
        <f t="shared" si="6"/>
        <v/>
      </c>
      <c r="I58" t="str">
        <f t="shared" si="7"/>
        <v>56.216.872/0001-46</v>
      </c>
    </row>
    <row r="59" spans="6:9" x14ac:dyDescent="0.25">
      <c r="F59" t="s">
        <v>124</v>
      </c>
      <c r="G59" t="str">
        <f>IFERROR(VLOOKUP(MID(F59,SEARCH("(",F59,1)+1,7),CNPJS!A:B,2,0),"")</f>
        <v/>
      </c>
      <c r="H59" t="str">
        <f t="shared" si="6"/>
        <v/>
      </c>
      <c r="I59" t="str">
        <f t="shared" si="7"/>
        <v>56.216.872/0001-46</v>
      </c>
    </row>
    <row r="60" spans="6:9" x14ac:dyDescent="0.25">
      <c r="F60" t="s">
        <v>125</v>
      </c>
      <c r="G60" t="str">
        <f>IFERROR(VLOOKUP(MID(F60,SEARCH("(",F60,1)+1,7),CNPJS!A:B,2,0),"")</f>
        <v/>
      </c>
      <c r="H60" t="str">
        <f t="shared" si="6"/>
        <v/>
      </c>
      <c r="I60" t="str">
        <f t="shared" si="7"/>
        <v>56.216.872/0001-46</v>
      </c>
    </row>
    <row r="61" spans="6:9" x14ac:dyDescent="0.25">
      <c r="F61" t="s">
        <v>126</v>
      </c>
      <c r="G61" t="str">
        <f>IFERROR(VLOOKUP(MID(F61,SEARCH("(",F61,1)+1,7),CNPJS!A:B,2,0),"")</f>
        <v/>
      </c>
      <c r="H61" t="str">
        <f t="shared" ref="H61:H74" si="8">G61</f>
        <v/>
      </c>
      <c r="I61" t="str">
        <f t="shared" ref="I61:I74" si="9">IFERROR(VLOOKUP($M$1,J:K,2,0),"")</f>
        <v>56.216.872/0001-46</v>
      </c>
    </row>
    <row r="62" spans="6:9" x14ac:dyDescent="0.25">
      <c r="F62" t="s">
        <v>127</v>
      </c>
      <c r="G62" t="str">
        <f>IFERROR(VLOOKUP(MID(F62,SEARCH("(",F62,1)+1,7),CNPJS!A:B,2,0),"")</f>
        <v/>
      </c>
      <c r="H62" t="str">
        <f t="shared" si="8"/>
        <v/>
      </c>
      <c r="I62" t="str">
        <f t="shared" si="9"/>
        <v>56.216.872/0001-46</v>
      </c>
    </row>
    <row r="63" spans="6:9" x14ac:dyDescent="0.25">
      <c r="F63" t="s">
        <v>128</v>
      </c>
      <c r="G63" t="str">
        <f>IFERROR(VLOOKUP(MID(F63,SEARCH("(",F63,1)+1,7),CNPJS!A:B,2,0),"")</f>
        <v/>
      </c>
      <c r="H63" t="str">
        <f t="shared" si="8"/>
        <v/>
      </c>
      <c r="I63" t="str">
        <f t="shared" si="9"/>
        <v>56.216.872/0001-46</v>
      </c>
    </row>
    <row r="64" spans="6:9" x14ac:dyDescent="0.25">
      <c r="F64" t="s">
        <v>129</v>
      </c>
      <c r="G64" t="str">
        <f>IFERROR(VLOOKUP(MID(F64,SEARCH("(",F64,1)+1,7),CNPJS!A:B,2,0),"")</f>
        <v/>
      </c>
      <c r="H64" t="str">
        <f t="shared" si="8"/>
        <v/>
      </c>
      <c r="I64" t="str">
        <f t="shared" si="9"/>
        <v>56.216.872/0001-46</v>
      </c>
    </row>
    <row r="65" spans="6:9" x14ac:dyDescent="0.25">
      <c r="F65" t="s">
        <v>130</v>
      </c>
      <c r="G65" t="str">
        <f>IFERROR(VLOOKUP(MID(F65,SEARCH("(",F65,1)+1,7),CNPJS!A:B,2,0),"")</f>
        <v/>
      </c>
      <c r="H65" t="str">
        <f t="shared" si="8"/>
        <v/>
      </c>
      <c r="I65" t="str">
        <f t="shared" si="9"/>
        <v>56.216.872/0001-46</v>
      </c>
    </row>
    <row r="66" spans="6:9" x14ac:dyDescent="0.25">
      <c r="F66" t="s">
        <v>131</v>
      </c>
      <c r="G66" t="str">
        <f>IFERROR(VLOOKUP(MID(F66,SEARCH("(",F66,1)+1,7),CNPJS!A:B,2,0),"")</f>
        <v/>
      </c>
      <c r="H66" t="str">
        <f t="shared" si="8"/>
        <v/>
      </c>
      <c r="I66" t="str">
        <f t="shared" si="9"/>
        <v>56.216.872/0001-46</v>
      </c>
    </row>
    <row r="67" spans="6:9" x14ac:dyDescent="0.25">
      <c r="F67" t="s">
        <v>132</v>
      </c>
      <c r="G67" t="str">
        <f>IFERROR(VLOOKUP(MID(F67,SEARCH("(",F67,1)+1,7),CNPJS!A:B,2,0),"")</f>
        <v/>
      </c>
      <c r="H67" t="str">
        <f t="shared" si="8"/>
        <v/>
      </c>
      <c r="I67" t="str">
        <f t="shared" si="9"/>
        <v>56.216.872/0001-46</v>
      </c>
    </row>
    <row r="68" spans="6:9" x14ac:dyDescent="0.25">
      <c r="F68" t="s">
        <v>133</v>
      </c>
      <c r="G68" t="str">
        <f>IFERROR(VLOOKUP(MID(F68,SEARCH("(",F68,1)+1,7),CNPJS!A:B,2,0),"")</f>
        <v/>
      </c>
      <c r="H68" t="str">
        <f t="shared" si="8"/>
        <v/>
      </c>
      <c r="I68" t="str">
        <f t="shared" si="9"/>
        <v>56.216.872/0001-46</v>
      </c>
    </row>
    <row r="69" spans="6:9" x14ac:dyDescent="0.25">
      <c r="F69" t="s">
        <v>134</v>
      </c>
      <c r="G69" t="str">
        <f>IFERROR(VLOOKUP(MID(F69,SEARCH("(",F69,1)+1,7),CNPJS!A:B,2,0),"")</f>
        <v/>
      </c>
      <c r="H69" t="str">
        <f t="shared" si="8"/>
        <v/>
      </c>
      <c r="I69" t="str">
        <f t="shared" si="9"/>
        <v>56.216.872/0001-46</v>
      </c>
    </row>
    <row r="70" spans="6:9" x14ac:dyDescent="0.25">
      <c r="F70" t="s">
        <v>135</v>
      </c>
      <c r="G70" t="str">
        <f>IFERROR(VLOOKUP(MID(F70,SEARCH("(",F70,1)+1,7),CNPJS!A:B,2,0),"")</f>
        <v/>
      </c>
      <c r="H70" t="str">
        <f t="shared" si="8"/>
        <v/>
      </c>
      <c r="I70" t="str">
        <f t="shared" si="9"/>
        <v>56.216.872/0001-46</v>
      </c>
    </row>
    <row r="71" spans="6:9" x14ac:dyDescent="0.25">
      <c r="F71" t="s">
        <v>136</v>
      </c>
      <c r="G71" t="str">
        <f>IFERROR(VLOOKUP(MID(F71,SEARCH("(",F71,1)+1,7),CNPJS!A:B,2,0),"")</f>
        <v/>
      </c>
      <c r="H71" t="str">
        <f t="shared" si="8"/>
        <v/>
      </c>
      <c r="I71" t="str">
        <f t="shared" si="9"/>
        <v>56.216.872/0001-46</v>
      </c>
    </row>
    <row r="72" spans="6:9" x14ac:dyDescent="0.25">
      <c r="F72" t="s">
        <v>137</v>
      </c>
      <c r="G72" t="str">
        <f>IFERROR(VLOOKUP(MID(F72,SEARCH("(",F72,1)+1,7),CNPJS!A:B,2,0),"")</f>
        <v/>
      </c>
      <c r="H72" t="str">
        <f t="shared" si="8"/>
        <v/>
      </c>
      <c r="I72" t="str">
        <f t="shared" si="9"/>
        <v>56.216.872/0001-46</v>
      </c>
    </row>
    <row r="73" spans="6:9" x14ac:dyDescent="0.25">
      <c r="F73" t="s">
        <v>138</v>
      </c>
      <c r="G73" t="str">
        <f>IFERROR(VLOOKUP(MID(F73,SEARCH("(",F73,1)+1,7),CNPJS!A:B,2,0),"")</f>
        <v/>
      </c>
      <c r="H73" t="str">
        <f t="shared" si="8"/>
        <v/>
      </c>
      <c r="I73" t="str">
        <f t="shared" si="9"/>
        <v>56.216.872/0001-46</v>
      </c>
    </row>
    <row r="74" spans="6:9" x14ac:dyDescent="0.25">
      <c r="F74" t="s">
        <v>139</v>
      </c>
      <c r="G74" t="str">
        <f>IFERROR(VLOOKUP(MID(F74,SEARCH("(",F74,1)+1,7),CNPJS!A:B,2,0),"")</f>
        <v/>
      </c>
      <c r="H74" t="str">
        <f t="shared" si="8"/>
        <v/>
      </c>
      <c r="I74" t="str">
        <f t="shared" si="9"/>
        <v>56.216.872/0001-46</v>
      </c>
    </row>
    <row r="75" spans="6:9" x14ac:dyDescent="0.25">
      <c r="F75" t="s">
        <v>140</v>
      </c>
      <c r="G75" t="str">
        <f>IFERROR(VLOOKUP(MID(F75,SEARCH("(",F75,1)+1,7),CNPJS!A:B,2,0),"")</f>
        <v/>
      </c>
      <c r="H75" t="str">
        <f t="shared" ref="H75:H85" si="10">G75</f>
        <v/>
      </c>
      <c r="I75" t="str">
        <f t="shared" ref="I75:I85" si="11">IFERROR(VLOOKUP($M$1,J:K,2,0),"")</f>
        <v>56.216.872/0001-46</v>
      </c>
    </row>
    <row r="76" spans="6:9" x14ac:dyDescent="0.25">
      <c r="F76" t="s">
        <v>141</v>
      </c>
      <c r="G76" t="str">
        <f>IFERROR(VLOOKUP(MID(F76,SEARCH("(",F76,1)+1,7),CNPJS!A:B,2,0),"")</f>
        <v/>
      </c>
      <c r="H76" t="str">
        <f t="shared" si="10"/>
        <v/>
      </c>
      <c r="I76" t="str">
        <f t="shared" si="11"/>
        <v>56.216.872/0001-46</v>
      </c>
    </row>
    <row r="77" spans="6:9" x14ac:dyDescent="0.25">
      <c r="F77" t="s">
        <v>142</v>
      </c>
      <c r="G77" t="str">
        <f>IFERROR(VLOOKUP(MID(F77,SEARCH("(",F77,1)+1,7),CNPJS!A:B,2,0),"")</f>
        <v/>
      </c>
      <c r="H77" t="str">
        <f t="shared" si="10"/>
        <v/>
      </c>
      <c r="I77" t="str">
        <f t="shared" si="11"/>
        <v>56.216.872/0001-46</v>
      </c>
    </row>
    <row r="78" spans="6:9" x14ac:dyDescent="0.25">
      <c r="F78" t="s">
        <v>143</v>
      </c>
      <c r="G78" t="str">
        <f>IFERROR(VLOOKUP(MID(F78,SEARCH("(",F78,1)+1,7),CNPJS!A:B,2,0),"")</f>
        <v/>
      </c>
      <c r="H78" t="str">
        <f t="shared" si="10"/>
        <v/>
      </c>
      <c r="I78" t="str">
        <f t="shared" si="11"/>
        <v>56.216.872/0001-46</v>
      </c>
    </row>
    <row r="79" spans="6:9" x14ac:dyDescent="0.25">
      <c r="F79" t="s">
        <v>144</v>
      </c>
      <c r="G79" t="str">
        <f>IFERROR(VLOOKUP(MID(F79,SEARCH("(",F79,1)+1,7),CNPJS!A:B,2,0),"")</f>
        <v/>
      </c>
      <c r="H79" t="str">
        <f t="shared" si="10"/>
        <v/>
      </c>
      <c r="I79" t="str">
        <f t="shared" si="11"/>
        <v>56.216.872/0001-46</v>
      </c>
    </row>
    <row r="80" spans="6:9" x14ac:dyDescent="0.25">
      <c r="F80" t="s">
        <v>145</v>
      </c>
      <c r="G80" t="str">
        <f>IFERROR(VLOOKUP(MID(F80,SEARCH("(",F80,1)+1,7),CNPJS!A:B,2,0),"")</f>
        <v/>
      </c>
      <c r="H80" t="str">
        <f t="shared" si="10"/>
        <v/>
      </c>
      <c r="I80" t="str">
        <f t="shared" si="11"/>
        <v>56.216.872/0001-46</v>
      </c>
    </row>
    <row r="81" spans="6:9" x14ac:dyDescent="0.25">
      <c r="F81" t="s">
        <v>146</v>
      </c>
      <c r="G81" t="str">
        <f>IFERROR(VLOOKUP(MID(F81,SEARCH("(",F81,1)+1,7),CNPJS!A:B,2,0),"")</f>
        <v/>
      </c>
      <c r="H81" t="str">
        <f t="shared" si="10"/>
        <v/>
      </c>
      <c r="I81" t="str">
        <f t="shared" si="11"/>
        <v>56.216.872/0001-46</v>
      </c>
    </row>
    <row r="82" spans="6:9" x14ac:dyDescent="0.25">
      <c r="F82" t="s">
        <v>147</v>
      </c>
      <c r="G82" t="str">
        <f>IFERROR(VLOOKUP(MID(F82,SEARCH("(",F82,1)+1,7),CNPJS!A:B,2,0),"")</f>
        <v/>
      </c>
      <c r="H82" t="str">
        <f t="shared" si="10"/>
        <v/>
      </c>
      <c r="I82" t="str">
        <f t="shared" si="11"/>
        <v>56.216.872/0001-46</v>
      </c>
    </row>
    <row r="83" spans="6:9" x14ac:dyDescent="0.25">
      <c r="F83" t="s">
        <v>148</v>
      </c>
      <c r="G83" t="str">
        <f>IFERROR(VLOOKUP(MID(F83,SEARCH("(",F83,1)+1,7),CNPJS!A:B,2,0),"")</f>
        <v>06.315.338/0050-05</v>
      </c>
      <c r="H83" t="str">
        <f t="shared" si="10"/>
        <v>06.315.338/0050-05</v>
      </c>
      <c r="I83" t="str">
        <f t="shared" si="11"/>
        <v>56.216.872/0001-46</v>
      </c>
    </row>
    <row r="84" spans="6:9" x14ac:dyDescent="0.25">
      <c r="F84" t="s">
        <v>149</v>
      </c>
      <c r="G84" t="str">
        <f>IFERROR(VLOOKUP(MID(F84,SEARCH("(",F84,1)+1,7),CNPJS!A:B,2,0),"")</f>
        <v>06.315.338/0184-09</v>
      </c>
      <c r="H84" t="str">
        <f t="shared" si="10"/>
        <v>06.315.338/0184-09</v>
      </c>
      <c r="I84" t="str">
        <f t="shared" si="11"/>
        <v>56.216.872/0001-46</v>
      </c>
    </row>
    <row r="85" spans="6:9" x14ac:dyDescent="0.25">
      <c r="F85" t="s">
        <v>150</v>
      </c>
      <c r="G85" t="str">
        <f>IFERROR(VLOOKUP(MID(F85,SEARCH("(",F85,1)+1,7),CNPJS!A:B,2,0),"")</f>
        <v/>
      </c>
      <c r="H85" t="str">
        <f t="shared" si="10"/>
        <v/>
      </c>
      <c r="I85" t="str">
        <f t="shared" si="11"/>
        <v>56.216.872/0001-46</v>
      </c>
    </row>
    <row r="86" spans="6:9" x14ac:dyDescent="0.25">
      <c r="F86" t="s">
        <v>151</v>
      </c>
      <c r="G86" t="str">
        <f>IFERROR(VLOOKUP(MID(F86,SEARCH("(",F86,1)+1,7),CNPJS!A:B,2,0),"")</f>
        <v/>
      </c>
      <c r="H86" t="str">
        <f t="shared" ref="H86:H92" si="12">G86</f>
        <v/>
      </c>
      <c r="I86" t="str">
        <f t="shared" ref="I86:I92" si="13">IFERROR(VLOOKUP($M$1,J:K,2,0),"")</f>
        <v>56.216.872/0001-46</v>
      </c>
    </row>
    <row r="87" spans="6:9" x14ac:dyDescent="0.25">
      <c r="F87" t="s">
        <v>152</v>
      </c>
      <c r="G87" t="str">
        <f>IFERROR(VLOOKUP(MID(F87,SEARCH("(",F87,1)+1,7),CNPJS!A:B,2,0),"")</f>
        <v/>
      </c>
      <c r="H87" t="str">
        <f t="shared" si="12"/>
        <v/>
      </c>
      <c r="I87" t="str">
        <f t="shared" si="13"/>
        <v>56.216.872/0001-46</v>
      </c>
    </row>
    <row r="88" spans="6:9" x14ac:dyDescent="0.25">
      <c r="F88" t="s">
        <v>153</v>
      </c>
      <c r="G88" t="str">
        <f>IFERROR(VLOOKUP(MID(F88,SEARCH("(",F88,1)+1,7),CNPJS!A:B,2,0),"")</f>
        <v/>
      </c>
      <c r="H88" t="str">
        <f t="shared" si="12"/>
        <v/>
      </c>
      <c r="I88" t="str">
        <f t="shared" si="13"/>
        <v>56.216.872/0001-46</v>
      </c>
    </row>
    <row r="89" spans="6:9" x14ac:dyDescent="0.25">
      <c r="F89" t="s">
        <v>154</v>
      </c>
      <c r="G89" t="str">
        <f>IFERROR(VLOOKUP(MID(F89,SEARCH("(",F89,1)+1,7),CNPJS!A:B,2,0),"")</f>
        <v/>
      </c>
      <c r="H89" t="str">
        <f t="shared" si="12"/>
        <v/>
      </c>
      <c r="I89" t="str">
        <f t="shared" si="13"/>
        <v>56.216.872/0001-46</v>
      </c>
    </row>
    <row r="90" spans="6:9" x14ac:dyDescent="0.25">
      <c r="F90" t="s">
        <v>155</v>
      </c>
      <c r="G90" t="str">
        <f>IFERROR(VLOOKUP(MID(F90,SEARCH("(",F90,1)+1,7),CNPJS!A:B,2,0),"")</f>
        <v/>
      </c>
      <c r="H90" t="str">
        <f t="shared" si="12"/>
        <v/>
      </c>
      <c r="I90" t="str">
        <f t="shared" si="13"/>
        <v>56.216.872/0001-46</v>
      </c>
    </row>
    <row r="91" spans="6:9" x14ac:dyDescent="0.25">
      <c r="F91" t="s">
        <v>156</v>
      </c>
      <c r="G91" t="str">
        <f>IFERROR(VLOOKUP(MID(F91,SEARCH("(",F91,1)+1,7),CNPJS!A:B,2,0),"")</f>
        <v/>
      </c>
      <c r="H91" t="str">
        <f t="shared" si="12"/>
        <v/>
      </c>
      <c r="I91" t="str">
        <f t="shared" si="13"/>
        <v>56.216.872/0001-46</v>
      </c>
    </row>
    <row r="92" spans="6:9" x14ac:dyDescent="0.25">
      <c r="F92" t="s">
        <v>157</v>
      </c>
      <c r="G92" t="str">
        <f>IFERROR(VLOOKUP(MID(F92,SEARCH("(",F92,1)+1,7),CNPJS!A:B,2,0),"")</f>
        <v>29.332.398/0002-26</v>
      </c>
      <c r="H92" t="str">
        <f t="shared" si="12"/>
        <v>29.332.398/0002-26</v>
      </c>
      <c r="I92" t="str">
        <f t="shared" si="13"/>
        <v>56.216.872/0001-46</v>
      </c>
    </row>
    <row r="93" spans="6:9" x14ac:dyDescent="0.25">
      <c r="F93" t="s">
        <v>158</v>
      </c>
      <c r="G93" t="str">
        <f>IFERROR(VLOOKUP(MID(F93,SEARCH("(",F93,1)+1,7),CNPJS!A:B,2,0),"")</f>
        <v/>
      </c>
      <c r="H93" t="str">
        <f t="shared" ref="H93:H98" si="14">G93</f>
        <v/>
      </c>
      <c r="I93" t="str">
        <f t="shared" ref="I93:I98" si="15">IFERROR(VLOOKUP($M$1,J:K,2,0),"")</f>
        <v>56.216.872/0001-46</v>
      </c>
    </row>
    <row r="94" spans="6:9" x14ac:dyDescent="0.25">
      <c r="F94" t="s">
        <v>160</v>
      </c>
      <c r="G94" t="str">
        <f>IFERROR(VLOOKUP(MID(F94,SEARCH("(",F94,1)+1,7),CNPJS!A:B,2,0),"")</f>
        <v/>
      </c>
      <c r="H94" t="str">
        <f t="shared" si="14"/>
        <v/>
      </c>
      <c r="I94" t="str">
        <f t="shared" si="15"/>
        <v>56.216.872/0001-46</v>
      </c>
    </row>
    <row r="95" spans="6:9" x14ac:dyDescent="0.25">
      <c r="F95" t="s">
        <v>161</v>
      </c>
      <c r="G95" t="str">
        <f>IFERROR(VLOOKUP(MID(F95,SEARCH("(",F95,1)+1,7),CNPJS!A:B,2,0),"")</f>
        <v/>
      </c>
      <c r="H95" t="str">
        <f t="shared" si="14"/>
        <v/>
      </c>
      <c r="I95" t="str">
        <f t="shared" si="15"/>
        <v>56.216.872/0001-46</v>
      </c>
    </row>
    <row r="96" spans="6:9" x14ac:dyDescent="0.25">
      <c r="F96" t="s">
        <v>162</v>
      </c>
      <c r="G96" t="str">
        <f>IFERROR(VLOOKUP(MID(F96,SEARCH("(",F96,1)+1,7),CNPJS!A:B,2,0),"")</f>
        <v>06.315.338/0001-19</v>
      </c>
      <c r="H96" t="str">
        <f t="shared" si="14"/>
        <v>06.315.338/0001-19</v>
      </c>
      <c r="I96" t="str">
        <f t="shared" si="15"/>
        <v>56.216.872/0001-46</v>
      </c>
    </row>
    <row r="97" spans="6:9" x14ac:dyDescent="0.25">
      <c r="F97" t="s">
        <v>163</v>
      </c>
      <c r="G97" t="str">
        <f>IFERROR(VLOOKUP(MID(F97,SEARCH("(",F97,1)+1,7),CNPJS!A:B,2,0),"")</f>
        <v>29.332.398/0003-07</v>
      </c>
      <c r="H97" t="str">
        <f t="shared" si="14"/>
        <v>29.332.398/0003-07</v>
      </c>
      <c r="I97" t="str">
        <f t="shared" si="15"/>
        <v>56.216.872/0001-46</v>
      </c>
    </row>
    <row r="98" spans="6:9" x14ac:dyDescent="0.25">
      <c r="F98" t="s">
        <v>164</v>
      </c>
      <c r="G98" t="str">
        <f>IFERROR(VLOOKUP(MID(F98,SEARCH("(",F98,1)+1,7),CNPJS!A:B,2,0),"")</f>
        <v>06.315.338/0031-34</v>
      </c>
      <c r="H98" t="str">
        <f t="shared" si="14"/>
        <v>06.315.338/0031-34</v>
      </c>
      <c r="I98" t="str">
        <f t="shared" si="15"/>
        <v>56.216.872/0001-46</v>
      </c>
    </row>
    <row r="99" spans="6:9" x14ac:dyDescent="0.25">
      <c r="F99" t="s">
        <v>165</v>
      </c>
      <c r="G99" t="str">
        <f>IFERROR(VLOOKUP(MID(F99,SEARCH("(",F99,1)+1,7),CNPJS!A:B,2,0),"")</f>
        <v>06.315.338/0206-59</v>
      </c>
      <c r="H99" t="str">
        <f t="shared" ref="H99:H108" si="16">G99</f>
        <v>06.315.338/0206-59</v>
      </c>
      <c r="I99" t="str">
        <f t="shared" ref="I99:I108" si="17">IFERROR(VLOOKUP($M$1,J:K,2,0),"")</f>
        <v>56.216.872/0001-46</v>
      </c>
    </row>
    <row r="100" spans="6:9" x14ac:dyDescent="0.25">
      <c r="F100" t="s">
        <v>166</v>
      </c>
      <c r="G100" t="str">
        <f>IFERROR(VLOOKUP(MID(F100,SEARCH("(",F100,1)+1,7),CNPJS!A:B,2,0),"")</f>
        <v>06.315.338/0186-70</v>
      </c>
      <c r="H100" t="str">
        <f t="shared" si="16"/>
        <v>06.315.338/0186-70</v>
      </c>
      <c r="I100" t="str">
        <f t="shared" si="17"/>
        <v>56.216.872/0001-46</v>
      </c>
    </row>
    <row r="101" spans="6:9" x14ac:dyDescent="0.25">
      <c r="F101" t="s">
        <v>167</v>
      </c>
      <c r="G101" t="str">
        <f>IFERROR(VLOOKUP(MID(F101,SEARCH("(",F101,1)+1,7),CNPJS!A:B,2,0),"")</f>
        <v/>
      </c>
      <c r="H101" t="str">
        <f t="shared" si="16"/>
        <v/>
      </c>
      <c r="I101" t="str">
        <f t="shared" si="17"/>
        <v>56.216.872/0001-46</v>
      </c>
    </row>
    <row r="102" spans="6:9" x14ac:dyDescent="0.25">
      <c r="F102" t="s">
        <v>168</v>
      </c>
      <c r="G102" t="str">
        <f>IFERROR(VLOOKUP(MID(F102,SEARCH("(",F102,1)+1,7),CNPJS!A:B,2,0),"")</f>
        <v/>
      </c>
      <c r="H102" t="str">
        <f t="shared" si="16"/>
        <v/>
      </c>
      <c r="I102" t="str">
        <f t="shared" si="17"/>
        <v>56.216.872/0001-46</v>
      </c>
    </row>
    <row r="103" spans="6:9" x14ac:dyDescent="0.25">
      <c r="F103" t="s">
        <v>169</v>
      </c>
      <c r="G103" t="str">
        <f>IFERROR(VLOOKUP(MID(F103,SEARCH("(",F103,1)+1,7),CNPJS!A:B,2,0),"")</f>
        <v/>
      </c>
      <c r="H103" t="str">
        <f t="shared" si="16"/>
        <v/>
      </c>
      <c r="I103" t="str">
        <f t="shared" si="17"/>
        <v>56.216.872/0001-46</v>
      </c>
    </row>
    <row r="104" spans="6:9" x14ac:dyDescent="0.25">
      <c r="F104" t="s">
        <v>170</v>
      </c>
      <c r="G104" t="str">
        <f>IFERROR(VLOOKUP(MID(F104,SEARCH("(",F104,1)+1,7),CNPJS!A:B,2,0),"")</f>
        <v/>
      </c>
      <c r="H104" t="str">
        <f t="shared" si="16"/>
        <v/>
      </c>
      <c r="I104" t="str">
        <f t="shared" si="17"/>
        <v>56.216.872/0001-46</v>
      </c>
    </row>
    <row r="105" spans="6:9" x14ac:dyDescent="0.25">
      <c r="F105" t="s">
        <v>171</v>
      </c>
      <c r="G105" t="str">
        <f>IFERROR(VLOOKUP(MID(F105,SEARCH("(",F105,1)+1,7),CNPJS!A:B,2,0),"")</f>
        <v/>
      </c>
      <c r="H105" t="str">
        <f t="shared" si="16"/>
        <v/>
      </c>
      <c r="I105" t="str">
        <f t="shared" si="17"/>
        <v>56.216.872/0001-46</v>
      </c>
    </row>
    <row r="106" spans="6:9" x14ac:dyDescent="0.25">
      <c r="F106" t="s">
        <v>172</v>
      </c>
      <c r="G106" t="str">
        <f>IFERROR(VLOOKUP(MID(F106,SEARCH("(",F106,1)+1,7),CNPJS!A:B,2,0),"")</f>
        <v/>
      </c>
      <c r="H106" t="str">
        <f t="shared" si="16"/>
        <v/>
      </c>
      <c r="I106" t="str">
        <f t="shared" si="17"/>
        <v>56.216.872/0001-46</v>
      </c>
    </row>
    <row r="107" spans="6:9" x14ac:dyDescent="0.25">
      <c r="F107" t="s">
        <v>173</v>
      </c>
      <c r="G107" t="str">
        <f>IFERROR(VLOOKUP(MID(F107,SEARCH("(",F107,1)+1,7),CNPJS!A:B,2,0),"")</f>
        <v/>
      </c>
      <c r="H107" t="str">
        <f t="shared" si="16"/>
        <v/>
      </c>
      <c r="I107" t="str">
        <f t="shared" si="17"/>
        <v>56.216.872/0001-46</v>
      </c>
    </row>
    <row r="108" spans="6:9" x14ac:dyDescent="0.25">
      <c r="F108" t="s">
        <v>174</v>
      </c>
      <c r="G108" t="str">
        <f>IFERROR(VLOOKUP(MID(F108,SEARCH("(",F108,1)+1,7),CNPJS!A:B,2,0),"")</f>
        <v/>
      </c>
      <c r="H108" t="str">
        <f t="shared" si="16"/>
        <v/>
      </c>
      <c r="I108" t="str">
        <f t="shared" si="17"/>
        <v>56.216.872/0001-46</v>
      </c>
    </row>
    <row r="109" spans="6:9" x14ac:dyDescent="0.25">
      <c r="F109" t="s">
        <v>175</v>
      </c>
      <c r="G109" t="str">
        <f>IFERROR(VLOOKUP(MID(F109,SEARCH("(",F109,1)+1,7),CNPJS!A:B,2,0),"")</f>
        <v/>
      </c>
      <c r="H109" t="str">
        <f t="shared" ref="H109:H118" si="18">G109</f>
        <v/>
      </c>
      <c r="I109" t="str">
        <f t="shared" ref="I109:I118" si="19">IFERROR(VLOOKUP($M$1,J:K,2,0),"")</f>
        <v>56.216.872/0001-46</v>
      </c>
    </row>
    <row r="110" spans="6:9" x14ac:dyDescent="0.25">
      <c r="F110" t="s">
        <v>176</v>
      </c>
      <c r="G110" t="str">
        <f>IFERROR(VLOOKUP(MID(F110,SEARCH("(",F110,1)+1,7),CNPJS!A:B,2,0),"")</f>
        <v/>
      </c>
      <c r="H110" t="str">
        <f t="shared" si="18"/>
        <v/>
      </c>
      <c r="I110" t="str">
        <f t="shared" si="19"/>
        <v>56.216.872/0001-46</v>
      </c>
    </row>
    <row r="111" spans="6:9" x14ac:dyDescent="0.25">
      <c r="F111" t="s">
        <v>177</v>
      </c>
      <c r="G111" t="str">
        <f>IFERROR(VLOOKUP(MID(F111,SEARCH("(",F111,1)+1,7),CNPJS!A:B,2,0),"")</f>
        <v/>
      </c>
      <c r="H111" t="str">
        <f t="shared" si="18"/>
        <v/>
      </c>
      <c r="I111" t="str">
        <f t="shared" si="19"/>
        <v>56.216.872/0001-46</v>
      </c>
    </row>
    <row r="112" spans="6:9" x14ac:dyDescent="0.25">
      <c r="F112" t="s">
        <v>178</v>
      </c>
      <c r="G112" t="str">
        <f>IFERROR(VLOOKUP(MID(F112,SEARCH("(",F112,1)+1,7),CNPJS!A:B,2,0),"")</f>
        <v>06.315.338/0028-39</v>
      </c>
      <c r="H112" t="str">
        <f t="shared" si="18"/>
        <v>06.315.338/0028-39</v>
      </c>
      <c r="I112" t="str">
        <f t="shared" si="19"/>
        <v>56.216.872/0001-46</v>
      </c>
    </row>
    <row r="113" spans="6:9" x14ac:dyDescent="0.25">
      <c r="F113" t="s">
        <v>179</v>
      </c>
      <c r="G113" t="str">
        <f>IFERROR(VLOOKUP(MID(F113,SEARCH("(",F113,1)+1,7),CNPJS!A:B,2,0),"")</f>
        <v>06.315.338/0206-59</v>
      </c>
      <c r="H113" t="str">
        <f t="shared" si="18"/>
        <v>06.315.338/0206-59</v>
      </c>
      <c r="I113" t="str">
        <f t="shared" si="19"/>
        <v>56.216.872/0001-46</v>
      </c>
    </row>
    <row r="114" spans="6:9" x14ac:dyDescent="0.25">
      <c r="F114" t="s">
        <v>180</v>
      </c>
      <c r="G114" t="str">
        <f>IFERROR(VLOOKUP(MID(F114,SEARCH("(",F114,1)+1,7),CNPJS!A:B,2,0),"")</f>
        <v/>
      </c>
      <c r="H114" t="str">
        <f t="shared" si="18"/>
        <v/>
      </c>
      <c r="I114" t="str">
        <f t="shared" si="19"/>
        <v>56.216.872/0001-46</v>
      </c>
    </row>
    <row r="115" spans="6:9" x14ac:dyDescent="0.25">
      <c r="F115" t="s">
        <v>181</v>
      </c>
      <c r="G115" t="str">
        <f>IFERROR(VLOOKUP(MID(F115,SEARCH("(",F115,1)+1,7),CNPJS!A:B,2,0),"")</f>
        <v/>
      </c>
      <c r="H115" t="str">
        <f t="shared" si="18"/>
        <v/>
      </c>
      <c r="I115" t="str">
        <f t="shared" si="19"/>
        <v>56.216.872/0001-46</v>
      </c>
    </row>
    <row r="116" spans="6:9" x14ac:dyDescent="0.25">
      <c r="F116" t="s">
        <v>182</v>
      </c>
      <c r="G116" t="str">
        <f>IFERROR(VLOOKUP(MID(F116,SEARCH("(",F116,1)+1,7),CNPJS!A:B,2,0),"")</f>
        <v/>
      </c>
      <c r="H116" t="str">
        <f t="shared" si="18"/>
        <v/>
      </c>
      <c r="I116" t="str">
        <f t="shared" si="19"/>
        <v>56.216.872/0001-46</v>
      </c>
    </row>
    <row r="117" spans="6:9" x14ac:dyDescent="0.25">
      <c r="F117" t="s">
        <v>183</v>
      </c>
      <c r="G117" t="str">
        <f>IFERROR(VLOOKUP(MID(F117,SEARCH("(",F117,1)+1,7),CNPJS!A:B,2,0),"")</f>
        <v/>
      </c>
      <c r="H117" t="str">
        <f t="shared" si="18"/>
        <v/>
      </c>
      <c r="I117" t="str">
        <f t="shared" si="19"/>
        <v>56.216.872/0001-46</v>
      </c>
    </row>
    <row r="118" spans="6:9" x14ac:dyDescent="0.25">
      <c r="F118" t="s">
        <v>184</v>
      </c>
      <c r="G118" t="str">
        <f>IFERROR(VLOOKUP(MID(F118,SEARCH("(",F118,1)+1,7),CNPJS!A:B,2,0),"")</f>
        <v/>
      </c>
      <c r="H118" t="str">
        <f t="shared" si="18"/>
        <v/>
      </c>
      <c r="I118" t="str">
        <f t="shared" si="19"/>
        <v>56.216.872/0001-46</v>
      </c>
    </row>
    <row r="119" spans="6:9" x14ac:dyDescent="0.25">
      <c r="F119" t="s">
        <v>185</v>
      </c>
      <c r="G119" t="str">
        <f>IFERROR(VLOOKUP(MID(F119,SEARCH("(",F119,1)+1,7),CNPJS!A:B,2,0),"")</f>
        <v/>
      </c>
      <c r="H119" t="str">
        <f t="shared" ref="H119:H124" si="20">G119</f>
        <v/>
      </c>
      <c r="I119" t="str">
        <f t="shared" ref="I119:I124" si="21">IFERROR(VLOOKUP($M$1,J:K,2,0),"")</f>
        <v>56.216.872/0001-46</v>
      </c>
    </row>
    <row r="120" spans="6:9" x14ac:dyDescent="0.25">
      <c r="F120" t="s">
        <v>186</v>
      </c>
      <c r="G120" t="str">
        <f>IFERROR(VLOOKUP(MID(F120,SEARCH("(",F120,1)+1,7),CNPJS!A:B,2,0),"")</f>
        <v/>
      </c>
      <c r="H120" t="str">
        <f t="shared" si="20"/>
        <v/>
      </c>
      <c r="I120" t="str">
        <f t="shared" si="21"/>
        <v>56.216.872/0001-46</v>
      </c>
    </row>
    <row r="121" spans="6:9" x14ac:dyDescent="0.25">
      <c r="F121" t="s">
        <v>187</v>
      </c>
      <c r="G121" t="str">
        <f>IFERROR(VLOOKUP(MID(F121,SEARCH("(",F121,1)+1,7),CNPJS!A:B,2,0),"")</f>
        <v/>
      </c>
      <c r="H121" t="str">
        <f t="shared" si="20"/>
        <v/>
      </c>
      <c r="I121" t="str">
        <f t="shared" si="21"/>
        <v>56.216.872/0001-46</v>
      </c>
    </row>
    <row r="122" spans="6:9" x14ac:dyDescent="0.25">
      <c r="F122" t="s">
        <v>188</v>
      </c>
      <c r="G122" t="str">
        <f>IFERROR(VLOOKUP(MID(F122,SEARCH("(",F122,1)+1,7),CNPJS!A:B,2,0),"")</f>
        <v/>
      </c>
      <c r="H122" t="str">
        <f t="shared" si="20"/>
        <v/>
      </c>
      <c r="I122" t="str">
        <f t="shared" si="21"/>
        <v>56.216.872/0001-46</v>
      </c>
    </row>
    <row r="123" spans="6:9" x14ac:dyDescent="0.25">
      <c r="F123" t="s">
        <v>191</v>
      </c>
      <c r="G123" t="str">
        <f>IFERROR(VLOOKUP(MID(F123,SEARCH("(",F123,1)+1,7),CNPJS!A:B,2,0),"")</f>
        <v>06.315.338/0028-39</v>
      </c>
      <c r="H123" t="str">
        <f t="shared" si="20"/>
        <v>06.315.338/0028-39</v>
      </c>
      <c r="I123" t="str">
        <f t="shared" si="21"/>
        <v>56.216.872/0001-46</v>
      </c>
    </row>
    <row r="124" spans="6:9" x14ac:dyDescent="0.25">
      <c r="F124" t="s">
        <v>192</v>
      </c>
      <c r="G124" t="str">
        <f>IFERROR(VLOOKUP(MID(F124,SEARCH("(",F124,1)+1,7),CNPJS!A:B,2,0),"")</f>
        <v/>
      </c>
      <c r="H124" t="str">
        <f t="shared" si="20"/>
        <v/>
      </c>
      <c r="I124" t="str">
        <f t="shared" si="21"/>
        <v>56.216.872/0001-46</v>
      </c>
    </row>
    <row r="125" spans="6:9" x14ac:dyDescent="0.25">
      <c r="F125" t="s">
        <v>193</v>
      </c>
      <c r="G125" t="str">
        <f>IFERROR(VLOOKUP(MID(F125,SEARCH("(",F125,1)+1,7),CNPJS!A:B,2,0),"")</f>
        <v/>
      </c>
      <c r="H125" t="str">
        <f t="shared" ref="H125:H130" si="22">G125</f>
        <v/>
      </c>
      <c r="I125" t="str">
        <f t="shared" ref="I125:I130" si="23">IFERROR(VLOOKUP($M$1,J:K,2,0),"")</f>
        <v>56.216.872/0001-46</v>
      </c>
    </row>
    <row r="126" spans="6:9" x14ac:dyDescent="0.25">
      <c r="F126" t="s">
        <v>194</v>
      </c>
      <c r="G126" t="str">
        <f>IFERROR(VLOOKUP(MID(F126,SEARCH("(",F126,1)+1,7),CNPJS!A:B,2,0),"")</f>
        <v/>
      </c>
      <c r="H126" t="str">
        <f t="shared" si="22"/>
        <v/>
      </c>
      <c r="I126" t="str">
        <f t="shared" si="23"/>
        <v>56.216.872/0001-46</v>
      </c>
    </row>
    <row r="127" spans="6:9" x14ac:dyDescent="0.25">
      <c r="F127" t="s">
        <v>195</v>
      </c>
      <c r="G127" t="str">
        <f>IFERROR(VLOOKUP(MID(F127,SEARCH("(",F127,1)+1,7),CNPJS!A:B,2,0),"")</f>
        <v/>
      </c>
      <c r="H127" t="str">
        <f t="shared" si="22"/>
        <v/>
      </c>
      <c r="I127" t="str">
        <f t="shared" si="23"/>
        <v>56.216.872/0001-46</v>
      </c>
    </row>
    <row r="128" spans="6:9" x14ac:dyDescent="0.25">
      <c r="F128" t="s">
        <v>196</v>
      </c>
      <c r="G128" t="str">
        <f>IFERROR(VLOOKUP(MID(F128,SEARCH("(",F128,1)+1,7),CNPJS!A:B,2,0),"")</f>
        <v/>
      </c>
      <c r="H128" t="str">
        <f t="shared" si="22"/>
        <v/>
      </c>
      <c r="I128" t="str">
        <f t="shared" si="23"/>
        <v>56.216.872/0001-46</v>
      </c>
    </row>
    <row r="129" spans="6:9" x14ac:dyDescent="0.25">
      <c r="F129" t="s">
        <v>197</v>
      </c>
      <c r="G129" t="str">
        <f>IFERROR(VLOOKUP(MID(F129,SEARCH("(",F129,1)+1,7),CNPJS!A:B,2,0),"")</f>
        <v/>
      </c>
      <c r="H129" t="str">
        <f t="shared" si="22"/>
        <v/>
      </c>
      <c r="I129" t="str">
        <f t="shared" si="23"/>
        <v>56.216.872/0001-46</v>
      </c>
    </row>
    <row r="130" spans="6:9" x14ac:dyDescent="0.25">
      <c r="F130" t="s">
        <v>198</v>
      </c>
      <c r="G130" t="str">
        <f>IFERROR(VLOOKUP(MID(F130,SEARCH("(",F130,1)+1,7),CNPJS!A:B,2,0),"")</f>
        <v>06.315.338/0016-03</v>
      </c>
      <c r="H130" t="str">
        <f t="shared" si="22"/>
        <v>06.315.338/0016-03</v>
      </c>
      <c r="I130" t="str">
        <f t="shared" si="23"/>
        <v>56.216.872/0001-46</v>
      </c>
    </row>
    <row r="131" spans="6:9" x14ac:dyDescent="0.25">
      <c r="F131" t="s">
        <v>211</v>
      </c>
      <c r="G131" t="str">
        <f>IFERROR(VLOOKUP(MID(F131,SEARCH("(",F131,1)+1,7),CNPJS!A:B,2,0),"")</f>
        <v>06.315.338/0003-80</v>
      </c>
      <c r="H131" t="str">
        <f>G131</f>
        <v>06.315.338/0003-80</v>
      </c>
      <c r="I131" t="str">
        <f>IFERROR(VLOOKUP($M$1,J:K,2,0),"")</f>
        <v>56.216.872/0001-46</v>
      </c>
    </row>
    <row r="132" spans="6:9" x14ac:dyDescent="0.25">
      <c r="F132" t="s">
        <v>212</v>
      </c>
      <c r="G132" t="str">
        <f>IFERROR(VLOOKUP(MID(F132,SEARCH("(",F132,1)+1,7),CNPJS!A:B,2,0),"")</f>
        <v>06.315.338/0181-66</v>
      </c>
      <c r="H132" t="str">
        <f>G132</f>
        <v>06.315.338/0181-66</v>
      </c>
      <c r="I132" t="str">
        <f>IFERROR(VLOOKUP($M$1,J:K,2,0),"")</f>
        <v>56.216.872/0001-46</v>
      </c>
    </row>
    <row r="133" spans="6:9" x14ac:dyDescent="0.25">
      <c r="F133" t="s">
        <v>213</v>
      </c>
      <c r="G133" t="str">
        <f>IFERROR(VLOOKUP(MID(F133,SEARCH("(",F133,1)+1,7),CNPJS!A:B,2,0),"")</f>
        <v/>
      </c>
      <c r="H133" t="str">
        <f>G133</f>
        <v/>
      </c>
      <c r="I133" t="str">
        <f>IFERROR(VLOOKUP($M$1,J:K,2,0),"")</f>
        <v>56.216.872/0001-46</v>
      </c>
    </row>
  </sheetData>
  <pageMargins left="0.511811024" right="0.511811024" top="0.78740157499999996" bottom="0.78740157499999996" header="0.31496062000000002" footer="0.31496062000000002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I47"/>
  <sheetViews>
    <sheetView topLeftCell="A31" workbookViewId="0">
      <selection activeCell="B47" sqref="B47"/>
    </sheetView>
  </sheetViews>
  <sheetFormatPr defaultRowHeight="15" x14ac:dyDescent="0.25"/>
  <cols>
    <col min="2" max="2" width="29.5703125" customWidth="1"/>
  </cols>
  <sheetData>
    <row r="1" spans="1:9" ht="15.75" x14ac:dyDescent="0.25">
      <c r="A1" t="str">
        <f>RIGHT(B1,7)</f>
        <v>0001-19</v>
      </c>
      <c r="B1" t="s">
        <v>35</v>
      </c>
      <c r="G1" s="18" t="s">
        <v>189</v>
      </c>
      <c r="I1" t="e">
        <f>MATCH(G1,A1:A46,0)</f>
        <v>#N/A</v>
      </c>
    </row>
    <row r="2" spans="1:9" x14ac:dyDescent="0.25">
      <c r="A2" t="str">
        <f t="shared" ref="A2:A47" si="0">RIGHT(B2,7)</f>
        <v>0003-80</v>
      </c>
      <c r="B2" t="s">
        <v>36</v>
      </c>
    </row>
    <row r="3" spans="1:9" x14ac:dyDescent="0.25">
      <c r="A3" t="str">
        <f t="shared" si="0"/>
        <v>0006-23</v>
      </c>
      <c r="B3" t="s">
        <v>37</v>
      </c>
    </row>
    <row r="4" spans="1:9" x14ac:dyDescent="0.25">
      <c r="A4" t="str">
        <f t="shared" si="0"/>
        <v>0005-42</v>
      </c>
      <c r="B4" t="s">
        <v>38</v>
      </c>
    </row>
    <row r="5" spans="1:9" x14ac:dyDescent="0.25">
      <c r="A5" t="str">
        <f t="shared" si="0"/>
        <v>0012-06</v>
      </c>
      <c r="B5" t="s">
        <v>39</v>
      </c>
    </row>
    <row r="6" spans="1:9" x14ac:dyDescent="0.25">
      <c r="A6" t="str">
        <f t="shared" si="0"/>
        <v>0002-08</v>
      </c>
      <c r="B6" t="s">
        <v>40</v>
      </c>
    </row>
    <row r="7" spans="1:9" x14ac:dyDescent="0.25">
      <c r="A7" t="str">
        <f t="shared" si="0"/>
        <v>0036-75</v>
      </c>
      <c r="B7" t="s">
        <v>41</v>
      </c>
    </row>
    <row r="8" spans="1:9" x14ac:dyDescent="0.25">
      <c r="A8" t="str">
        <f t="shared" si="0"/>
        <v>0016-03</v>
      </c>
      <c r="B8" t="s">
        <v>42</v>
      </c>
    </row>
    <row r="9" spans="1:9" x14ac:dyDescent="0.25">
      <c r="A9" t="str">
        <f t="shared" si="0"/>
        <v>0003-07</v>
      </c>
      <c r="B9" t="s">
        <v>43</v>
      </c>
    </row>
    <row r="10" spans="1:9" x14ac:dyDescent="0.25">
      <c r="A10" t="str">
        <f t="shared" si="0"/>
        <v>0017-86</v>
      </c>
      <c r="B10" t="s">
        <v>44</v>
      </c>
    </row>
    <row r="11" spans="1:9" x14ac:dyDescent="0.25">
      <c r="A11" t="str">
        <f t="shared" si="0"/>
        <v>0007-30</v>
      </c>
      <c r="B11" t="s">
        <v>45</v>
      </c>
    </row>
    <row r="12" spans="1:9" x14ac:dyDescent="0.25">
      <c r="A12" t="str">
        <f t="shared" si="0"/>
        <v>0004-98</v>
      </c>
      <c r="B12" t="s">
        <v>26</v>
      </c>
    </row>
    <row r="13" spans="1:9" x14ac:dyDescent="0.25">
      <c r="A13" t="str">
        <f t="shared" si="0"/>
        <v>0034-03</v>
      </c>
      <c r="B13" t="s">
        <v>46</v>
      </c>
    </row>
    <row r="14" spans="1:9" x14ac:dyDescent="0.25">
      <c r="A14" t="str">
        <f t="shared" si="0"/>
        <v>0026-77</v>
      </c>
      <c r="B14" t="s">
        <v>47</v>
      </c>
    </row>
    <row r="15" spans="1:9" x14ac:dyDescent="0.25">
      <c r="A15" t="str">
        <f t="shared" si="0"/>
        <v>0028-39</v>
      </c>
      <c r="B15" t="s">
        <v>48</v>
      </c>
    </row>
    <row r="16" spans="1:9" x14ac:dyDescent="0.25">
      <c r="A16" t="str">
        <f t="shared" si="0"/>
        <v>0013-89</v>
      </c>
      <c r="B16" t="s">
        <v>49</v>
      </c>
    </row>
    <row r="17" spans="1:2" x14ac:dyDescent="0.25">
      <c r="A17" t="str">
        <f t="shared" si="0"/>
        <v>0008-11</v>
      </c>
      <c r="B17" t="s">
        <v>50</v>
      </c>
    </row>
    <row r="18" spans="1:2" x14ac:dyDescent="0.25">
      <c r="A18" t="str">
        <f t="shared" si="0"/>
        <v>0050-05</v>
      </c>
      <c r="B18" t="s">
        <v>19</v>
      </c>
    </row>
    <row r="19" spans="1:2" x14ac:dyDescent="0.25">
      <c r="A19" t="str">
        <f t="shared" si="0"/>
        <v>0002-69</v>
      </c>
      <c r="B19" t="s">
        <v>51</v>
      </c>
    </row>
    <row r="20" spans="1:2" x14ac:dyDescent="0.25">
      <c r="A20" t="str">
        <f t="shared" si="0"/>
        <v>0030-53</v>
      </c>
      <c r="B20" t="s">
        <v>52</v>
      </c>
    </row>
    <row r="21" spans="1:2" x14ac:dyDescent="0.25">
      <c r="A21" t="str">
        <f t="shared" si="0"/>
        <v>0031-34</v>
      </c>
      <c r="B21" t="s">
        <v>20</v>
      </c>
    </row>
    <row r="22" spans="1:2" x14ac:dyDescent="0.25">
      <c r="A22" t="str">
        <f t="shared" si="0"/>
        <v>0042-13</v>
      </c>
      <c r="B22" t="s">
        <v>53</v>
      </c>
    </row>
    <row r="23" spans="1:2" x14ac:dyDescent="0.25">
      <c r="A23" t="str">
        <f t="shared" si="0"/>
        <v>0165-46</v>
      </c>
      <c r="B23" t="s">
        <v>21</v>
      </c>
    </row>
    <row r="24" spans="1:2" x14ac:dyDescent="0.25">
      <c r="A24" t="str">
        <f t="shared" si="0"/>
        <v>0041-32</v>
      </c>
      <c r="B24" t="s">
        <v>54</v>
      </c>
    </row>
    <row r="25" spans="1:2" x14ac:dyDescent="0.25">
      <c r="A25" t="str">
        <f t="shared" si="0"/>
        <v>0169-70</v>
      </c>
      <c r="B25" t="s">
        <v>23</v>
      </c>
    </row>
    <row r="26" spans="1:2" x14ac:dyDescent="0.25">
      <c r="A26" t="str">
        <f t="shared" si="0"/>
        <v>0005-79</v>
      </c>
      <c r="B26" t="s">
        <v>55</v>
      </c>
    </row>
    <row r="27" spans="1:2" x14ac:dyDescent="0.25">
      <c r="A27" t="str">
        <f t="shared" si="0"/>
        <v>0171-94</v>
      </c>
      <c r="B27" t="s">
        <v>28</v>
      </c>
    </row>
    <row r="28" spans="1:2" x14ac:dyDescent="0.25">
      <c r="A28" t="str">
        <f t="shared" si="0"/>
        <v>0172-75</v>
      </c>
      <c r="B28" t="s">
        <v>56</v>
      </c>
    </row>
    <row r="29" spans="1:2" x14ac:dyDescent="0.25">
      <c r="A29" t="str">
        <f t="shared" si="0"/>
        <v>0040-51</v>
      </c>
      <c r="B29" t="s">
        <v>57</v>
      </c>
    </row>
    <row r="30" spans="1:2" x14ac:dyDescent="0.25">
      <c r="A30" t="str">
        <f t="shared" si="0"/>
        <v>0174-37</v>
      </c>
      <c r="B30" t="s">
        <v>58</v>
      </c>
    </row>
    <row r="31" spans="1:2" x14ac:dyDescent="0.25">
      <c r="A31" t="str">
        <f t="shared" si="0"/>
        <v>0010-36</v>
      </c>
      <c r="B31" t="s">
        <v>59</v>
      </c>
    </row>
    <row r="32" spans="1:2" x14ac:dyDescent="0.25">
      <c r="A32" t="str">
        <f t="shared" si="0"/>
        <v>0014-60</v>
      </c>
      <c r="B32" t="s">
        <v>60</v>
      </c>
    </row>
    <row r="33" spans="1:2" x14ac:dyDescent="0.25">
      <c r="A33" t="str">
        <f t="shared" si="0"/>
        <v>0182-47</v>
      </c>
      <c r="B33" t="s">
        <v>27</v>
      </c>
    </row>
    <row r="34" spans="1:2" x14ac:dyDescent="0.25">
      <c r="A34" t="str">
        <f t="shared" si="0"/>
        <v>0184-09</v>
      </c>
      <c r="B34" t="s">
        <v>29</v>
      </c>
    </row>
    <row r="35" spans="1:2" x14ac:dyDescent="0.25">
      <c r="A35" t="str">
        <f t="shared" si="0"/>
        <v>0181-66</v>
      </c>
      <c r="B35" t="s">
        <v>61</v>
      </c>
    </row>
    <row r="36" spans="1:2" x14ac:dyDescent="0.25">
      <c r="A36" t="str">
        <f t="shared" si="0"/>
        <v>0006-50</v>
      </c>
      <c r="B36" t="s">
        <v>62</v>
      </c>
    </row>
    <row r="37" spans="1:2" x14ac:dyDescent="0.25">
      <c r="A37" t="str">
        <f t="shared" si="0"/>
        <v>0186-70</v>
      </c>
      <c r="B37" t="s">
        <v>24</v>
      </c>
    </row>
    <row r="38" spans="1:2" x14ac:dyDescent="0.25">
      <c r="A38" t="str">
        <f t="shared" si="0"/>
        <v>0183-28</v>
      </c>
      <c r="B38" t="s">
        <v>22</v>
      </c>
    </row>
    <row r="39" spans="1:2" x14ac:dyDescent="0.25">
      <c r="A39" t="str">
        <f t="shared" si="0"/>
        <v>0179-41</v>
      </c>
      <c r="B39" t="s">
        <v>25</v>
      </c>
    </row>
    <row r="40" spans="1:2" x14ac:dyDescent="0.25">
      <c r="A40" t="str">
        <f t="shared" si="0"/>
        <v>0009-00</v>
      </c>
      <c r="B40" t="s">
        <v>63</v>
      </c>
    </row>
    <row r="41" spans="1:2" x14ac:dyDescent="0.25">
      <c r="A41" t="str">
        <f t="shared" si="0"/>
        <v>0037-56</v>
      </c>
      <c r="B41" t="s">
        <v>64</v>
      </c>
    </row>
    <row r="42" spans="1:2" x14ac:dyDescent="0.25">
      <c r="A42" t="str">
        <f t="shared" si="0"/>
        <v>0193-08</v>
      </c>
      <c r="B42" t="s">
        <v>65</v>
      </c>
    </row>
    <row r="43" spans="1:2" x14ac:dyDescent="0.25">
      <c r="A43" t="str">
        <f t="shared" si="0"/>
        <v>0043-02</v>
      </c>
      <c r="B43" t="s">
        <v>66</v>
      </c>
    </row>
    <row r="44" spans="1:2" x14ac:dyDescent="0.25">
      <c r="A44" t="str">
        <f t="shared" si="0"/>
        <v>0039-18</v>
      </c>
      <c r="B44" t="s">
        <v>67</v>
      </c>
    </row>
    <row r="45" spans="1:2" x14ac:dyDescent="0.25">
      <c r="A45" t="str">
        <f t="shared" si="0"/>
        <v>0002-26</v>
      </c>
      <c r="B45" t="s">
        <v>68</v>
      </c>
    </row>
    <row r="46" spans="1:2" x14ac:dyDescent="0.25">
      <c r="A46" t="str">
        <f t="shared" si="0"/>
        <v>0177-80</v>
      </c>
      <c r="B46" t="s">
        <v>113</v>
      </c>
    </row>
    <row r="47" spans="1:2" x14ac:dyDescent="0.25">
      <c r="A47" t="str">
        <f t="shared" si="0"/>
        <v>0206-59</v>
      </c>
      <c r="B47" t="s">
        <v>190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LAYOUT_FERRO</vt:lpstr>
      <vt:lpstr>BASE_TXT</vt:lpstr>
      <vt:lpstr>BASE</vt:lpstr>
      <vt:lpstr>CNPJS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Alexandre</cp:lastModifiedBy>
  <dcterms:created xsi:type="dcterms:W3CDTF">2018-12-17T17:18:52Z</dcterms:created>
  <dcterms:modified xsi:type="dcterms:W3CDTF">2021-02-18T18:03:25Z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n.caracelli.diniz@avanade.com</vt:lpwstr>
  </property>
  <property fmtid="{D5CDD505-2E9C-101B-9397-08002B2CF9AE}" pid="5" name="MSIP_Label_dd1e4005-c2ec-4102-89a4-937c1aac37c3_SetDate">
    <vt:lpwstr>2018-12-21T13:08:45.1235925Z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Extended_MSFT_Method">
    <vt:lpwstr>Manual</vt:lpwstr>
  </property>
  <property fmtid="{D5CDD505-2E9C-101B-9397-08002B2CF9AE}" pid="9" name="Sensitivity">
    <vt:lpwstr>Unrestricted</vt:lpwstr>
  </property>
</Properties>
</file>